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Fall Rutgers/Actual Lectures/1. Excel/Excel Tables/"/>
    </mc:Choice>
  </mc:AlternateContent>
  <xr:revisionPtr revIDLastSave="63" documentId="11_EACE968F4D07E50FCAB8E9C1FAA5C878B7A3941C" xr6:coauthVersionLast="45" xr6:coauthVersionMax="45" xr10:uidLastSave="{F298E022-AB75-4B4E-8BED-406F9A06C766}"/>
  <bookViews>
    <workbookView xWindow="20370" yWindow="-120" windowWidth="29040" windowHeight="15840" tabRatio="591" xr2:uid="{00000000-000D-0000-FFFF-FFFF00000000}"/>
  </bookViews>
  <sheets>
    <sheet name="Sales peo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6" i="1" l="1"/>
  <c r="B47" i="1"/>
  <c r="B53" i="1"/>
  <c r="B52" i="1"/>
  <c r="B51" i="1"/>
  <c r="B50" i="1"/>
  <c r="B45" i="1"/>
  <c r="B41" i="1"/>
  <c r="B40" i="1"/>
  <c r="B39" i="1"/>
  <c r="B35" i="1"/>
  <c r="C34" i="1"/>
  <c r="B34" i="1"/>
  <c r="B32" i="1"/>
  <c r="B33" i="1" s="1"/>
  <c r="B28" i="1"/>
  <c r="B27" i="1"/>
</calcChain>
</file>

<file path=xl/sharedStrings.xml><?xml version="1.0" encoding="utf-8"?>
<sst xmlns="http://schemas.openxmlformats.org/spreadsheetml/2006/main" count="130" uniqueCount="64">
  <si>
    <t>Byrd, Asa</t>
  </si>
  <si>
    <t>Watson</t>
  </si>
  <si>
    <t>Sales</t>
  </si>
  <si>
    <t>Hourly</t>
  </si>
  <si>
    <t>Owen, Robert</t>
  </si>
  <si>
    <t>Main</t>
  </si>
  <si>
    <t xml:space="preserve"> DMR </t>
  </si>
  <si>
    <t>Pope, Duane</t>
  </si>
  <si>
    <t>Arnold, Cole</t>
  </si>
  <si>
    <t>North</t>
  </si>
  <si>
    <t>Full Time</t>
  </si>
  <si>
    <t xml:space="preserve"> R </t>
  </si>
  <si>
    <t>Leon, Emily</t>
  </si>
  <si>
    <t>Moody, Matthew</t>
  </si>
  <si>
    <t>West</t>
  </si>
  <si>
    <t>Contract</t>
  </si>
  <si>
    <t>Christensen, Jill</t>
  </si>
  <si>
    <t>Maynard, Susan</t>
  </si>
  <si>
    <t>South</t>
  </si>
  <si>
    <t>Kelly, Icelita</t>
  </si>
  <si>
    <t xml:space="preserve"> D </t>
  </si>
  <si>
    <t>McCullough, Scott</t>
  </si>
  <si>
    <t>Bowers, Tammy</t>
  </si>
  <si>
    <t>Norman, Rita</t>
  </si>
  <si>
    <t>Bryan, Thomas</t>
  </si>
  <si>
    <t>Franklin, Alicia</t>
  </si>
  <si>
    <t>Vaughn, Harlon</t>
  </si>
  <si>
    <t>McCarthy, Ryan</t>
  </si>
  <si>
    <t>Livingston, Lynette</t>
  </si>
  <si>
    <t>Taft</t>
  </si>
  <si>
    <t>Short, Timothy</t>
  </si>
  <si>
    <t>Lucas, John</t>
  </si>
  <si>
    <t>Burke, Michael</t>
  </si>
  <si>
    <t>Ball, Kirk</t>
  </si>
  <si>
    <t xml:space="preserve"> DM </t>
  </si>
  <si>
    <t>Building</t>
  </si>
  <si>
    <t>Department</t>
  </si>
  <si>
    <t>Status</t>
  </si>
  <si>
    <t>Benefits</t>
  </si>
  <si>
    <t>Job Rating</t>
  </si>
  <si>
    <t>Phone number</t>
  </si>
  <si>
    <t>Employee Name</t>
  </si>
  <si>
    <t>Hire Date</t>
  </si>
  <si>
    <t xml:space="preserve"> Salary </t>
  </si>
  <si>
    <t>Random Company Sales Staff</t>
  </si>
  <si>
    <t>Corresponding name</t>
  </si>
  <si>
    <t>Half Time</t>
  </si>
  <si>
    <t>Row given the phone</t>
  </si>
  <si>
    <t>Hiring date</t>
  </si>
  <si>
    <t>Phone (input)</t>
  </si>
  <si>
    <t>Total</t>
  </si>
  <si>
    <t>Hiring date of a person given phone</t>
  </si>
  <si>
    <t>Name of a person given phone (two steps)</t>
  </si>
  <si>
    <t>Name of a person given phone (one step)</t>
  </si>
  <si>
    <t>Name</t>
  </si>
  <si>
    <t>Job Rating of a Person with Highest salary!</t>
  </si>
  <si>
    <t>Highest Salary</t>
  </si>
  <si>
    <t>Locate the table with match</t>
  </si>
  <si>
    <t>Rmployee Job Rating</t>
  </si>
  <si>
    <t>Rating</t>
  </si>
  <si>
    <t>Lowest salary</t>
  </si>
  <si>
    <t>Locate the table with Match</t>
  </si>
  <si>
    <t>Job rating and name of a person with lowest salary</t>
  </si>
  <si>
    <t>Job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</si>
</sst>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&lt;=9999999]###\-####;\(###\)\ ###\-####"/>
    <numFmt numFmtId="165" formatCode="[$-409]d\-mmm\-yy;@"/>
    <numFmt numFmtId="167" formatCode="m/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1"/>
      <color rgb="FF262626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164" fontId="3" fillId="0" borderId="0" xfId="1" applyNumberFormat="1" applyFont="1" applyFill="1" applyAlignment="1">
      <alignment wrapText="1"/>
    </xf>
    <xf numFmtId="0" fontId="3" fillId="0" borderId="0" xfId="0" applyFont="1" applyFill="1"/>
    <xf numFmtId="0" fontId="0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44" fontId="0" fillId="0" borderId="0" xfId="2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Border="1"/>
    <xf numFmtId="0" fontId="5" fillId="0" borderId="0" xfId="0" applyFont="1"/>
    <xf numFmtId="0" fontId="5" fillId="0" borderId="0" xfId="0" applyFont="1" applyFill="1" applyBorder="1" applyAlignment="1">
      <alignment horizontal="left"/>
    </xf>
    <xf numFmtId="164" fontId="7" fillId="0" borderId="0" xfId="0" applyNumberFormat="1" applyFont="1"/>
    <xf numFmtId="164" fontId="7" fillId="0" borderId="0" xfId="0" applyNumberFormat="1" applyFont="1" applyBorder="1"/>
    <xf numFmtId="165" fontId="0" fillId="0" borderId="0" xfId="0" applyNumberFormat="1" applyBorder="1"/>
    <xf numFmtId="0" fontId="0" fillId="0" borderId="0" xfId="0" applyFont="1"/>
    <xf numFmtId="164" fontId="1" fillId="0" borderId="0" xfId="1" applyNumberFormat="1" applyFont="1" applyFill="1" applyBorder="1" applyAlignment="1">
      <alignment wrapText="1"/>
    </xf>
    <xf numFmtId="0" fontId="5" fillId="0" borderId="1" xfId="0" applyFont="1" applyBorder="1"/>
    <xf numFmtId="0" fontId="0" fillId="0" borderId="2" xfId="0" applyBorder="1"/>
    <xf numFmtId="0" fontId="5" fillId="0" borderId="3" xfId="0" applyFont="1" applyFill="1" applyBorder="1"/>
    <xf numFmtId="164" fontId="0" fillId="2" borderId="4" xfId="0" applyNumberFormat="1" applyFill="1" applyBorder="1"/>
    <xf numFmtId="0" fontId="0" fillId="0" borderId="6" xfId="0" applyBorder="1"/>
    <xf numFmtId="0" fontId="5" fillId="0" borderId="3" xfId="0" applyFont="1" applyBorder="1"/>
    <xf numFmtId="0" fontId="0" fillId="0" borderId="4" xfId="0" applyBorder="1"/>
    <xf numFmtId="0" fontId="5" fillId="0" borderId="5" xfId="0" applyFont="1" applyBorder="1"/>
    <xf numFmtId="0" fontId="5" fillId="0" borderId="1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14" fontId="0" fillId="0" borderId="6" xfId="0" applyNumberFormat="1" applyBorder="1"/>
    <xf numFmtId="164" fontId="0" fillId="0" borderId="0" xfId="0" applyNumberFormat="1" applyFont="1"/>
    <xf numFmtId="0" fontId="0" fillId="0" borderId="0" xfId="0" applyNumberFormat="1"/>
    <xf numFmtId="0" fontId="0" fillId="0" borderId="4" xfId="0" applyNumberFormat="1" applyBorder="1"/>
    <xf numFmtId="0" fontId="0" fillId="0" borderId="0" xfId="0" applyNumberFormat="1" applyBorder="1"/>
    <xf numFmtId="14" fontId="3" fillId="0" borderId="0" xfId="1" applyNumberFormat="1" applyFont="1" applyFill="1" applyBorder="1" applyAlignment="1">
      <alignment wrapText="1"/>
    </xf>
    <xf numFmtId="0" fontId="5" fillId="0" borderId="0" xfId="0" applyFont="1" applyFill="1" applyBorder="1"/>
    <xf numFmtId="44" fontId="0" fillId="0" borderId="0" xfId="0" applyNumberFormat="1"/>
    <xf numFmtId="14" fontId="0" fillId="0" borderId="0" xfId="0" applyNumberFormat="1" applyBorder="1"/>
    <xf numFmtId="0" fontId="5" fillId="0" borderId="0" xfId="0" applyFont="1" applyBorder="1"/>
    <xf numFmtId="0" fontId="5" fillId="0" borderId="7" xfId="0" applyFont="1" applyFill="1" applyBorder="1"/>
    <xf numFmtId="0" fontId="0" fillId="0" borderId="7" xfId="0" applyBorder="1"/>
    <xf numFmtId="0" fontId="6" fillId="0" borderId="0" xfId="0" applyFont="1" applyAlignment="1">
      <alignment horizontal="center"/>
    </xf>
    <xf numFmtId="167" fontId="0" fillId="0" borderId="0" xfId="0" applyNumberFormat="1"/>
    <xf numFmtId="167" fontId="4" fillId="0" borderId="0" xfId="0" applyNumberFormat="1" applyFont="1" applyFill="1" applyBorder="1" applyAlignment="1">
      <alignment horizontal="center" vertical="center"/>
    </xf>
    <xf numFmtId="167" fontId="0" fillId="0" borderId="0" xfId="0" applyNumberFormat="1" applyFont="1" applyFill="1" applyBorder="1"/>
    <xf numFmtId="167" fontId="1" fillId="0" borderId="0" xfId="1" applyNumberFormat="1" applyFont="1" applyFill="1" applyBorder="1" applyAlignment="1">
      <alignment wrapText="1"/>
    </xf>
    <xf numFmtId="0" fontId="4" fillId="0" borderId="0" xfId="0" applyFont="1" applyBorder="1" applyAlignment="1">
      <alignment horizontal="left"/>
    </xf>
    <xf numFmtId="164" fontId="0" fillId="0" borderId="0" xfId="2" applyNumberFormat="1" applyFont="1"/>
  </cellXfs>
  <cellStyles count="3">
    <cellStyle name="Currency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topLeftCell="A40" zoomScale="175" zoomScaleNormal="175" zoomScalePageLayoutView="125" workbookViewId="0">
      <selection activeCell="C49" sqref="C49"/>
    </sheetView>
  </sheetViews>
  <sheetFormatPr defaultColWidth="8.85546875" defaultRowHeight="15" x14ac:dyDescent="0.25"/>
  <cols>
    <col min="1" max="1" width="39.42578125" bestFit="1" customWidth="1"/>
    <col min="2" max="2" width="17" customWidth="1"/>
    <col min="3" max="3" width="15.85546875" customWidth="1"/>
    <col min="4" max="4" width="16" customWidth="1"/>
    <col min="5" max="5" width="18.7109375" customWidth="1"/>
    <col min="6" max="6" width="16.7109375" style="39" customWidth="1"/>
    <col min="7" max="7" width="11.140625" customWidth="1"/>
    <col min="8" max="8" width="12.42578125" bestFit="1" customWidth="1"/>
    <col min="9" max="9" width="10" bestFit="1" customWidth="1"/>
    <col min="10" max="12" width="8.85546875" style="13"/>
    <col min="13" max="13" width="13.7109375" style="13" bestFit="1" customWidth="1"/>
    <col min="14" max="17" width="8.85546875" style="13"/>
    <col min="18" max="18" width="13.7109375" style="13" bestFit="1" customWidth="1"/>
    <col min="19" max="31" width="8.85546875" style="13"/>
  </cols>
  <sheetData>
    <row r="1" spans="1:18" ht="21" x14ac:dyDescent="0.35">
      <c r="A1" s="38" t="s">
        <v>44</v>
      </c>
      <c r="B1" s="38"/>
      <c r="C1" s="38"/>
    </row>
    <row r="2" spans="1:18" x14ac:dyDescent="0.25">
      <c r="A2" s="4" t="s">
        <v>41</v>
      </c>
      <c r="B2" s="4" t="s">
        <v>35</v>
      </c>
      <c r="C2" s="4" t="s">
        <v>36</v>
      </c>
      <c r="D2" s="4" t="s">
        <v>40</v>
      </c>
      <c r="E2" s="4" t="s">
        <v>37</v>
      </c>
      <c r="F2" s="40" t="s">
        <v>42</v>
      </c>
      <c r="G2" s="4" t="s">
        <v>38</v>
      </c>
      <c r="H2" s="4" t="s">
        <v>43</v>
      </c>
      <c r="I2" s="4" t="s">
        <v>39</v>
      </c>
    </row>
    <row r="3" spans="1:18" x14ac:dyDescent="0.25">
      <c r="A3" s="3" t="s">
        <v>8</v>
      </c>
      <c r="B3" s="3" t="s">
        <v>9</v>
      </c>
      <c r="C3" s="3" t="s">
        <v>2</v>
      </c>
      <c r="D3" s="14">
        <v>1385326263</v>
      </c>
      <c r="E3" s="6" t="s">
        <v>10</v>
      </c>
      <c r="F3" s="41">
        <v>40235</v>
      </c>
      <c r="G3" s="3" t="s">
        <v>11</v>
      </c>
      <c r="H3" s="5">
        <v>22860</v>
      </c>
      <c r="I3" s="3">
        <v>5</v>
      </c>
    </row>
    <row r="4" spans="1:18" x14ac:dyDescent="0.25">
      <c r="A4" s="3" t="s">
        <v>33</v>
      </c>
      <c r="B4" s="3" t="s">
        <v>9</v>
      </c>
      <c r="C4" s="3" t="s">
        <v>2</v>
      </c>
      <c r="D4" s="14">
        <v>7996534880</v>
      </c>
      <c r="E4" s="6" t="s">
        <v>10</v>
      </c>
      <c r="F4" s="41">
        <v>41209</v>
      </c>
      <c r="G4" s="3" t="s">
        <v>34</v>
      </c>
      <c r="H4" s="5">
        <v>87980</v>
      </c>
      <c r="I4" s="3">
        <v>1</v>
      </c>
    </row>
    <row r="5" spans="1:18" x14ac:dyDescent="0.25">
      <c r="A5" s="3" t="s">
        <v>22</v>
      </c>
      <c r="B5" s="3" t="s">
        <v>18</v>
      </c>
      <c r="C5" s="3" t="s">
        <v>2</v>
      </c>
      <c r="D5" s="14">
        <v>5386396085</v>
      </c>
      <c r="E5" s="6" t="s">
        <v>46</v>
      </c>
      <c r="F5" s="41">
        <v>40263</v>
      </c>
      <c r="G5" s="3" t="s">
        <v>6</v>
      </c>
      <c r="H5" s="5">
        <v>49405</v>
      </c>
      <c r="I5" s="3">
        <v>4</v>
      </c>
    </row>
    <row r="6" spans="1:18" x14ac:dyDescent="0.25">
      <c r="A6" s="3" t="s">
        <v>24</v>
      </c>
      <c r="B6" s="3" t="s">
        <v>18</v>
      </c>
      <c r="C6" s="3" t="s">
        <v>2</v>
      </c>
      <c r="D6" s="14">
        <v>8614622256</v>
      </c>
      <c r="E6" s="6" t="s">
        <v>10</v>
      </c>
      <c r="F6" s="41">
        <v>40533</v>
      </c>
      <c r="G6" s="3" t="s">
        <v>20</v>
      </c>
      <c r="H6" s="5">
        <v>62180</v>
      </c>
      <c r="I6" s="3">
        <v>2</v>
      </c>
    </row>
    <row r="7" spans="1:18" x14ac:dyDescent="0.25">
      <c r="A7" s="3" t="s">
        <v>32</v>
      </c>
      <c r="B7" s="3" t="s">
        <v>29</v>
      </c>
      <c r="C7" s="3" t="s">
        <v>2</v>
      </c>
      <c r="D7" s="14">
        <v>1593958617</v>
      </c>
      <c r="E7" s="6" t="s">
        <v>15</v>
      </c>
      <c r="F7" s="41">
        <v>39011</v>
      </c>
      <c r="G7" s="3"/>
      <c r="H7" s="5">
        <v>86470</v>
      </c>
      <c r="I7" s="3">
        <v>4</v>
      </c>
    </row>
    <row r="8" spans="1:18" x14ac:dyDescent="0.25">
      <c r="A8" s="3" t="s">
        <v>0</v>
      </c>
      <c r="B8" s="3" t="s">
        <v>1</v>
      </c>
      <c r="C8" s="3" t="s">
        <v>2</v>
      </c>
      <c r="D8" s="14">
        <v>7213468780</v>
      </c>
      <c r="E8" s="6" t="s">
        <v>3</v>
      </c>
      <c r="F8" s="41">
        <v>37827</v>
      </c>
      <c r="G8" s="3"/>
      <c r="H8" s="5">
        <v>11044</v>
      </c>
      <c r="I8" s="3">
        <v>2</v>
      </c>
    </row>
    <row r="9" spans="1:18" x14ac:dyDescent="0.25">
      <c r="A9" s="3" t="s">
        <v>16</v>
      </c>
      <c r="B9" s="3" t="s">
        <v>5</v>
      </c>
      <c r="C9" s="3" t="s">
        <v>2</v>
      </c>
      <c r="D9" s="14">
        <v>6716018444</v>
      </c>
      <c r="E9" s="6" t="s">
        <v>3</v>
      </c>
      <c r="F9" s="41">
        <v>40494</v>
      </c>
      <c r="G9" s="3"/>
      <c r="H9" s="5">
        <v>35312</v>
      </c>
      <c r="I9" s="3">
        <v>3</v>
      </c>
    </row>
    <row r="10" spans="1:18" x14ac:dyDescent="0.25">
      <c r="A10" s="3" t="s">
        <v>25</v>
      </c>
      <c r="B10" s="3" t="s">
        <v>1</v>
      </c>
      <c r="C10" s="3" t="s">
        <v>2</v>
      </c>
      <c r="D10" s="14">
        <v>8043098173</v>
      </c>
      <c r="E10" s="6" t="s">
        <v>10</v>
      </c>
      <c r="F10" s="41">
        <v>36466</v>
      </c>
      <c r="G10" s="3" t="s">
        <v>11</v>
      </c>
      <c r="H10" s="5">
        <v>68410</v>
      </c>
      <c r="I10" s="3">
        <v>5</v>
      </c>
    </row>
    <row r="11" spans="1:18" x14ac:dyDescent="0.25">
      <c r="A11" s="3" t="s">
        <v>19</v>
      </c>
      <c r="B11" s="3" t="s">
        <v>18</v>
      </c>
      <c r="C11" s="3" t="s">
        <v>2</v>
      </c>
      <c r="D11" s="14">
        <v>9788170762</v>
      </c>
      <c r="E11" s="6" t="s">
        <v>10</v>
      </c>
      <c r="F11" s="41">
        <v>36567</v>
      </c>
      <c r="G11" s="3" t="s">
        <v>20</v>
      </c>
      <c r="H11" s="5">
        <v>45450</v>
      </c>
      <c r="I11" s="3">
        <v>5</v>
      </c>
    </row>
    <row r="12" spans="1:18" x14ac:dyDescent="0.25">
      <c r="A12" s="3" t="s">
        <v>12</v>
      </c>
      <c r="B12" s="3" t="s">
        <v>5</v>
      </c>
      <c r="C12" s="3" t="s">
        <v>2</v>
      </c>
      <c r="D12" s="14">
        <v>2351976304</v>
      </c>
      <c r="E12" s="6" t="s">
        <v>10</v>
      </c>
      <c r="F12" s="41">
        <v>36175</v>
      </c>
      <c r="G12" s="3" t="s">
        <v>11</v>
      </c>
      <c r="H12" s="5">
        <v>23520</v>
      </c>
      <c r="I12" s="3">
        <v>2</v>
      </c>
    </row>
    <row r="13" spans="1:18" x14ac:dyDescent="0.25">
      <c r="A13" s="3" t="s">
        <v>28</v>
      </c>
      <c r="B13" s="3" t="s">
        <v>29</v>
      </c>
      <c r="C13" s="3" t="s">
        <v>2</v>
      </c>
      <c r="D13" s="14">
        <v>1716720656</v>
      </c>
      <c r="E13" s="6" t="s">
        <v>15</v>
      </c>
      <c r="F13" s="41">
        <v>40333</v>
      </c>
      <c r="G13" s="3"/>
      <c r="H13" s="5">
        <v>74020</v>
      </c>
      <c r="I13" s="3">
        <v>2</v>
      </c>
    </row>
    <row r="14" spans="1:18" x14ac:dyDescent="0.25">
      <c r="A14" s="3" t="s">
        <v>31</v>
      </c>
      <c r="B14" s="3" t="s">
        <v>9</v>
      </c>
      <c r="C14" s="3" t="s">
        <v>2</v>
      </c>
      <c r="D14" s="14">
        <v>4367106194</v>
      </c>
      <c r="E14" s="6" t="s">
        <v>15</v>
      </c>
      <c r="F14" s="41">
        <v>37803</v>
      </c>
      <c r="G14" s="3"/>
      <c r="H14" s="5">
        <v>78100</v>
      </c>
      <c r="I14" s="3">
        <v>3</v>
      </c>
    </row>
    <row r="15" spans="1:18" x14ac:dyDescent="0.25">
      <c r="A15" s="3" t="s">
        <v>17</v>
      </c>
      <c r="B15" s="3" t="s">
        <v>18</v>
      </c>
      <c r="C15" s="3" t="s">
        <v>2</v>
      </c>
      <c r="D15" s="14">
        <v>7003081469</v>
      </c>
      <c r="E15" s="6" t="s">
        <v>10</v>
      </c>
      <c r="F15" s="41">
        <v>40922</v>
      </c>
      <c r="G15" s="3" t="s">
        <v>6</v>
      </c>
      <c r="H15" s="5">
        <v>39110</v>
      </c>
      <c r="I15" s="3">
        <v>5</v>
      </c>
      <c r="R15" s="44"/>
    </row>
    <row r="16" spans="1:18" x14ac:dyDescent="0.25">
      <c r="A16" s="3" t="s">
        <v>27</v>
      </c>
      <c r="B16" s="3" t="s">
        <v>14</v>
      </c>
      <c r="C16" s="3" t="s">
        <v>2</v>
      </c>
      <c r="D16" s="14">
        <v>6334429233</v>
      </c>
      <c r="E16" s="6" t="s">
        <v>15</v>
      </c>
      <c r="F16" s="41">
        <v>36047</v>
      </c>
      <c r="G16" s="3"/>
      <c r="H16" s="5">
        <v>72480</v>
      </c>
      <c r="I16" s="3">
        <v>2</v>
      </c>
    </row>
    <row r="17" spans="1:13" x14ac:dyDescent="0.25">
      <c r="A17" s="3" t="s">
        <v>21</v>
      </c>
      <c r="B17" s="3" t="s">
        <v>9</v>
      </c>
      <c r="C17" s="3" t="s">
        <v>2</v>
      </c>
      <c r="D17" s="14">
        <v>2435230550</v>
      </c>
      <c r="E17" s="6" t="s">
        <v>10</v>
      </c>
      <c r="F17" s="41">
        <v>41046</v>
      </c>
      <c r="G17" s="3" t="s">
        <v>6</v>
      </c>
      <c r="H17" s="5">
        <v>48550</v>
      </c>
      <c r="I17" s="3">
        <v>5</v>
      </c>
    </row>
    <row r="18" spans="1:13" x14ac:dyDescent="0.25">
      <c r="A18" s="3" t="s">
        <v>13</v>
      </c>
      <c r="B18" s="3" t="s">
        <v>14</v>
      </c>
      <c r="C18" s="3" t="s">
        <v>2</v>
      </c>
      <c r="D18" s="14">
        <v>6733835858</v>
      </c>
      <c r="E18" s="6" t="s">
        <v>15</v>
      </c>
      <c r="F18" s="41">
        <v>37236</v>
      </c>
      <c r="G18" s="3"/>
      <c r="H18" s="5">
        <v>29540</v>
      </c>
      <c r="I18" s="3">
        <v>3</v>
      </c>
    </row>
    <row r="19" spans="1:13" x14ac:dyDescent="0.25">
      <c r="A19" s="3" t="s">
        <v>23</v>
      </c>
      <c r="B19" s="3" t="s">
        <v>9</v>
      </c>
      <c r="C19" s="3" t="s">
        <v>2</v>
      </c>
      <c r="D19" s="14">
        <v>6434162825</v>
      </c>
      <c r="E19" s="6" t="s">
        <v>15</v>
      </c>
      <c r="F19" s="41">
        <v>38734</v>
      </c>
      <c r="G19" s="3"/>
      <c r="H19" s="5">
        <v>54190</v>
      </c>
      <c r="I19" s="3">
        <v>4</v>
      </c>
    </row>
    <row r="20" spans="1:13" x14ac:dyDescent="0.25">
      <c r="A20" s="3" t="s">
        <v>4</v>
      </c>
      <c r="B20" s="3" t="s">
        <v>5</v>
      </c>
      <c r="C20" s="3" t="s">
        <v>2</v>
      </c>
      <c r="D20" s="14">
        <v>4707770130</v>
      </c>
      <c r="E20" s="6" t="s">
        <v>46</v>
      </c>
      <c r="F20" s="41">
        <v>35961</v>
      </c>
      <c r="G20" s="3" t="s">
        <v>6</v>
      </c>
      <c r="H20" s="5">
        <v>20500</v>
      </c>
      <c r="I20" s="3">
        <v>3</v>
      </c>
    </row>
    <row r="21" spans="1:13" x14ac:dyDescent="0.25">
      <c r="A21" s="3" t="s">
        <v>7</v>
      </c>
      <c r="B21" s="3" t="s">
        <v>5</v>
      </c>
      <c r="C21" s="3" t="s">
        <v>2</v>
      </c>
      <c r="D21" s="14">
        <v>6525124736</v>
      </c>
      <c r="E21" s="6" t="s">
        <v>3</v>
      </c>
      <c r="F21" s="41">
        <v>36084</v>
      </c>
      <c r="G21" s="3"/>
      <c r="H21" s="5">
        <v>21668</v>
      </c>
      <c r="I21" s="3">
        <v>4</v>
      </c>
    </row>
    <row r="22" spans="1:13" x14ac:dyDescent="0.25">
      <c r="A22" s="3" t="s">
        <v>30</v>
      </c>
      <c r="B22" s="3" t="s">
        <v>5</v>
      </c>
      <c r="C22" s="3" t="s">
        <v>2</v>
      </c>
      <c r="D22" s="14">
        <v>6166662560</v>
      </c>
      <c r="E22" s="6" t="s">
        <v>15</v>
      </c>
      <c r="F22" s="41">
        <v>40372</v>
      </c>
      <c r="G22" s="3"/>
      <c r="H22" s="5">
        <v>75100</v>
      </c>
      <c r="I22" s="3">
        <v>4</v>
      </c>
    </row>
    <row r="23" spans="1:13" x14ac:dyDescent="0.25">
      <c r="A23" s="3" t="s">
        <v>26</v>
      </c>
      <c r="B23" s="3" t="s">
        <v>5</v>
      </c>
      <c r="C23" s="3" t="s">
        <v>2</v>
      </c>
      <c r="D23" s="14">
        <v>6532419022</v>
      </c>
      <c r="E23" s="6" t="s">
        <v>10</v>
      </c>
      <c r="F23" s="41">
        <v>36898</v>
      </c>
      <c r="G23" s="3" t="s">
        <v>6</v>
      </c>
      <c r="H23" s="5">
        <v>71820</v>
      </c>
      <c r="I23" s="3">
        <v>2</v>
      </c>
    </row>
    <row r="24" spans="1:13" ht="26.25" customHeight="1" thickBot="1" x14ac:dyDescent="0.3">
      <c r="D24" s="1"/>
      <c r="I24" t="s">
        <v>50</v>
      </c>
    </row>
    <row r="25" spans="1:13" ht="18.95" customHeight="1" x14ac:dyDescent="0.25">
      <c r="A25" s="23" t="s">
        <v>51</v>
      </c>
      <c r="B25" s="16"/>
      <c r="C25" s="7"/>
      <c r="D25" s="1"/>
    </row>
    <row r="26" spans="1:13" ht="18.75" customHeight="1" x14ac:dyDescent="0.25">
      <c r="A26" s="24" t="s">
        <v>49</v>
      </c>
      <c r="B26" s="18">
        <v>6334429233</v>
      </c>
      <c r="C26" s="34"/>
      <c r="D26" s="1"/>
    </row>
    <row r="27" spans="1:13" ht="15.75" thickBot="1" x14ac:dyDescent="0.3">
      <c r="A27" s="25" t="s">
        <v>48</v>
      </c>
      <c r="B27" s="26">
        <f>VLOOKUP(B26,D3:I23,3,0)</f>
        <v>36047</v>
      </c>
      <c r="C27" s="7"/>
      <c r="D27" s="31"/>
    </row>
    <row r="28" spans="1:13" x14ac:dyDescent="0.25">
      <c r="A28" s="43" t="s">
        <v>37</v>
      </c>
      <c r="B28" s="34" t="str">
        <f>VLOOKUP(B26,D3:I23,2,0)</f>
        <v>Contract</v>
      </c>
      <c r="C28" s="7"/>
      <c r="D28" s="31"/>
    </row>
    <row r="29" spans="1:13" ht="15.75" thickBot="1" x14ac:dyDescent="0.3">
      <c r="A29" s="7"/>
      <c r="B29" s="7"/>
      <c r="D29" s="1"/>
    </row>
    <row r="30" spans="1:13" ht="18.95" customHeight="1" x14ac:dyDescent="0.25">
      <c r="A30" s="15" t="s">
        <v>52</v>
      </c>
      <c r="B30" s="16"/>
      <c r="D30" s="1"/>
      <c r="E30" s="28"/>
      <c r="M30" s="27"/>
    </row>
    <row r="31" spans="1:13" ht="18.95" customHeight="1" x14ac:dyDescent="0.25">
      <c r="A31" s="17" t="s">
        <v>49</v>
      </c>
      <c r="B31" s="18">
        <v>2435230550</v>
      </c>
      <c r="C31" s="14"/>
      <c r="D31" s="1"/>
      <c r="F31" s="42"/>
      <c r="H31" s="30"/>
    </row>
    <row r="32" spans="1:13" ht="18.95" customHeight="1" x14ac:dyDescent="0.25">
      <c r="A32" s="20" t="s">
        <v>47</v>
      </c>
      <c r="B32" s="21">
        <f>MATCH(B31,D3:D23,0)</f>
        <v>15</v>
      </c>
      <c r="C32" s="29"/>
      <c r="D32" s="9"/>
    </row>
    <row r="33" spans="1:5" ht="18.95" customHeight="1" thickBot="1" x14ac:dyDescent="0.3">
      <c r="A33" s="22" t="s">
        <v>45</v>
      </c>
      <c r="B33" s="19" t="str">
        <f>INDEX(A3:I23,B32,1)</f>
        <v>McCullough, Scott</v>
      </c>
      <c r="C33" s="11"/>
      <c r="D33" s="12"/>
    </row>
    <row r="34" spans="1:5" ht="18.95" customHeight="1" x14ac:dyDescent="0.25">
      <c r="A34" s="35" t="s">
        <v>37</v>
      </c>
      <c r="B34" s="7" t="str">
        <f>INDEX(A3:I23,B32,5)</f>
        <v>Full Time</v>
      </c>
      <c r="C34" s="11" t="str">
        <f>VLOOKUP(B31,D3:I23,2,0)</f>
        <v>Full Time</v>
      </c>
      <c r="D34" s="12"/>
    </row>
    <row r="35" spans="1:5" ht="18.95" customHeight="1" x14ac:dyDescent="0.25">
      <c r="A35" s="35" t="s">
        <v>35</v>
      </c>
      <c r="B35" s="7" t="str">
        <f>INDEX(A3:I23,B32,2)</f>
        <v>North</v>
      </c>
      <c r="C35" s="11"/>
      <c r="D35" s="12"/>
    </row>
    <row r="36" spans="1:5" ht="12.95" customHeight="1" thickBot="1" x14ac:dyDescent="0.3">
      <c r="A36" s="7"/>
      <c r="B36" s="7"/>
    </row>
    <row r="37" spans="1:5" ht="18.95" customHeight="1" x14ac:dyDescent="0.25">
      <c r="A37" s="15" t="s">
        <v>53</v>
      </c>
      <c r="B37" s="16"/>
      <c r="C37" s="8"/>
      <c r="D37" s="8"/>
      <c r="E37" s="8"/>
    </row>
    <row r="38" spans="1:5" ht="18.95" customHeight="1" x14ac:dyDescent="0.25">
      <c r="A38" s="17" t="s">
        <v>49</v>
      </c>
      <c r="B38" s="18">
        <v>4707770130</v>
      </c>
      <c r="C38" s="10"/>
    </row>
    <row r="39" spans="1:5" ht="18.95" customHeight="1" x14ac:dyDescent="0.25">
      <c r="A39" s="36" t="s">
        <v>54</v>
      </c>
      <c r="B39" s="37" t="str">
        <f>INDEX(A3:I23,MATCH(B38,D3:D23,0),1)</f>
        <v>Owen, Robert</v>
      </c>
      <c r="D39" s="1"/>
    </row>
    <row r="40" spans="1:5" x14ac:dyDescent="0.25">
      <c r="A40" s="36" t="s">
        <v>37</v>
      </c>
      <c r="B40" s="37" t="str">
        <f>INDEX(A3:I23,MATCH(B38,D3:D23,0),5)</f>
        <v>Half Time</v>
      </c>
      <c r="D40" s="1"/>
    </row>
    <row r="41" spans="1:5" x14ac:dyDescent="0.25">
      <c r="A41" s="32" t="s">
        <v>59</v>
      </c>
      <c r="B41" s="7">
        <f>INDEX(A3:I23,MATCH(B38,D3:D23,0),9)</f>
        <v>3</v>
      </c>
      <c r="D41" s="1"/>
    </row>
    <row r="42" spans="1:5" x14ac:dyDescent="0.25">
      <c r="A42" s="32"/>
      <c r="B42" s="7"/>
      <c r="D42" s="1"/>
    </row>
    <row r="43" spans="1:5" x14ac:dyDescent="0.25">
      <c r="A43" s="32"/>
      <c r="B43" s="7"/>
      <c r="D43" s="1"/>
    </row>
    <row r="44" spans="1:5" ht="22.5" customHeight="1" x14ac:dyDescent="0.25">
      <c r="A44" s="32" t="s">
        <v>55</v>
      </c>
      <c r="D44" s="1"/>
    </row>
    <row r="45" spans="1:5" ht="22.5" customHeight="1" x14ac:dyDescent="0.25">
      <c r="A45" s="32" t="s">
        <v>56</v>
      </c>
      <c r="B45" s="33">
        <f>MAX(H3:H23)</f>
        <v>87980</v>
      </c>
      <c r="D45" s="1"/>
    </row>
    <row r="46" spans="1:5" ht="22.5" customHeight="1" x14ac:dyDescent="0.25">
      <c r="A46" s="32" t="s">
        <v>57</v>
      </c>
      <c r="B46">
        <f>MATCH(B45,H3:H23,0)</f>
        <v>2</v>
      </c>
      <c r="D46" s="1"/>
    </row>
    <row r="47" spans="1:5" x14ac:dyDescent="0.25">
      <c r="A47" s="32" t="s">
        <v>58</v>
      </c>
      <c r="B47">
        <f>INDEX(A3:I23,B46,9)</f>
        <v>1</v>
      </c>
      <c r="D47" s="2"/>
    </row>
    <row r="49" spans="1:2" x14ac:dyDescent="0.25">
      <c r="A49" s="32" t="s">
        <v>62</v>
      </c>
    </row>
    <row r="50" spans="1:2" x14ac:dyDescent="0.25">
      <c r="A50" s="32" t="s">
        <v>60</v>
      </c>
      <c r="B50" s="33">
        <f>MIN(H3:H23)</f>
        <v>11044</v>
      </c>
    </row>
    <row r="51" spans="1:2" x14ac:dyDescent="0.25">
      <c r="A51" s="32" t="s">
        <v>61</v>
      </c>
      <c r="B51">
        <f>MATCH(B50,H3:H23,0)</f>
        <v>6</v>
      </c>
    </row>
    <row r="52" spans="1:2" x14ac:dyDescent="0.25">
      <c r="A52" s="32" t="s">
        <v>63</v>
      </c>
      <c r="B52">
        <f>INDEX(A3:I23,B51,9)</f>
        <v>2</v>
      </c>
    </row>
    <row r="53" spans="1:2" x14ac:dyDescent="0.25">
      <c r="A53" s="32" t="s">
        <v>54</v>
      </c>
      <c r="B53" t="str">
        <f>INDEX(A3:I23,B51,1)</f>
        <v>Byrd, Asa</v>
      </c>
    </row>
  </sheetData>
  <sortState xmlns:xlrd2="http://schemas.microsoft.com/office/spreadsheetml/2017/richdata2" ref="A4:K24">
    <sortCondition ref="A4"/>
  </sortState>
  <mergeCells count="1">
    <mergeCell ref="A1:C1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2</dc:creator>
  <cp:lastModifiedBy>Disha Parkhi</cp:lastModifiedBy>
  <dcterms:created xsi:type="dcterms:W3CDTF">2015-05-19T22:25:56Z</dcterms:created>
  <dcterms:modified xsi:type="dcterms:W3CDTF">2020-09-15T18:43:08Z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73b0310d-834e-4e14-b61a-55088334916a</vt:lpwstr>
  </property>
</Properties>
</file>