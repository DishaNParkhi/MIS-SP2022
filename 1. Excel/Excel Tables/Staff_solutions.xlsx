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ca7a02737f3c9a0/Documents/Rutgers/MIS Fall Rutgers/Actual Lectures/1. Excel/Excel Tables/"/>
    </mc:Choice>
  </mc:AlternateContent>
  <xr:revisionPtr revIDLastSave="33" documentId="11_4EF2106C719C6308A8BA14EA2E61817AAD6CB3CF" xr6:coauthVersionLast="45" xr6:coauthVersionMax="45" xr10:uidLastSave="{63D6C59D-42A0-4501-A5C6-6922D4F67DD7}"/>
  <bookViews>
    <workbookView xWindow="20370" yWindow="-120" windowWidth="29040" windowHeight="15840" tabRatio="843" activeTab="4" xr2:uid="{00000000-000D-0000-FFFF-FFFF00000000}"/>
  </bookViews>
  <sheets>
    <sheet name="Raw data" sheetId="2" r:id="rId1"/>
    <sheet name="Staff table" sheetId="1" r:id="rId2"/>
    <sheet name="Tax rates" sheetId="3" r:id="rId3"/>
    <sheet name="With data validation" sheetId="5" r:id="rId4"/>
    <sheet name="Data validation lists" sheetId="6" r:id="rId5"/>
  </sheets>
  <definedNames>
    <definedName name="Staff" localSheetId="0">'Raw data'!$A$2:$N$742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X2" i="1" l="1"/>
  <c r="Y2" i="1" s="1"/>
  <c r="Z2" i="1" s="1"/>
  <c r="AA2" i="1" s="1"/>
  <c r="W2" i="1"/>
  <c r="V2" i="1"/>
  <c r="Q2" i="1" l="1"/>
  <c r="R2" i="1" s="1"/>
  <c r="P2" i="1"/>
  <c r="O2" i="1"/>
  <c r="S2" i="1" l="1"/>
  <c r="T2" i="1" s="1"/>
  <c r="J2" i="1"/>
  <c r="K2" i="1" s="1"/>
  <c r="L2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J3" i="5"/>
  <c r="K3" i="5"/>
  <c r="J4" i="5"/>
  <c r="K4" i="5"/>
  <c r="J5" i="5"/>
  <c r="K5" i="5"/>
  <c r="J6" i="5"/>
  <c r="K6" i="5"/>
  <c r="J7" i="5"/>
  <c r="K7" i="5"/>
  <c r="J8" i="5"/>
  <c r="K8" i="5"/>
  <c r="J9" i="5"/>
  <c r="K9" i="5"/>
  <c r="J10" i="5"/>
  <c r="K10" i="5"/>
  <c r="J11" i="5"/>
  <c r="K11" i="5"/>
  <c r="J12" i="5"/>
  <c r="K12" i="5"/>
  <c r="J13" i="5"/>
  <c r="K13" i="5"/>
  <c r="J14" i="5"/>
  <c r="K14" i="5"/>
  <c r="J15" i="5"/>
  <c r="K15" i="5"/>
  <c r="J16" i="5"/>
  <c r="K16" i="5"/>
  <c r="J17" i="5"/>
  <c r="K17" i="5"/>
  <c r="J18" i="5"/>
  <c r="K18" i="5"/>
  <c r="J19" i="5"/>
  <c r="K19" i="5"/>
  <c r="J20" i="5"/>
  <c r="K20" i="5"/>
  <c r="J21" i="5"/>
  <c r="K21" i="5"/>
  <c r="J22" i="5"/>
  <c r="K22" i="5"/>
  <c r="J23" i="5"/>
  <c r="K23" i="5"/>
  <c r="J24" i="5"/>
  <c r="K24" i="5"/>
  <c r="J25" i="5"/>
  <c r="K25" i="5"/>
  <c r="J26" i="5"/>
  <c r="K26" i="5"/>
  <c r="J27" i="5"/>
  <c r="K27" i="5"/>
  <c r="J28" i="5"/>
  <c r="K28" i="5"/>
  <c r="J29" i="5"/>
  <c r="K29" i="5"/>
  <c r="J30" i="5"/>
  <c r="K30" i="5"/>
  <c r="J31" i="5"/>
  <c r="K31" i="5"/>
  <c r="J32" i="5"/>
  <c r="K32" i="5"/>
  <c r="J33" i="5"/>
  <c r="K33" i="5"/>
  <c r="J34" i="5"/>
  <c r="K34" i="5"/>
  <c r="J35" i="5"/>
  <c r="K35" i="5"/>
  <c r="J36" i="5"/>
  <c r="K36" i="5"/>
  <c r="J37" i="5"/>
  <c r="K37" i="5"/>
  <c r="J38" i="5"/>
  <c r="K38" i="5"/>
  <c r="J39" i="5"/>
  <c r="K39" i="5"/>
  <c r="J40" i="5"/>
  <c r="K40" i="5"/>
  <c r="J41" i="5"/>
  <c r="K41" i="5"/>
  <c r="J42" i="5"/>
  <c r="K42" i="5"/>
  <c r="J43" i="5"/>
  <c r="K43" i="5"/>
  <c r="J44" i="5"/>
  <c r="K44" i="5"/>
  <c r="J45" i="5"/>
  <c r="K45" i="5"/>
  <c r="J46" i="5"/>
  <c r="K46" i="5"/>
  <c r="J47" i="5"/>
  <c r="K47" i="5"/>
  <c r="J48" i="5"/>
  <c r="K48" i="5"/>
  <c r="J49" i="5"/>
  <c r="K49" i="5"/>
  <c r="J50" i="5"/>
  <c r="K50" i="5"/>
  <c r="J51" i="5"/>
  <c r="K51" i="5"/>
  <c r="J52" i="5"/>
  <c r="K52" i="5"/>
  <c r="J53" i="5"/>
  <c r="K53" i="5"/>
  <c r="J54" i="5"/>
  <c r="K54" i="5"/>
  <c r="J55" i="5"/>
  <c r="K55" i="5"/>
  <c r="J56" i="5"/>
  <c r="K56" i="5"/>
  <c r="J57" i="5"/>
  <c r="K57" i="5"/>
  <c r="J58" i="5"/>
  <c r="K58" i="5"/>
  <c r="J59" i="5"/>
  <c r="K59" i="5"/>
  <c r="J60" i="5"/>
  <c r="K60" i="5"/>
  <c r="J61" i="5"/>
  <c r="K61" i="5"/>
  <c r="J62" i="5"/>
  <c r="K62" i="5"/>
  <c r="J63" i="5"/>
  <c r="K63" i="5"/>
  <c r="J64" i="5"/>
  <c r="K64" i="5"/>
  <c r="J65" i="5"/>
  <c r="K65" i="5"/>
  <c r="J66" i="5"/>
  <c r="K66" i="5"/>
  <c r="J67" i="5"/>
  <c r="K67" i="5"/>
  <c r="J68" i="5"/>
  <c r="K68" i="5"/>
  <c r="J69" i="5"/>
  <c r="K69" i="5"/>
  <c r="J70" i="5"/>
  <c r="K70" i="5"/>
  <c r="J71" i="5"/>
  <c r="K71" i="5"/>
  <c r="J72" i="5"/>
  <c r="K72" i="5"/>
  <c r="J73" i="5"/>
  <c r="K73" i="5"/>
  <c r="J74" i="5"/>
  <c r="K74" i="5"/>
  <c r="J75" i="5"/>
  <c r="K75" i="5"/>
  <c r="J76" i="5"/>
  <c r="K76" i="5"/>
  <c r="J77" i="5"/>
  <c r="K77" i="5"/>
  <c r="J78" i="5"/>
  <c r="K78" i="5"/>
  <c r="J79" i="5"/>
  <c r="K79" i="5"/>
  <c r="J80" i="5"/>
  <c r="K80" i="5"/>
  <c r="J81" i="5"/>
  <c r="K81" i="5"/>
  <c r="J82" i="5"/>
  <c r="K82" i="5"/>
  <c r="J83" i="5"/>
  <c r="K83" i="5"/>
  <c r="J84" i="5"/>
  <c r="K84" i="5"/>
  <c r="J85" i="5"/>
  <c r="K85" i="5"/>
  <c r="J86" i="5"/>
  <c r="K86" i="5"/>
  <c r="J87" i="5"/>
  <c r="K87" i="5"/>
  <c r="J88" i="5"/>
  <c r="K88" i="5"/>
  <c r="J89" i="5"/>
  <c r="K89" i="5"/>
  <c r="J90" i="5"/>
  <c r="K90" i="5"/>
  <c r="J91" i="5"/>
  <c r="K91" i="5"/>
  <c r="J92" i="5"/>
  <c r="K92" i="5"/>
  <c r="J93" i="5"/>
  <c r="K93" i="5"/>
  <c r="J94" i="5"/>
  <c r="K94" i="5"/>
  <c r="J95" i="5"/>
  <c r="K95" i="5"/>
  <c r="J96" i="5"/>
  <c r="K96" i="5"/>
  <c r="J97" i="5"/>
  <c r="K97" i="5"/>
  <c r="J98" i="5"/>
  <c r="K98" i="5"/>
  <c r="J99" i="5"/>
  <c r="K99" i="5"/>
  <c r="J100" i="5"/>
  <c r="K100" i="5"/>
  <c r="J101" i="5"/>
  <c r="K101" i="5"/>
  <c r="J102" i="5"/>
  <c r="K102" i="5"/>
  <c r="J103" i="5"/>
  <c r="K103" i="5"/>
  <c r="J104" i="5"/>
  <c r="K104" i="5"/>
  <c r="J105" i="5"/>
  <c r="K105" i="5"/>
  <c r="J106" i="5"/>
  <c r="K106" i="5"/>
  <c r="J107" i="5"/>
  <c r="K107" i="5"/>
  <c r="J108" i="5"/>
  <c r="K108" i="5"/>
  <c r="J109" i="5"/>
  <c r="K109" i="5"/>
  <c r="J110" i="5"/>
  <c r="K110" i="5"/>
  <c r="J111" i="5"/>
  <c r="K111" i="5"/>
  <c r="J112" i="5"/>
  <c r="K112" i="5"/>
  <c r="J113" i="5"/>
  <c r="K113" i="5"/>
  <c r="J114" i="5"/>
  <c r="K114" i="5"/>
  <c r="J115" i="5"/>
  <c r="K115" i="5"/>
  <c r="J116" i="5"/>
  <c r="K116" i="5"/>
  <c r="J117" i="5"/>
  <c r="K117" i="5"/>
  <c r="J118" i="5"/>
  <c r="K118" i="5"/>
  <c r="J119" i="5"/>
  <c r="K119" i="5"/>
  <c r="J120" i="5"/>
  <c r="K120" i="5"/>
  <c r="J121" i="5"/>
  <c r="K121" i="5"/>
  <c r="J122" i="5"/>
  <c r="K122" i="5"/>
  <c r="J123" i="5"/>
  <c r="K123" i="5"/>
  <c r="J124" i="5"/>
  <c r="K124" i="5"/>
  <c r="J125" i="5"/>
  <c r="K125" i="5"/>
  <c r="J126" i="5"/>
  <c r="K126" i="5"/>
  <c r="J127" i="5"/>
  <c r="K127" i="5"/>
  <c r="J128" i="5"/>
  <c r="K128" i="5"/>
  <c r="J129" i="5"/>
  <c r="K129" i="5"/>
  <c r="J130" i="5"/>
  <c r="K130" i="5"/>
  <c r="J131" i="5"/>
  <c r="K131" i="5"/>
  <c r="J132" i="5"/>
  <c r="K132" i="5"/>
  <c r="J133" i="5"/>
  <c r="K133" i="5"/>
  <c r="J134" i="5"/>
  <c r="K134" i="5"/>
  <c r="J135" i="5"/>
  <c r="K135" i="5"/>
  <c r="J136" i="5"/>
  <c r="K136" i="5"/>
  <c r="J137" i="5"/>
  <c r="K137" i="5"/>
  <c r="J138" i="5"/>
  <c r="K138" i="5"/>
  <c r="J139" i="5"/>
  <c r="K139" i="5"/>
  <c r="J140" i="5"/>
  <c r="K140" i="5"/>
  <c r="J141" i="5"/>
  <c r="K141" i="5"/>
  <c r="J142" i="5"/>
  <c r="K142" i="5"/>
  <c r="J143" i="5"/>
  <c r="K143" i="5"/>
  <c r="J144" i="5"/>
  <c r="K144" i="5"/>
  <c r="J145" i="5"/>
  <c r="K145" i="5"/>
  <c r="J146" i="5"/>
  <c r="K146" i="5"/>
  <c r="J147" i="5"/>
  <c r="K147" i="5"/>
  <c r="J148" i="5"/>
  <c r="K148" i="5"/>
  <c r="J149" i="5"/>
  <c r="K149" i="5"/>
  <c r="J150" i="5"/>
  <c r="K150" i="5"/>
  <c r="J151" i="5"/>
  <c r="K151" i="5"/>
  <c r="J152" i="5"/>
  <c r="K152" i="5"/>
  <c r="J153" i="5"/>
  <c r="K153" i="5"/>
  <c r="J154" i="5"/>
  <c r="K154" i="5"/>
  <c r="J155" i="5"/>
  <c r="K155" i="5"/>
  <c r="J156" i="5"/>
  <c r="K156" i="5"/>
  <c r="J157" i="5"/>
  <c r="K157" i="5"/>
  <c r="J158" i="5"/>
  <c r="K158" i="5"/>
  <c r="J159" i="5"/>
  <c r="K159" i="5"/>
  <c r="J160" i="5"/>
  <c r="K160" i="5"/>
  <c r="J161" i="5"/>
  <c r="K161" i="5"/>
  <c r="J162" i="5"/>
  <c r="K162" i="5"/>
  <c r="J163" i="5"/>
  <c r="K163" i="5"/>
  <c r="J164" i="5"/>
  <c r="K164" i="5"/>
  <c r="J165" i="5"/>
  <c r="K165" i="5"/>
  <c r="J166" i="5"/>
  <c r="K166" i="5"/>
  <c r="J167" i="5"/>
  <c r="K167" i="5"/>
  <c r="J168" i="5"/>
  <c r="K168" i="5"/>
  <c r="J169" i="5"/>
  <c r="K169" i="5"/>
  <c r="J170" i="5"/>
  <c r="K170" i="5"/>
  <c r="J171" i="5"/>
  <c r="K171" i="5"/>
  <c r="J172" i="5"/>
  <c r="K172" i="5"/>
  <c r="J173" i="5"/>
  <c r="K173" i="5"/>
  <c r="J174" i="5"/>
  <c r="K174" i="5"/>
  <c r="J175" i="5"/>
  <c r="K175" i="5"/>
  <c r="J176" i="5"/>
  <c r="K176" i="5"/>
  <c r="J177" i="5"/>
  <c r="K177" i="5"/>
  <c r="J178" i="5"/>
  <c r="K178" i="5"/>
  <c r="J179" i="5"/>
  <c r="K179" i="5"/>
  <c r="J180" i="5"/>
  <c r="K180" i="5"/>
  <c r="J181" i="5"/>
  <c r="K181" i="5"/>
  <c r="J182" i="5"/>
  <c r="K182" i="5"/>
  <c r="J183" i="5"/>
  <c r="K183" i="5"/>
  <c r="J184" i="5"/>
  <c r="K184" i="5"/>
  <c r="J185" i="5"/>
  <c r="K185" i="5"/>
  <c r="J186" i="5"/>
  <c r="K186" i="5"/>
  <c r="J187" i="5"/>
  <c r="K187" i="5"/>
  <c r="J188" i="5"/>
  <c r="K188" i="5"/>
  <c r="J189" i="5"/>
  <c r="K189" i="5"/>
  <c r="J190" i="5"/>
  <c r="K190" i="5"/>
  <c r="J191" i="5"/>
  <c r="K191" i="5"/>
  <c r="J192" i="5"/>
  <c r="K192" i="5"/>
  <c r="J193" i="5"/>
  <c r="K193" i="5"/>
  <c r="J194" i="5"/>
  <c r="K194" i="5"/>
  <c r="J195" i="5"/>
  <c r="K195" i="5"/>
  <c r="J196" i="5"/>
  <c r="K196" i="5"/>
  <c r="J197" i="5"/>
  <c r="K197" i="5"/>
  <c r="J198" i="5"/>
  <c r="K198" i="5"/>
  <c r="J199" i="5"/>
  <c r="K199" i="5"/>
  <c r="J200" i="5"/>
  <c r="K200" i="5"/>
  <c r="J201" i="5"/>
  <c r="K201" i="5"/>
  <c r="J202" i="5"/>
  <c r="K202" i="5"/>
  <c r="J203" i="5"/>
  <c r="K203" i="5"/>
  <c r="J204" i="5"/>
  <c r="K204" i="5"/>
  <c r="J205" i="5"/>
  <c r="K205" i="5"/>
  <c r="J206" i="5"/>
  <c r="K206" i="5"/>
  <c r="J207" i="5"/>
  <c r="K207" i="5"/>
  <c r="J208" i="5"/>
  <c r="K208" i="5"/>
  <c r="J209" i="5"/>
  <c r="K209" i="5"/>
  <c r="J210" i="5"/>
  <c r="K210" i="5"/>
  <c r="J211" i="5"/>
  <c r="K211" i="5"/>
  <c r="J212" i="5"/>
  <c r="K212" i="5"/>
  <c r="J213" i="5"/>
  <c r="K213" i="5"/>
  <c r="J214" i="5"/>
  <c r="K214" i="5"/>
  <c r="J215" i="5"/>
  <c r="K215" i="5"/>
  <c r="J216" i="5"/>
  <c r="K216" i="5"/>
  <c r="J217" i="5"/>
  <c r="K217" i="5"/>
  <c r="J218" i="5"/>
  <c r="K218" i="5"/>
  <c r="J219" i="5"/>
  <c r="K219" i="5"/>
  <c r="J220" i="5"/>
  <c r="K220" i="5"/>
  <c r="J221" i="5"/>
  <c r="K221" i="5"/>
  <c r="J222" i="5"/>
  <c r="K222" i="5"/>
  <c r="J223" i="5"/>
  <c r="K223" i="5"/>
  <c r="J224" i="5"/>
  <c r="K224" i="5"/>
  <c r="J225" i="5"/>
  <c r="K225" i="5"/>
  <c r="J226" i="5"/>
  <c r="K226" i="5"/>
  <c r="J227" i="5"/>
  <c r="K227" i="5"/>
  <c r="J228" i="5"/>
  <c r="K228" i="5"/>
  <c r="J229" i="5"/>
  <c r="K229" i="5"/>
  <c r="J230" i="5"/>
  <c r="K230" i="5"/>
  <c r="J231" i="5"/>
  <c r="K231" i="5"/>
  <c r="J232" i="5"/>
  <c r="K232" i="5"/>
  <c r="J233" i="5"/>
  <c r="K233" i="5"/>
  <c r="J234" i="5"/>
  <c r="K234" i="5"/>
  <c r="J235" i="5"/>
  <c r="K235" i="5"/>
  <c r="J236" i="5"/>
  <c r="K236" i="5"/>
  <c r="J237" i="5"/>
  <c r="K237" i="5"/>
  <c r="J238" i="5"/>
  <c r="K238" i="5"/>
  <c r="J239" i="5"/>
  <c r="K239" i="5"/>
  <c r="J240" i="5"/>
  <c r="K240" i="5"/>
  <c r="J241" i="5"/>
  <c r="K241" i="5"/>
  <c r="J242" i="5"/>
  <c r="K242" i="5"/>
  <c r="J243" i="5"/>
  <c r="K243" i="5"/>
  <c r="J244" i="5"/>
  <c r="K244" i="5"/>
  <c r="J245" i="5"/>
  <c r="K245" i="5"/>
  <c r="J246" i="5"/>
  <c r="K246" i="5"/>
  <c r="J247" i="5"/>
  <c r="K247" i="5"/>
  <c r="J248" i="5"/>
  <c r="K248" i="5"/>
  <c r="J249" i="5"/>
  <c r="K249" i="5"/>
  <c r="J250" i="5"/>
  <c r="K250" i="5"/>
  <c r="J251" i="5"/>
  <c r="K251" i="5"/>
  <c r="J252" i="5"/>
  <c r="K252" i="5"/>
  <c r="J253" i="5"/>
  <c r="K253" i="5"/>
  <c r="J254" i="5"/>
  <c r="K254" i="5"/>
  <c r="J255" i="5"/>
  <c r="K255" i="5"/>
  <c r="J256" i="5"/>
  <c r="K256" i="5"/>
  <c r="J257" i="5"/>
  <c r="K257" i="5"/>
  <c r="J258" i="5"/>
  <c r="K258" i="5"/>
  <c r="J259" i="5"/>
  <c r="K259" i="5"/>
  <c r="J260" i="5"/>
  <c r="K260" i="5"/>
  <c r="J261" i="5"/>
  <c r="K261" i="5"/>
  <c r="J262" i="5"/>
  <c r="K262" i="5"/>
  <c r="J263" i="5"/>
  <c r="K263" i="5"/>
  <c r="J264" i="5"/>
  <c r="K264" i="5"/>
  <c r="J265" i="5"/>
  <c r="K265" i="5"/>
  <c r="J266" i="5"/>
  <c r="K266" i="5"/>
  <c r="J267" i="5"/>
  <c r="K267" i="5"/>
  <c r="J268" i="5"/>
  <c r="K268" i="5"/>
  <c r="J269" i="5"/>
  <c r="K269" i="5"/>
  <c r="J270" i="5"/>
  <c r="K270" i="5"/>
  <c r="J271" i="5"/>
  <c r="K271" i="5"/>
  <c r="J272" i="5"/>
  <c r="K272" i="5"/>
  <c r="J273" i="5"/>
  <c r="K273" i="5"/>
  <c r="J274" i="5"/>
  <c r="K274" i="5"/>
  <c r="J275" i="5"/>
  <c r="K275" i="5"/>
  <c r="J276" i="5"/>
  <c r="K276" i="5"/>
  <c r="J277" i="5"/>
  <c r="K277" i="5"/>
  <c r="J278" i="5"/>
  <c r="K278" i="5"/>
  <c r="J279" i="5"/>
  <c r="K279" i="5"/>
  <c r="J280" i="5"/>
  <c r="K280" i="5"/>
  <c r="J281" i="5"/>
  <c r="K281" i="5"/>
  <c r="J282" i="5"/>
  <c r="K282" i="5"/>
  <c r="J283" i="5"/>
  <c r="K283" i="5"/>
  <c r="J284" i="5"/>
  <c r="K284" i="5"/>
  <c r="J285" i="5"/>
  <c r="K285" i="5"/>
  <c r="J286" i="5"/>
  <c r="K286" i="5"/>
  <c r="J287" i="5"/>
  <c r="K287" i="5"/>
  <c r="J288" i="5"/>
  <c r="K288" i="5"/>
  <c r="J289" i="5"/>
  <c r="K289" i="5"/>
  <c r="J290" i="5"/>
  <c r="K290" i="5"/>
  <c r="J291" i="5"/>
  <c r="K291" i="5"/>
  <c r="J292" i="5"/>
  <c r="K292" i="5"/>
  <c r="J293" i="5"/>
  <c r="K293" i="5"/>
  <c r="J294" i="5"/>
  <c r="K294" i="5"/>
  <c r="J295" i="5"/>
  <c r="K295" i="5"/>
  <c r="J296" i="5"/>
  <c r="K296" i="5"/>
  <c r="J297" i="5"/>
  <c r="K297" i="5"/>
  <c r="J298" i="5"/>
  <c r="K298" i="5"/>
  <c r="J299" i="5"/>
  <c r="K299" i="5"/>
  <c r="J300" i="5"/>
  <c r="K300" i="5"/>
  <c r="J301" i="5"/>
  <c r="K301" i="5"/>
  <c r="J302" i="5"/>
  <c r="K302" i="5"/>
  <c r="J303" i="5"/>
  <c r="K303" i="5"/>
  <c r="J304" i="5"/>
  <c r="K304" i="5"/>
  <c r="J305" i="5"/>
  <c r="K305" i="5"/>
  <c r="J306" i="5"/>
  <c r="K306" i="5"/>
  <c r="J307" i="5"/>
  <c r="K307" i="5"/>
  <c r="J308" i="5"/>
  <c r="K308" i="5"/>
  <c r="J309" i="5"/>
  <c r="K309" i="5"/>
  <c r="J310" i="5"/>
  <c r="K310" i="5"/>
  <c r="J311" i="5"/>
  <c r="K311" i="5"/>
  <c r="J312" i="5"/>
  <c r="K312" i="5"/>
  <c r="J313" i="5"/>
  <c r="K313" i="5"/>
  <c r="J314" i="5"/>
  <c r="K314" i="5"/>
  <c r="J315" i="5"/>
  <c r="K315" i="5"/>
  <c r="J316" i="5"/>
  <c r="K316" i="5"/>
  <c r="J317" i="5"/>
  <c r="K317" i="5"/>
  <c r="J318" i="5"/>
  <c r="K318" i="5"/>
  <c r="J319" i="5"/>
  <c r="K319" i="5"/>
  <c r="J320" i="5"/>
  <c r="K320" i="5"/>
  <c r="J321" i="5"/>
  <c r="K321" i="5"/>
  <c r="J322" i="5"/>
  <c r="K322" i="5"/>
  <c r="J323" i="5"/>
  <c r="K323" i="5"/>
  <c r="J324" i="5"/>
  <c r="K324" i="5"/>
  <c r="J325" i="5"/>
  <c r="K325" i="5"/>
  <c r="J326" i="5"/>
  <c r="K326" i="5"/>
  <c r="J327" i="5"/>
  <c r="K327" i="5"/>
  <c r="J328" i="5"/>
  <c r="K328" i="5"/>
  <c r="J329" i="5"/>
  <c r="K329" i="5"/>
  <c r="J330" i="5"/>
  <c r="K330" i="5"/>
  <c r="J331" i="5"/>
  <c r="K331" i="5"/>
  <c r="J332" i="5"/>
  <c r="K332" i="5"/>
  <c r="J333" i="5"/>
  <c r="K333" i="5"/>
  <c r="J334" i="5"/>
  <c r="K334" i="5"/>
  <c r="J335" i="5"/>
  <c r="K335" i="5"/>
  <c r="J336" i="5"/>
  <c r="K336" i="5"/>
  <c r="J337" i="5"/>
  <c r="K337" i="5"/>
  <c r="J338" i="5"/>
  <c r="K338" i="5"/>
  <c r="J339" i="5"/>
  <c r="K339" i="5"/>
  <c r="J340" i="5"/>
  <c r="K340" i="5"/>
  <c r="J341" i="5"/>
  <c r="K341" i="5"/>
  <c r="J342" i="5"/>
  <c r="K342" i="5"/>
  <c r="J343" i="5"/>
  <c r="K343" i="5"/>
  <c r="J344" i="5"/>
  <c r="K344" i="5"/>
  <c r="J345" i="5"/>
  <c r="K345" i="5"/>
  <c r="J346" i="5"/>
  <c r="K346" i="5"/>
  <c r="J347" i="5"/>
  <c r="K347" i="5"/>
  <c r="J348" i="5"/>
  <c r="K348" i="5"/>
  <c r="J349" i="5"/>
  <c r="K349" i="5"/>
  <c r="J350" i="5"/>
  <c r="K350" i="5"/>
  <c r="J351" i="5"/>
  <c r="K351" i="5"/>
  <c r="J352" i="5"/>
  <c r="K352" i="5"/>
  <c r="J353" i="5"/>
  <c r="K353" i="5"/>
  <c r="J354" i="5"/>
  <c r="K354" i="5"/>
  <c r="J355" i="5"/>
  <c r="K355" i="5"/>
  <c r="J356" i="5"/>
  <c r="K356" i="5"/>
  <c r="J357" i="5"/>
  <c r="K357" i="5"/>
  <c r="J358" i="5"/>
  <c r="K358" i="5"/>
  <c r="J359" i="5"/>
  <c r="K359" i="5"/>
  <c r="J360" i="5"/>
  <c r="K360" i="5"/>
  <c r="J361" i="5"/>
  <c r="K361" i="5"/>
  <c r="J362" i="5"/>
  <c r="K362" i="5"/>
  <c r="J363" i="5"/>
  <c r="K363" i="5"/>
  <c r="J364" i="5"/>
  <c r="K364" i="5"/>
  <c r="J365" i="5"/>
  <c r="K365" i="5"/>
  <c r="J366" i="5"/>
  <c r="K366" i="5"/>
  <c r="J367" i="5"/>
  <c r="K367" i="5"/>
  <c r="J368" i="5"/>
  <c r="K368" i="5"/>
  <c r="J369" i="5"/>
  <c r="K369" i="5"/>
  <c r="J370" i="5"/>
  <c r="K370" i="5"/>
  <c r="J371" i="5"/>
  <c r="K371" i="5"/>
  <c r="J372" i="5"/>
  <c r="K372" i="5"/>
  <c r="J373" i="5"/>
  <c r="K373" i="5"/>
  <c r="J374" i="5"/>
  <c r="K374" i="5"/>
  <c r="J375" i="5"/>
  <c r="K375" i="5"/>
  <c r="J376" i="5"/>
  <c r="K376" i="5"/>
  <c r="J377" i="5"/>
  <c r="K377" i="5"/>
  <c r="J378" i="5"/>
  <c r="K378" i="5"/>
  <c r="J379" i="5"/>
  <c r="K379" i="5"/>
  <c r="J380" i="5"/>
  <c r="K380" i="5"/>
  <c r="J381" i="5"/>
  <c r="K381" i="5"/>
  <c r="J382" i="5"/>
  <c r="K382" i="5"/>
  <c r="J383" i="5"/>
  <c r="K383" i="5"/>
  <c r="J384" i="5"/>
  <c r="K384" i="5"/>
  <c r="J385" i="5"/>
  <c r="K385" i="5"/>
  <c r="J386" i="5"/>
  <c r="K386" i="5"/>
  <c r="J387" i="5"/>
  <c r="K387" i="5"/>
  <c r="J388" i="5"/>
  <c r="K388" i="5"/>
  <c r="J389" i="5"/>
  <c r="K389" i="5"/>
  <c r="J390" i="5"/>
  <c r="K390" i="5"/>
  <c r="J391" i="5"/>
  <c r="K391" i="5"/>
  <c r="J392" i="5"/>
  <c r="K392" i="5"/>
  <c r="J393" i="5"/>
  <c r="K393" i="5"/>
  <c r="J394" i="5"/>
  <c r="K394" i="5"/>
  <c r="J395" i="5"/>
  <c r="K395" i="5"/>
  <c r="J396" i="5"/>
  <c r="K396" i="5"/>
  <c r="J397" i="5"/>
  <c r="K397" i="5"/>
  <c r="J398" i="5"/>
  <c r="K398" i="5"/>
  <c r="J399" i="5"/>
  <c r="K399" i="5"/>
  <c r="J400" i="5"/>
  <c r="K400" i="5"/>
  <c r="J401" i="5"/>
  <c r="K401" i="5"/>
  <c r="J402" i="5"/>
  <c r="K402" i="5"/>
  <c r="J403" i="5"/>
  <c r="K403" i="5"/>
  <c r="J404" i="5"/>
  <c r="K404" i="5"/>
  <c r="J405" i="5"/>
  <c r="K405" i="5"/>
  <c r="J406" i="5"/>
  <c r="K406" i="5"/>
  <c r="J407" i="5"/>
  <c r="K407" i="5"/>
  <c r="J408" i="5"/>
  <c r="K408" i="5"/>
  <c r="J409" i="5"/>
  <c r="K409" i="5"/>
  <c r="J410" i="5"/>
  <c r="K410" i="5"/>
  <c r="J411" i="5"/>
  <c r="K411" i="5"/>
  <c r="J412" i="5"/>
  <c r="K412" i="5"/>
  <c r="J413" i="5"/>
  <c r="K413" i="5"/>
  <c r="J414" i="5"/>
  <c r="K414" i="5"/>
  <c r="J415" i="5"/>
  <c r="K415" i="5"/>
  <c r="J416" i="5"/>
  <c r="K416" i="5"/>
  <c r="J417" i="5"/>
  <c r="K417" i="5"/>
  <c r="J418" i="5"/>
  <c r="K418" i="5"/>
  <c r="J419" i="5"/>
  <c r="K419" i="5"/>
  <c r="J420" i="5"/>
  <c r="K420" i="5"/>
  <c r="J421" i="5"/>
  <c r="K421" i="5"/>
  <c r="J422" i="5"/>
  <c r="K422" i="5"/>
  <c r="J423" i="5"/>
  <c r="K423" i="5"/>
  <c r="J424" i="5"/>
  <c r="K424" i="5"/>
  <c r="J425" i="5"/>
  <c r="K425" i="5"/>
  <c r="J426" i="5"/>
  <c r="K426" i="5"/>
  <c r="J427" i="5"/>
  <c r="K427" i="5"/>
  <c r="J428" i="5"/>
  <c r="K428" i="5"/>
  <c r="J429" i="5"/>
  <c r="K429" i="5"/>
  <c r="J430" i="5"/>
  <c r="K430" i="5"/>
  <c r="J431" i="5"/>
  <c r="K431" i="5"/>
  <c r="J432" i="5"/>
  <c r="K432" i="5"/>
  <c r="J433" i="5"/>
  <c r="K433" i="5"/>
  <c r="J434" i="5"/>
  <c r="K434" i="5"/>
  <c r="J435" i="5"/>
  <c r="K435" i="5"/>
  <c r="J436" i="5"/>
  <c r="K436" i="5"/>
  <c r="J437" i="5"/>
  <c r="K437" i="5"/>
  <c r="J438" i="5"/>
  <c r="K438" i="5"/>
  <c r="J439" i="5"/>
  <c r="K439" i="5"/>
  <c r="J440" i="5"/>
  <c r="K440" i="5"/>
  <c r="J441" i="5"/>
  <c r="K441" i="5"/>
  <c r="J442" i="5"/>
  <c r="K442" i="5"/>
  <c r="J443" i="5"/>
  <c r="K443" i="5"/>
  <c r="J444" i="5"/>
  <c r="K444" i="5"/>
  <c r="J445" i="5"/>
  <c r="K445" i="5"/>
  <c r="J446" i="5"/>
  <c r="K446" i="5"/>
  <c r="J447" i="5"/>
  <c r="K447" i="5"/>
  <c r="J448" i="5"/>
  <c r="K448" i="5"/>
  <c r="J449" i="5"/>
  <c r="K449" i="5"/>
  <c r="J450" i="5"/>
  <c r="K450" i="5"/>
  <c r="J451" i="5"/>
  <c r="K451" i="5"/>
  <c r="J452" i="5"/>
  <c r="K452" i="5"/>
  <c r="J453" i="5"/>
  <c r="K453" i="5"/>
  <c r="J454" i="5"/>
  <c r="K454" i="5"/>
  <c r="J455" i="5"/>
  <c r="K455" i="5"/>
  <c r="J456" i="5"/>
  <c r="K456" i="5"/>
  <c r="J457" i="5"/>
  <c r="K457" i="5"/>
  <c r="J458" i="5"/>
  <c r="K458" i="5"/>
  <c r="J459" i="5"/>
  <c r="K459" i="5"/>
  <c r="J460" i="5"/>
  <c r="K460" i="5"/>
  <c r="J461" i="5"/>
  <c r="K461" i="5"/>
  <c r="J462" i="5"/>
  <c r="K462" i="5"/>
  <c r="J463" i="5"/>
  <c r="K463" i="5"/>
  <c r="J464" i="5"/>
  <c r="K464" i="5"/>
  <c r="J465" i="5"/>
  <c r="K465" i="5"/>
  <c r="J466" i="5"/>
  <c r="K466" i="5"/>
  <c r="J467" i="5"/>
  <c r="K467" i="5"/>
  <c r="J468" i="5"/>
  <c r="K468" i="5"/>
  <c r="J469" i="5"/>
  <c r="K469" i="5"/>
  <c r="J470" i="5"/>
  <c r="K470" i="5"/>
  <c r="J471" i="5"/>
  <c r="K471" i="5"/>
  <c r="J472" i="5"/>
  <c r="K472" i="5"/>
  <c r="J473" i="5"/>
  <c r="K473" i="5"/>
  <c r="J474" i="5"/>
  <c r="K474" i="5"/>
  <c r="J475" i="5"/>
  <c r="K475" i="5"/>
  <c r="J476" i="5"/>
  <c r="K476" i="5"/>
  <c r="J477" i="5"/>
  <c r="K477" i="5"/>
  <c r="J478" i="5"/>
  <c r="K478" i="5"/>
  <c r="J479" i="5"/>
  <c r="K479" i="5"/>
  <c r="J480" i="5"/>
  <c r="K480" i="5"/>
  <c r="J481" i="5"/>
  <c r="K481" i="5"/>
  <c r="J482" i="5"/>
  <c r="K482" i="5"/>
  <c r="J483" i="5"/>
  <c r="K483" i="5"/>
  <c r="J484" i="5"/>
  <c r="K484" i="5"/>
  <c r="J485" i="5"/>
  <c r="K485" i="5"/>
  <c r="J486" i="5"/>
  <c r="K486" i="5"/>
  <c r="J487" i="5"/>
  <c r="K487" i="5"/>
  <c r="J488" i="5"/>
  <c r="K488" i="5"/>
  <c r="J489" i="5"/>
  <c r="K489" i="5"/>
  <c r="J490" i="5"/>
  <c r="K490" i="5"/>
  <c r="J491" i="5"/>
  <c r="K491" i="5"/>
  <c r="J492" i="5"/>
  <c r="K492" i="5"/>
  <c r="J493" i="5"/>
  <c r="K493" i="5"/>
  <c r="J494" i="5"/>
  <c r="K494" i="5"/>
  <c r="J495" i="5"/>
  <c r="K495" i="5"/>
  <c r="J496" i="5"/>
  <c r="K496" i="5"/>
  <c r="J497" i="5"/>
  <c r="K497" i="5"/>
  <c r="J498" i="5"/>
  <c r="K498" i="5"/>
  <c r="J499" i="5"/>
  <c r="K499" i="5"/>
  <c r="J500" i="5"/>
  <c r="K500" i="5"/>
  <c r="J501" i="5"/>
  <c r="K501" i="5"/>
  <c r="J502" i="5"/>
  <c r="K502" i="5"/>
  <c r="J503" i="5"/>
  <c r="K503" i="5"/>
  <c r="J504" i="5"/>
  <c r="K504" i="5"/>
  <c r="J505" i="5"/>
  <c r="K505" i="5"/>
  <c r="J506" i="5"/>
  <c r="K506" i="5"/>
  <c r="J507" i="5"/>
  <c r="K507" i="5"/>
  <c r="J508" i="5"/>
  <c r="K508" i="5"/>
  <c r="J509" i="5"/>
  <c r="K509" i="5"/>
  <c r="J510" i="5"/>
  <c r="K510" i="5"/>
  <c r="J511" i="5"/>
  <c r="K511" i="5"/>
  <c r="J512" i="5"/>
  <c r="K512" i="5"/>
  <c r="J513" i="5"/>
  <c r="K513" i="5"/>
  <c r="J514" i="5"/>
  <c r="K514" i="5"/>
  <c r="J515" i="5"/>
  <c r="K515" i="5"/>
  <c r="J516" i="5"/>
  <c r="K516" i="5"/>
  <c r="J517" i="5"/>
  <c r="K517" i="5"/>
  <c r="J518" i="5"/>
  <c r="K518" i="5"/>
  <c r="J519" i="5"/>
  <c r="K519" i="5"/>
  <c r="J520" i="5"/>
  <c r="K520" i="5"/>
  <c r="J521" i="5"/>
  <c r="K521" i="5"/>
  <c r="J522" i="5"/>
  <c r="K522" i="5"/>
  <c r="J523" i="5"/>
  <c r="K523" i="5"/>
  <c r="J524" i="5"/>
  <c r="K524" i="5"/>
  <c r="J525" i="5"/>
  <c r="K525" i="5"/>
  <c r="J526" i="5"/>
  <c r="K526" i="5"/>
  <c r="J527" i="5"/>
  <c r="K527" i="5"/>
  <c r="J528" i="5"/>
  <c r="K528" i="5"/>
  <c r="J529" i="5"/>
  <c r="K529" i="5"/>
  <c r="J530" i="5"/>
  <c r="K530" i="5"/>
  <c r="J531" i="5"/>
  <c r="K531" i="5"/>
  <c r="J532" i="5"/>
  <c r="K532" i="5"/>
  <c r="J533" i="5"/>
  <c r="K533" i="5"/>
  <c r="J534" i="5"/>
  <c r="K534" i="5"/>
  <c r="J535" i="5"/>
  <c r="K535" i="5"/>
  <c r="J536" i="5"/>
  <c r="K536" i="5"/>
  <c r="J537" i="5"/>
  <c r="K537" i="5"/>
  <c r="J538" i="5"/>
  <c r="K538" i="5"/>
  <c r="J539" i="5"/>
  <c r="K539" i="5"/>
  <c r="J540" i="5"/>
  <c r="K540" i="5"/>
  <c r="J541" i="5"/>
  <c r="K541" i="5"/>
  <c r="J542" i="5"/>
  <c r="K542" i="5"/>
  <c r="J543" i="5"/>
  <c r="K543" i="5"/>
  <c r="J544" i="5"/>
  <c r="K544" i="5"/>
  <c r="J545" i="5"/>
  <c r="K545" i="5"/>
  <c r="J546" i="5"/>
  <c r="K546" i="5"/>
  <c r="J547" i="5"/>
  <c r="K547" i="5"/>
  <c r="J548" i="5"/>
  <c r="K548" i="5"/>
  <c r="J549" i="5"/>
  <c r="K549" i="5"/>
  <c r="J550" i="5"/>
  <c r="K550" i="5"/>
  <c r="J551" i="5"/>
  <c r="K551" i="5"/>
  <c r="J552" i="5"/>
  <c r="K552" i="5"/>
  <c r="J553" i="5"/>
  <c r="K553" i="5"/>
  <c r="J554" i="5"/>
  <c r="K554" i="5"/>
  <c r="J555" i="5"/>
  <c r="K555" i="5"/>
  <c r="J556" i="5"/>
  <c r="K556" i="5"/>
  <c r="J557" i="5"/>
  <c r="K557" i="5"/>
  <c r="J558" i="5"/>
  <c r="K558" i="5"/>
  <c r="J559" i="5"/>
  <c r="K559" i="5"/>
  <c r="J560" i="5"/>
  <c r="K560" i="5"/>
  <c r="J561" i="5"/>
  <c r="K561" i="5"/>
  <c r="J562" i="5"/>
  <c r="K562" i="5"/>
  <c r="J563" i="5"/>
  <c r="K563" i="5"/>
  <c r="J564" i="5"/>
  <c r="K564" i="5"/>
  <c r="J565" i="5"/>
  <c r="K565" i="5"/>
  <c r="J566" i="5"/>
  <c r="K566" i="5"/>
  <c r="J567" i="5"/>
  <c r="K567" i="5"/>
  <c r="J568" i="5"/>
  <c r="K568" i="5"/>
  <c r="J569" i="5"/>
  <c r="K569" i="5"/>
  <c r="J570" i="5"/>
  <c r="K570" i="5"/>
  <c r="J571" i="5"/>
  <c r="K571" i="5"/>
  <c r="J572" i="5"/>
  <c r="K572" i="5"/>
  <c r="J573" i="5"/>
  <c r="K573" i="5"/>
  <c r="J574" i="5"/>
  <c r="K574" i="5"/>
  <c r="J575" i="5"/>
  <c r="K575" i="5"/>
  <c r="J576" i="5"/>
  <c r="K576" i="5"/>
  <c r="J577" i="5"/>
  <c r="K577" i="5"/>
  <c r="J578" i="5"/>
  <c r="K578" i="5"/>
  <c r="J579" i="5"/>
  <c r="K579" i="5"/>
  <c r="J580" i="5"/>
  <c r="K580" i="5"/>
  <c r="J581" i="5"/>
  <c r="K581" i="5"/>
  <c r="J582" i="5"/>
  <c r="K582" i="5"/>
  <c r="J583" i="5"/>
  <c r="K583" i="5"/>
  <c r="J584" i="5"/>
  <c r="K584" i="5"/>
  <c r="J585" i="5"/>
  <c r="K585" i="5"/>
  <c r="J586" i="5"/>
  <c r="K586" i="5"/>
  <c r="J587" i="5"/>
  <c r="K587" i="5"/>
  <c r="J588" i="5"/>
  <c r="K588" i="5"/>
  <c r="J589" i="5"/>
  <c r="K589" i="5"/>
  <c r="J590" i="5"/>
  <c r="K590" i="5"/>
  <c r="J591" i="5"/>
  <c r="K591" i="5"/>
  <c r="J592" i="5"/>
  <c r="K592" i="5"/>
  <c r="J593" i="5"/>
  <c r="K593" i="5"/>
  <c r="J594" i="5"/>
  <c r="K594" i="5"/>
  <c r="J595" i="5"/>
  <c r="K595" i="5"/>
  <c r="J596" i="5"/>
  <c r="K596" i="5"/>
  <c r="J597" i="5"/>
  <c r="K597" i="5"/>
  <c r="J598" i="5"/>
  <c r="K598" i="5"/>
  <c r="J599" i="5"/>
  <c r="K599" i="5"/>
  <c r="J600" i="5"/>
  <c r="K600" i="5"/>
  <c r="J601" i="5"/>
  <c r="K601" i="5"/>
  <c r="J602" i="5"/>
  <c r="K602" i="5"/>
  <c r="J603" i="5"/>
  <c r="K603" i="5"/>
  <c r="J604" i="5"/>
  <c r="K604" i="5"/>
  <c r="J605" i="5"/>
  <c r="K605" i="5"/>
  <c r="J606" i="5"/>
  <c r="K606" i="5"/>
  <c r="J607" i="5"/>
  <c r="K607" i="5"/>
  <c r="J608" i="5"/>
  <c r="K608" i="5"/>
  <c r="J609" i="5"/>
  <c r="K609" i="5"/>
  <c r="J610" i="5"/>
  <c r="K610" i="5"/>
  <c r="J611" i="5"/>
  <c r="K611" i="5"/>
  <c r="J612" i="5"/>
  <c r="K612" i="5"/>
  <c r="J613" i="5"/>
  <c r="K613" i="5"/>
  <c r="J614" i="5"/>
  <c r="K614" i="5"/>
  <c r="J615" i="5"/>
  <c r="K615" i="5"/>
  <c r="J616" i="5"/>
  <c r="K616" i="5"/>
  <c r="J617" i="5"/>
  <c r="K617" i="5"/>
  <c r="J618" i="5"/>
  <c r="K618" i="5"/>
  <c r="J619" i="5"/>
  <c r="K619" i="5"/>
  <c r="J620" i="5"/>
  <c r="K620" i="5"/>
  <c r="J621" i="5"/>
  <c r="K621" i="5"/>
  <c r="J622" i="5"/>
  <c r="K622" i="5"/>
  <c r="J623" i="5"/>
  <c r="K623" i="5"/>
  <c r="J624" i="5"/>
  <c r="K624" i="5"/>
  <c r="J625" i="5"/>
  <c r="K625" i="5"/>
  <c r="J626" i="5"/>
  <c r="K626" i="5"/>
  <c r="J627" i="5"/>
  <c r="K627" i="5"/>
  <c r="J628" i="5"/>
  <c r="K628" i="5"/>
  <c r="J629" i="5"/>
  <c r="K629" i="5"/>
  <c r="J630" i="5"/>
  <c r="K630" i="5"/>
  <c r="J631" i="5"/>
  <c r="K631" i="5"/>
  <c r="J632" i="5"/>
  <c r="K632" i="5"/>
  <c r="J633" i="5"/>
  <c r="K633" i="5"/>
  <c r="J634" i="5"/>
  <c r="K634" i="5"/>
  <c r="J635" i="5"/>
  <c r="K635" i="5"/>
  <c r="J636" i="5"/>
  <c r="K636" i="5"/>
  <c r="J637" i="5"/>
  <c r="K637" i="5"/>
  <c r="J638" i="5"/>
  <c r="K638" i="5"/>
  <c r="J639" i="5"/>
  <c r="K639" i="5"/>
  <c r="J640" i="5"/>
  <c r="K640" i="5"/>
  <c r="J641" i="5"/>
  <c r="K641" i="5"/>
  <c r="J642" i="5"/>
  <c r="K642" i="5"/>
  <c r="J643" i="5"/>
  <c r="K643" i="5"/>
  <c r="J644" i="5"/>
  <c r="K644" i="5"/>
  <c r="J645" i="5"/>
  <c r="K645" i="5"/>
  <c r="J646" i="5"/>
  <c r="K646" i="5"/>
  <c r="J647" i="5"/>
  <c r="K647" i="5"/>
  <c r="J648" i="5"/>
  <c r="K648" i="5"/>
  <c r="J649" i="5"/>
  <c r="K649" i="5"/>
  <c r="J650" i="5"/>
  <c r="K650" i="5"/>
  <c r="J651" i="5"/>
  <c r="K651" i="5"/>
  <c r="J652" i="5"/>
  <c r="K652" i="5"/>
  <c r="J653" i="5"/>
  <c r="K653" i="5"/>
  <c r="J654" i="5"/>
  <c r="K654" i="5"/>
  <c r="J655" i="5"/>
  <c r="K655" i="5"/>
  <c r="J656" i="5"/>
  <c r="K656" i="5"/>
  <c r="J657" i="5"/>
  <c r="K657" i="5"/>
  <c r="J658" i="5"/>
  <c r="K658" i="5"/>
  <c r="J659" i="5"/>
  <c r="K659" i="5"/>
  <c r="J660" i="5"/>
  <c r="K660" i="5"/>
  <c r="J661" i="5"/>
  <c r="K661" i="5"/>
  <c r="J662" i="5"/>
  <c r="K662" i="5"/>
  <c r="J663" i="5"/>
  <c r="K663" i="5"/>
  <c r="J664" i="5"/>
  <c r="K664" i="5"/>
  <c r="J665" i="5"/>
  <c r="K665" i="5"/>
  <c r="J666" i="5"/>
  <c r="K666" i="5"/>
  <c r="J667" i="5"/>
  <c r="K667" i="5"/>
  <c r="J668" i="5"/>
  <c r="K668" i="5"/>
  <c r="J669" i="5"/>
  <c r="K669" i="5"/>
  <c r="J670" i="5"/>
  <c r="K670" i="5"/>
  <c r="J671" i="5"/>
  <c r="K671" i="5"/>
  <c r="J672" i="5"/>
  <c r="K672" i="5"/>
  <c r="J673" i="5"/>
  <c r="K673" i="5"/>
  <c r="J674" i="5"/>
  <c r="K674" i="5"/>
  <c r="J675" i="5"/>
  <c r="K675" i="5"/>
  <c r="J676" i="5"/>
  <c r="K676" i="5"/>
  <c r="J677" i="5"/>
  <c r="K677" i="5"/>
  <c r="J678" i="5"/>
  <c r="K678" i="5"/>
  <c r="J679" i="5"/>
  <c r="K679" i="5"/>
  <c r="J680" i="5"/>
  <c r="K680" i="5"/>
  <c r="J681" i="5"/>
  <c r="K681" i="5"/>
  <c r="J682" i="5"/>
  <c r="K682" i="5"/>
  <c r="J683" i="5"/>
  <c r="K683" i="5"/>
  <c r="J684" i="5"/>
  <c r="K684" i="5"/>
  <c r="J685" i="5"/>
  <c r="K685" i="5"/>
  <c r="J686" i="5"/>
  <c r="K686" i="5"/>
  <c r="J687" i="5"/>
  <c r="K687" i="5"/>
  <c r="J688" i="5"/>
  <c r="K688" i="5"/>
  <c r="J689" i="5"/>
  <c r="K689" i="5"/>
  <c r="J690" i="5"/>
  <c r="K690" i="5"/>
  <c r="J691" i="5"/>
  <c r="K691" i="5"/>
  <c r="J692" i="5"/>
  <c r="K692" i="5"/>
  <c r="J693" i="5"/>
  <c r="K693" i="5"/>
  <c r="J694" i="5"/>
  <c r="K694" i="5"/>
  <c r="J695" i="5"/>
  <c r="K695" i="5"/>
  <c r="J696" i="5"/>
  <c r="K696" i="5"/>
  <c r="J697" i="5"/>
  <c r="K697" i="5"/>
  <c r="J698" i="5"/>
  <c r="K698" i="5"/>
  <c r="J699" i="5"/>
  <c r="K699" i="5"/>
  <c r="J700" i="5"/>
  <c r="K700" i="5"/>
  <c r="J701" i="5"/>
  <c r="K701" i="5"/>
  <c r="J702" i="5"/>
  <c r="K702" i="5"/>
  <c r="J703" i="5"/>
  <c r="K703" i="5"/>
  <c r="J704" i="5"/>
  <c r="K704" i="5"/>
  <c r="J705" i="5"/>
  <c r="K705" i="5"/>
  <c r="J706" i="5"/>
  <c r="K706" i="5"/>
  <c r="J707" i="5"/>
  <c r="K707" i="5"/>
  <c r="J708" i="5"/>
  <c r="K708" i="5"/>
  <c r="J709" i="5"/>
  <c r="K709" i="5"/>
  <c r="J710" i="5"/>
  <c r="K710" i="5"/>
  <c r="J711" i="5"/>
  <c r="K711" i="5"/>
  <c r="J712" i="5"/>
  <c r="K712" i="5"/>
  <c r="J713" i="5"/>
  <c r="K713" i="5"/>
  <c r="J714" i="5"/>
  <c r="K714" i="5"/>
  <c r="J715" i="5"/>
  <c r="K715" i="5"/>
  <c r="J716" i="5"/>
  <c r="K716" i="5"/>
  <c r="J717" i="5"/>
  <c r="K717" i="5"/>
  <c r="J718" i="5"/>
  <c r="K718" i="5"/>
  <c r="J719" i="5"/>
  <c r="K719" i="5"/>
  <c r="J720" i="5"/>
  <c r="K720" i="5"/>
  <c r="J721" i="5"/>
  <c r="K721" i="5"/>
  <c r="J722" i="5"/>
  <c r="K722" i="5"/>
  <c r="J723" i="5"/>
  <c r="K723" i="5"/>
  <c r="J724" i="5"/>
  <c r="K724" i="5"/>
  <c r="J725" i="5"/>
  <c r="K725" i="5"/>
  <c r="J726" i="5"/>
  <c r="K726" i="5"/>
  <c r="J727" i="5"/>
  <c r="K727" i="5"/>
  <c r="J728" i="5"/>
  <c r="K728" i="5"/>
  <c r="J729" i="5"/>
  <c r="K729" i="5"/>
  <c r="J730" i="5"/>
  <c r="K730" i="5"/>
  <c r="J731" i="5"/>
  <c r="K731" i="5"/>
  <c r="J732" i="5"/>
  <c r="K732" i="5"/>
  <c r="J733" i="5"/>
  <c r="K733" i="5"/>
  <c r="J734" i="5"/>
  <c r="K734" i="5"/>
  <c r="J735" i="5"/>
  <c r="K735" i="5"/>
  <c r="J736" i="5"/>
  <c r="K736" i="5"/>
  <c r="J737" i="5"/>
  <c r="K737" i="5"/>
  <c r="J738" i="5"/>
  <c r="K738" i="5"/>
  <c r="J739" i="5"/>
  <c r="K739" i="5"/>
  <c r="J740" i="5"/>
  <c r="K740" i="5"/>
  <c r="J741" i="5"/>
  <c r="K741" i="5"/>
  <c r="J742" i="5"/>
  <c r="K742" i="5"/>
  <c r="J743" i="5"/>
  <c r="K743" i="5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K580" i="1" s="1"/>
  <c r="L580" i="1" s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K683" i="1" s="1"/>
  <c r="L683" i="1" s="1"/>
  <c r="J684" i="1"/>
  <c r="J685" i="1"/>
  <c r="J686" i="1"/>
  <c r="J687" i="1"/>
  <c r="K687" i="1" s="1"/>
  <c r="L687" i="1" s="1"/>
  <c r="J688" i="1"/>
  <c r="J689" i="1"/>
  <c r="J690" i="1"/>
  <c r="J691" i="1"/>
  <c r="K691" i="1" s="1"/>
  <c r="L691" i="1" s="1"/>
  <c r="J692" i="1"/>
  <c r="J693" i="1"/>
  <c r="J694" i="1"/>
  <c r="J695" i="1"/>
  <c r="K695" i="1" s="1"/>
  <c r="L695" i="1" s="1"/>
  <c r="J696" i="1"/>
  <c r="J697" i="1"/>
  <c r="J698" i="1"/>
  <c r="J699" i="1"/>
  <c r="K699" i="1" s="1"/>
  <c r="L699" i="1" s="1"/>
  <c r="J700" i="1"/>
  <c r="J701" i="1"/>
  <c r="J702" i="1"/>
  <c r="J703" i="1"/>
  <c r="K703" i="1" s="1"/>
  <c r="L703" i="1" s="1"/>
  <c r="J704" i="1"/>
  <c r="J705" i="1"/>
  <c r="J706" i="1"/>
  <c r="J707" i="1"/>
  <c r="K707" i="1" s="1"/>
  <c r="L707" i="1" s="1"/>
  <c r="J708" i="1"/>
  <c r="J709" i="1"/>
  <c r="J710" i="1"/>
  <c r="J711" i="1"/>
  <c r="K711" i="1" s="1"/>
  <c r="L711" i="1" s="1"/>
  <c r="J712" i="1"/>
  <c r="J713" i="1"/>
  <c r="J714" i="1"/>
  <c r="J715" i="1"/>
  <c r="K715" i="1" s="1"/>
  <c r="L715" i="1" s="1"/>
  <c r="J716" i="1"/>
  <c r="J717" i="1"/>
  <c r="J718" i="1"/>
  <c r="J719" i="1"/>
  <c r="K719" i="1" s="1"/>
  <c r="L719" i="1" s="1"/>
  <c r="J720" i="1"/>
  <c r="J721" i="1"/>
  <c r="J722" i="1"/>
  <c r="J723" i="1"/>
  <c r="K723" i="1" s="1"/>
  <c r="L723" i="1" s="1"/>
  <c r="J724" i="1"/>
  <c r="J725" i="1"/>
  <c r="J726" i="1"/>
  <c r="J727" i="1"/>
  <c r="K727" i="1" s="1"/>
  <c r="L727" i="1" s="1"/>
  <c r="J728" i="1"/>
  <c r="J729" i="1"/>
  <c r="J730" i="1"/>
  <c r="J731" i="1"/>
  <c r="K731" i="1" s="1"/>
  <c r="L731" i="1" s="1"/>
  <c r="J732" i="1"/>
  <c r="J733" i="1"/>
  <c r="J734" i="1"/>
  <c r="J735" i="1"/>
  <c r="K735" i="1" s="1"/>
  <c r="L735" i="1" s="1"/>
  <c r="J736" i="1"/>
  <c r="J737" i="1"/>
  <c r="J738" i="1"/>
  <c r="J739" i="1"/>
  <c r="K739" i="1" s="1"/>
  <c r="L739" i="1" s="1"/>
  <c r="J740" i="1"/>
  <c r="J741" i="1"/>
  <c r="J742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4" i="1"/>
  <c r="L684" i="1" s="1"/>
  <c r="K685" i="1"/>
  <c r="L685" i="1" s="1"/>
  <c r="K686" i="1"/>
  <c r="L686" i="1" s="1"/>
  <c r="K688" i="1"/>
  <c r="L688" i="1" s="1"/>
  <c r="K689" i="1"/>
  <c r="L689" i="1" s="1"/>
  <c r="K690" i="1"/>
  <c r="L690" i="1" s="1"/>
  <c r="K692" i="1"/>
  <c r="L692" i="1" s="1"/>
  <c r="K693" i="1"/>
  <c r="L693" i="1" s="1"/>
  <c r="K694" i="1"/>
  <c r="L694" i="1" s="1"/>
  <c r="K696" i="1"/>
  <c r="L696" i="1" s="1"/>
  <c r="K697" i="1"/>
  <c r="L697" i="1" s="1"/>
  <c r="K698" i="1"/>
  <c r="L698" i="1" s="1"/>
  <c r="K700" i="1"/>
  <c r="L700" i="1" s="1"/>
  <c r="K701" i="1"/>
  <c r="L701" i="1" s="1"/>
  <c r="K702" i="1"/>
  <c r="L702" i="1" s="1"/>
  <c r="K704" i="1"/>
  <c r="L704" i="1" s="1"/>
  <c r="K705" i="1"/>
  <c r="L705" i="1" s="1"/>
  <c r="K706" i="1"/>
  <c r="L706" i="1" s="1"/>
  <c r="K708" i="1"/>
  <c r="L708" i="1" s="1"/>
  <c r="K709" i="1"/>
  <c r="L709" i="1" s="1"/>
  <c r="K710" i="1"/>
  <c r="L710" i="1" s="1"/>
  <c r="K712" i="1"/>
  <c r="L712" i="1" s="1"/>
  <c r="K713" i="1"/>
  <c r="L713" i="1" s="1"/>
  <c r="K714" i="1"/>
  <c r="L714" i="1" s="1"/>
  <c r="K716" i="1"/>
  <c r="L716" i="1" s="1"/>
  <c r="K717" i="1"/>
  <c r="L717" i="1" s="1"/>
  <c r="K718" i="1"/>
  <c r="L718" i="1" s="1"/>
  <c r="K720" i="1"/>
  <c r="L720" i="1" s="1"/>
  <c r="K721" i="1"/>
  <c r="L721" i="1" s="1"/>
  <c r="K722" i="1"/>
  <c r="L722" i="1" s="1"/>
  <c r="K724" i="1"/>
  <c r="L724" i="1" s="1"/>
  <c r="K725" i="1"/>
  <c r="L725" i="1" s="1"/>
  <c r="K726" i="1"/>
  <c r="L726" i="1" s="1"/>
  <c r="K728" i="1"/>
  <c r="L728" i="1" s="1"/>
  <c r="K729" i="1"/>
  <c r="L729" i="1" s="1"/>
  <c r="K730" i="1"/>
  <c r="L730" i="1" s="1"/>
  <c r="K732" i="1"/>
  <c r="L732" i="1" s="1"/>
  <c r="K733" i="1"/>
  <c r="L733" i="1" s="1"/>
  <c r="K734" i="1"/>
  <c r="L734" i="1" s="1"/>
  <c r="K736" i="1"/>
  <c r="L736" i="1" s="1"/>
  <c r="K737" i="1"/>
  <c r="L737" i="1" s="1"/>
  <c r="K738" i="1"/>
  <c r="L738" i="1" s="1"/>
  <c r="K740" i="1"/>
  <c r="L740" i="1" s="1"/>
  <c r="K741" i="1"/>
  <c r="L741" i="1" s="1"/>
  <c r="K742" i="1"/>
  <c r="L742" i="1" s="1"/>
  <c r="D5" i="3"/>
  <c r="D3" i="3"/>
  <c r="D4" i="3"/>
  <c r="D6" i="3"/>
  <c r="D7" i="3"/>
  <c r="D8" i="3"/>
  <c r="G744" i="5"/>
  <c r="B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J744" i="5"/>
  <c r="I3" i="5"/>
  <c r="I744" i="5"/>
  <c r="G743" i="1"/>
  <c r="B743" i="1"/>
  <c r="I743" i="1"/>
  <c r="J74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taff1" type="6" refreshedVersion="5" background="1" saveData="1">
    <textPr codePage="437" sourceFile="C:\Users\RBSUser\Desktop\Staff.txt">
      <textFields count="14">
        <textField type="text"/>
        <textField type="text"/>
        <textField type="text"/>
        <textField type="text"/>
        <textField type="DMY"/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<sst xmlns="http://schemas.openxmlformats.org/spreadsheetml/2006/main" count="10457" uniqueCount="807">
  <si>
    <t>Abbott, James</t>
  </si>
  <si>
    <t>North</t>
  </si>
  <si>
    <t>Quality Assurance</t>
  </si>
  <si>
    <t>Full Time</t>
  </si>
  <si>
    <t xml:space="preserve"> DMR </t>
  </si>
  <si>
    <t>Acosta, Robert</t>
  </si>
  <si>
    <t>Main</t>
  </si>
  <si>
    <t>Adams, David</t>
  </si>
  <si>
    <t>Product Development</t>
  </si>
  <si>
    <t xml:space="preserve"> D </t>
  </si>
  <si>
    <t>Adkins, Michael</t>
  </si>
  <si>
    <t xml:space="preserve"> R </t>
  </si>
  <si>
    <t>Aguilar, Kevin</t>
  </si>
  <si>
    <t>West</t>
  </si>
  <si>
    <t>Alexander, Charles</t>
  </si>
  <si>
    <t>Manufacturing Admin</t>
  </si>
  <si>
    <t>Contract</t>
  </si>
  <si>
    <t>Allen, Thomas</t>
  </si>
  <si>
    <t>Manufacturing</t>
  </si>
  <si>
    <t>Allison, Timothy</t>
  </si>
  <si>
    <t>Creative</t>
  </si>
  <si>
    <t xml:space="preserve"> M </t>
  </si>
  <si>
    <t>Alvarado, Sonia</t>
  </si>
  <si>
    <t>IT</t>
  </si>
  <si>
    <t>Half-Time</t>
  </si>
  <si>
    <t xml:space="preserve"> DM </t>
  </si>
  <si>
    <t>Alvarez, Steven</t>
  </si>
  <si>
    <t>Taft</t>
  </si>
  <si>
    <t>Anderson, Teason</t>
  </si>
  <si>
    <t>Watson</t>
  </si>
  <si>
    <t>Account Management</t>
  </si>
  <si>
    <t>Andrews, Diane</t>
  </si>
  <si>
    <t>Hourly</t>
  </si>
  <si>
    <t>Anthony, Robert</t>
  </si>
  <si>
    <t>Armstrong, David</t>
  </si>
  <si>
    <t>Quality Control</t>
  </si>
  <si>
    <t>Arnold, Cole</t>
  </si>
  <si>
    <t>Sales</t>
  </si>
  <si>
    <t>Ashley, Michael</t>
  </si>
  <si>
    <t>Atkins, Kevin</t>
  </si>
  <si>
    <t>Atkinson, Danielle</t>
  </si>
  <si>
    <t>Austin, William</t>
  </si>
  <si>
    <t>Avila, Jody</t>
  </si>
  <si>
    <t>Ayala, Polly</t>
  </si>
  <si>
    <t>Ayers, Douglas</t>
  </si>
  <si>
    <t>Bailey, Victor</t>
  </si>
  <si>
    <t>Research Center</t>
  </si>
  <si>
    <t>Baker, Barney</t>
  </si>
  <si>
    <t>Baldwin, Ray</t>
  </si>
  <si>
    <t>Ball, Kirk</t>
  </si>
  <si>
    <t>Ballard, Martin</t>
  </si>
  <si>
    <t>South</t>
  </si>
  <si>
    <t>Banks, Ryan</t>
  </si>
  <si>
    <t>Barber, Robbie</t>
  </si>
  <si>
    <t>Barker, Heidi</t>
  </si>
  <si>
    <t>Barnes, Grant</t>
  </si>
  <si>
    <t>Barnett, Brenda</t>
  </si>
  <si>
    <t>Human Resources</t>
  </si>
  <si>
    <t>Barr, Jennifer</t>
  </si>
  <si>
    <t>Marketing</t>
  </si>
  <si>
    <t>Barrett, John</t>
  </si>
  <si>
    <t>Barron, Michael</t>
  </si>
  <si>
    <t>Bartlett, Julia</t>
  </si>
  <si>
    <t>Professional Training Group</t>
  </si>
  <si>
    <t>Barton, Barry</t>
  </si>
  <si>
    <t>Bass, Justin</t>
  </si>
  <si>
    <t>Bates, Verna</t>
  </si>
  <si>
    <t>Bauer, Chris</t>
  </si>
  <si>
    <t>Baxter, Teresa</t>
  </si>
  <si>
    <t>Bean, Deborah</t>
  </si>
  <si>
    <t>Beard, Sandi</t>
  </si>
  <si>
    <t>Beasley, Timothy</t>
  </si>
  <si>
    <t>Beck, Craig</t>
  </si>
  <si>
    <t>Environmental Compliance</t>
  </si>
  <si>
    <t>Becker, Gretchen</t>
  </si>
  <si>
    <t>Facilities/Engineering</t>
  </si>
  <si>
    <t>Bell, David</t>
  </si>
  <si>
    <t>Bennett, Chris</t>
  </si>
  <si>
    <t>Benson, Troy</t>
  </si>
  <si>
    <t>Berry, Jacklyn</t>
  </si>
  <si>
    <t>Best, Lara</t>
  </si>
  <si>
    <t>Bishop, Juan</t>
  </si>
  <si>
    <t>Black, Cliff</t>
  </si>
  <si>
    <t>Blackburn, Kathryn</t>
  </si>
  <si>
    <t>Blackwell, Brandon</t>
  </si>
  <si>
    <t>Blair, Sperry</t>
  </si>
  <si>
    <t>Blake, Thomas</t>
  </si>
  <si>
    <t>Blankenship, Roger</t>
  </si>
  <si>
    <t>Blevins, Carey</t>
  </si>
  <si>
    <t>Bond, John</t>
  </si>
  <si>
    <t>Booker, Judith</t>
  </si>
  <si>
    <t>Boone, Eric</t>
  </si>
  <si>
    <t>Major Mfg Projects</t>
  </si>
  <si>
    <t>Booth, Raquel</t>
  </si>
  <si>
    <t>Bowen, Kes</t>
  </si>
  <si>
    <t>Bowers, Tammy</t>
  </si>
  <si>
    <t>Bowman, Michael</t>
  </si>
  <si>
    <t>Boyd, Debra</t>
  </si>
  <si>
    <t>Boyer, John</t>
  </si>
  <si>
    <t>Bradford, Raymond</t>
  </si>
  <si>
    <t>Bradley, David</t>
  </si>
  <si>
    <t>Bradshaw, Sheryl</t>
  </si>
  <si>
    <t>Research/Development</t>
  </si>
  <si>
    <t>Brady, Traci</t>
  </si>
  <si>
    <t>Branch, Brady</t>
  </si>
  <si>
    <t>Brewer, Khurrum</t>
  </si>
  <si>
    <t>Training</t>
  </si>
  <si>
    <t>Bridges, Jeff</t>
  </si>
  <si>
    <t>Briggs, Bryan</t>
  </si>
  <si>
    <t>Brock, Ensley</t>
  </si>
  <si>
    <t>Brooks, Richard</t>
  </si>
  <si>
    <t>Brown, Donald</t>
  </si>
  <si>
    <t>Browning, Kathleen</t>
  </si>
  <si>
    <t>Bruce, Kevin</t>
  </si>
  <si>
    <t>Bryan, Thomas</t>
  </si>
  <si>
    <t>Bryant, Douglas</t>
  </si>
  <si>
    <t>Buchanan, Dennis</t>
  </si>
  <si>
    <t>Buckel, Patricia</t>
  </si>
  <si>
    <t>Bullock, Greg</t>
  </si>
  <si>
    <t>Burgess, Cherie</t>
  </si>
  <si>
    <t>Burke, Michael</t>
  </si>
  <si>
    <t>Burnett, Kevin</t>
  </si>
  <si>
    <t>Burns, Fiona</t>
  </si>
  <si>
    <t>Burton, Cam</t>
  </si>
  <si>
    <t>Bush, Rena</t>
  </si>
  <si>
    <t>Butler, Roy</t>
  </si>
  <si>
    <t>Byrd, Asa</t>
  </si>
  <si>
    <t>Cabe, Max</t>
  </si>
  <si>
    <t>Cain, Lon</t>
  </si>
  <si>
    <t>Caldwell, Pete</t>
  </si>
  <si>
    <t>Calhoun, Dac Vinh</t>
  </si>
  <si>
    <t>Callahan, Marilyn</t>
  </si>
  <si>
    <t>Camacho, Stephanie</t>
  </si>
  <si>
    <t>Cameron, John</t>
  </si>
  <si>
    <t>Campbell, Michael</t>
  </si>
  <si>
    <t>Campos, Richard</t>
  </si>
  <si>
    <t>Cannon, Jenny</t>
  </si>
  <si>
    <t>Carey, Andrea</t>
  </si>
  <si>
    <t>Environmental Health/Safety</t>
  </si>
  <si>
    <t>Carpenter, Ronald</t>
  </si>
  <si>
    <t>Carr, Susan</t>
  </si>
  <si>
    <t>Carrillo, Robert</t>
  </si>
  <si>
    <t>Carroll, Lesa</t>
  </si>
  <si>
    <t>Carson, Anthony</t>
  </si>
  <si>
    <t>Carter, Allan</t>
  </si>
  <si>
    <t>Casey, Ronald</t>
  </si>
  <si>
    <t>Castillo, Sheri</t>
  </si>
  <si>
    <t>Castro, Christopher</t>
  </si>
  <si>
    <t>Chambers, Richard</t>
  </si>
  <si>
    <t>Chandler, Diane</t>
  </si>
  <si>
    <t>Chang, Gabriel</t>
  </si>
  <si>
    <t>Chapman, Jessica</t>
  </si>
  <si>
    <t>Charles, Jeffrey</t>
  </si>
  <si>
    <t>Chase, Troy</t>
  </si>
  <si>
    <t>Chavez, Thomas</t>
  </si>
  <si>
    <t>Chen, Jaime</t>
  </si>
  <si>
    <t>Christensen, Jill</t>
  </si>
  <si>
    <t>Christian, Melissa</t>
  </si>
  <si>
    <t>Clark, William</t>
  </si>
  <si>
    <t>Clarke, Dennis</t>
  </si>
  <si>
    <t>Clay, William</t>
  </si>
  <si>
    <t>Clayton, Gregory</t>
  </si>
  <si>
    <t>Cline, Rebecca</t>
  </si>
  <si>
    <t>Cobb, Nicole</t>
  </si>
  <si>
    <t>Cochran, Andrea</t>
  </si>
  <si>
    <t>Cohen, Bruce</t>
  </si>
  <si>
    <t>Green Building</t>
  </si>
  <si>
    <t>Cole, Elbert</t>
  </si>
  <si>
    <t>Coleman, Roque</t>
  </si>
  <si>
    <t>Collier, Dean</t>
  </si>
  <si>
    <t>Collins, Michael</t>
  </si>
  <si>
    <t>Colon, Donnie</t>
  </si>
  <si>
    <t>Combs, Rick</t>
  </si>
  <si>
    <t>Conley, Mark</t>
  </si>
  <si>
    <t>Conner, Mark</t>
  </si>
  <si>
    <t>Contreras, Dean</t>
  </si>
  <si>
    <t>Conway, Brett</t>
  </si>
  <si>
    <t>Cook, Mark</t>
  </si>
  <si>
    <t>Cooper, Lisa</t>
  </si>
  <si>
    <t>Copeland, Roger</t>
  </si>
  <si>
    <t>Cortez, Jack</t>
  </si>
  <si>
    <t>Cox, Stephanie</t>
  </si>
  <si>
    <t>Craig, Alan</t>
  </si>
  <si>
    <t>Crawford, Ronald</t>
  </si>
  <si>
    <t>Cross, Marc</t>
  </si>
  <si>
    <t>Cruz, Janene</t>
  </si>
  <si>
    <t>Cummings, Jose</t>
  </si>
  <si>
    <t>Cunningham, Denise</t>
  </si>
  <si>
    <t>Curry, Hunyen</t>
  </si>
  <si>
    <t>Curtis, Patrick</t>
  </si>
  <si>
    <t>Dalton, Carol</t>
  </si>
  <si>
    <t>Daniel, Robert</t>
  </si>
  <si>
    <t>Daniels, Janet</t>
  </si>
  <si>
    <t>Davenport, Troy</t>
  </si>
  <si>
    <t>Davidson, Jaime</t>
  </si>
  <si>
    <t>Davis, Tonya</t>
  </si>
  <si>
    <t>Dawson, Jonathan</t>
  </si>
  <si>
    <t>ADC</t>
  </si>
  <si>
    <t>Day, David</t>
  </si>
  <si>
    <t>Dean, Gayla</t>
  </si>
  <si>
    <t>Decker, Amy</t>
  </si>
  <si>
    <t>Deleon, Jaquelyn</t>
  </si>
  <si>
    <t>Delgado, Dale</t>
  </si>
  <si>
    <t>Dennis, Paul</t>
  </si>
  <si>
    <t>Diaz, David</t>
  </si>
  <si>
    <t>Dickerson, Lincoln</t>
  </si>
  <si>
    <t>Dixon, Richard</t>
  </si>
  <si>
    <t>Dodson, David</t>
  </si>
  <si>
    <t>Dominguez, Duane</t>
  </si>
  <si>
    <t>Dorsey, Matthew</t>
  </si>
  <si>
    <t>Douglas, Kenneth</t>
  </si>
  <si>
    <t>Doyle, Leslie</t>
  </si>
  <si>
    <t>Drake, Kyle</t>
  </si>
  <si>
    <t>Dudley, James</t>
  </si>
  <si>
    <t>Duncan, George</t>
  </si>
  <si>
    <t>Dunn, Matthew</t>
  </si>
  <si>
    <t>Duran, Brian</t>
  </si>
  <si>
    <t>Durham, Troy</t>
  </si>
  <si>
    <t>Dyer, Carrie</t>
  </si>
  <si>
    <t>Eaton, Cris</t>
  </si>
  <si>
    <t>Edwards, Phillip</t>
  </si>
  <si>
    <t>Elliott, Anthony</t>
  </si>
  <si>
    <t>Ellis, Brenda</t>
  </si>
  <si>
    <t>Ellison, Melyssa</t>
  </si>
  <si>
    <t>English, David</t>
  </si>
  <si>
    <t>Erickson, Ricky</t>
  </si>
  <si>
    <t>Espinoza, Derrell</t>
  </si>
  <si>
    <t>Estes, Mary</t>
  </si>
  <si>
    <t>Estrada, Joan</t>
  </si>
  <si>
    <t>Evans, Rolin</t>
  </si>
  <si>
    <t>Everett, Dan</t>
  </si>
  <si>
    <t>Farmer, Suzanne</t>
  </si>
  <si>
    <t>Farrell, Laura</t>
  </si>
  <si>
    <t>Ferguson, John</t>
  </si>
  <si>
    <t>Fernandez, Marie</t>
  </si>
  <si>
    <t>Fields, Cathy</t>
  </si>
  <si>
    <t>Figueroa, Leonard</t>
  </si>
  <si>
    <t>Finley, James</t>
  </si>
  <si>
    <t>Fischer, David</t>
  </si>
  <si>
    <t>Fisher, Maria</t>
  </si>
  <si>
    <t>Fitzgerald, George</t>
  </si>
  <si>
    <t>Fleming, Irv</t>
  </si>
  <si>
    <t>Fletcher, Brian</t>
  </si>
  <si>
    <t>Flores, Angela</t>
  </si>
  <si>
    <t>Flowers, Kathleen</t>
  </si>
  <si>
    <t>Floyd, Eric</t>
  </si>
  <si>
    <t>Flynn, Melissa</t>
  </si>
  <si>
    <t>Foley, Peter</t>
  </si>
  <si>
    <t>Ford, Matt</t>
  </si>
  <si>
    <t>Foster, Blane</t>
  </si>
  <si>
    <t>Fowler, John</t>
  </si>
  <si>
    <t>Fox, Ellen</t>
  </si>
  <si>
    <t>Francis, Todd</t>
  </si>
  <si>
    <t>Frank, William</t>
  </si>
  <si>
    <t>Franklin, Alicia</t>
  </si>
  <si>
    <t>Frazier, Chris</t>
  </si>
  <si>
    <t>Freeman, Dennis</t>
  </si>
  <si>
    <t>French, Robert</t>
  </si>
  <si>
    <t>Frost, Adam</t>
  </si>
  <si>
    <t>Fuller, Brenda</t>
  </si>
  <si>
    <t>Gaines, Sheela</t>
  </si>
  <si>
    <t>Gallagher, Johnson</t>
  </si>
  <si>
    <t>Gallegos, Rick</t>
  </si>
  <si>
    <t>Garcia, Karen</t>
  </si>
  <si>
    <t>Gardner, Anthony</t>
  </si>
  <si>
    <t>Garner, Terry</t>
  </si>
  <si>
    <t>Garrett, Chris</t>
  </si>
  <si>
    <t>Garrison, Chris</t>
  </si>
  <si>
    <t>Garza, Anthony</t>
  </si>
  <si>
    <t>Gates, Anne</t>
  </si>
  <si>
    <t>Gentry, John</t>
  </si>
  <si>
    <t>George, Jessica</t>
  </si>
  <si>
    <t>Gibbs, Debra</t>
  </si>
  <si>
    <t>Gibson, Janet</t>
  </si>
  <si>
    <t>Gilbert, Shannon</t>
  </si>
  <si>
    <t>Giles, Kathleen</t>
  </si>
  <si>
    <t>Gill, Douglas</t>
  </si>
  <si>
    <t>Gilmore, Terry</t>
  </si>
  <si>
    <t>Glass, John</t>
  </si>
  <si>
    <t>Glenn, Christopher</t>
  </si>
  <si>
    <t>Glover, Eugene</t>
  </si>
  <si>
    <t>Golden, Christine</t>
  </si>
  <si>
    <t>Gomez, Ed</t>
  </si>
  <si>
    <t>Gonzales, David</t>
  </si>
  <si>
    <t>Gonzalez, David</t>
  </si>
  <si>
    <t>Goodman, Kuyler</t>
  </si>
  <si>
    <t>Goodwin, April</t>
  </si>
  <si>
    <t>Gordon, Diane</t>
  </si>
  <si>
    <t>Graham, David</t>
  </si>
  <si>
    <t>Grant, Leonard</t>
  </si>
  <si>
    <t>Graves, Michael</t>
  </si>
  <si>
    <t>Gray, Mark</t>
  </si>
  <si>
    <t>Green, Kim</t>
  </si>
  <si>
    <t>Greene, Alexander</t>
  </si>
  <si>
    <t>Greer, Brian</t>
  </si>
  <si>
    <t>Gregory, Jon</t>
  </si>
  <si>
    <t>Griffin, Debbi</t>
  </si>
  <si>
    <t>Griffith, Michelle</t>
  </si>
  <si>
    <t>Grimes, Jeffrey</t>
  </si>
  <si>
    <t>Gross, Davin</t>
  </si>
  <si>
    <t>Guerra, Karen</t>
  </si>
  <si>
    <t>Guerrero, Laura</t>
  </si>
  <si>
    <t>Gutierrez, Regina</t>
  </si>
  <si>
    <t>Guzman, Don</t>
  </si>
  <si>
    <t>Hale, Deon</t>
  </si>
  <si>
    <t>Hall, Jenny</t>
  </si>
  <si>
    <t>Hamilton, Theo</t>
  </si>
  <si>
    <t>Hammond, Robert</t>
  </si>
  <si>
    <t>Hampton, Catherine</t>
  </si>
  <si>
    <t>Hancock, Allen</t>
  </si>
  <si>
    <t>Hansen, Andrew</t>
  </si>
  <si>
    <t>Hanson, Dennis</t>
  </si>
  <si>
    <t>Hardin, Gregory</t>
  </si>
  <si>
    <t>Harding, Erin</t>
  </si>
  <si>
    <t>Hardy, Svetlana</t>
  </si>
  <si>
    <t>Harmon, Paul</t>
  </si>
  <si>
    <t>Harper, Cynthia</t>
  </si>
  <si>
    <t>Harrell, Cristin</t>
  </si>
  <si>
    <t>Harrington, Aron</t>
  </si>
  <si>
    <t>Harris, Brian</t>
  </si>
  <si>
    <t>Harrison, Jonathan</t>
  </si>
  <si>
    <t>Hart, Richard</t>
  </si>
  <si>
    <t>Hartman, Michael</t>
  </si>
  <si>
    <t>Harvey, Michael</t>
  </si>
  <si>
    <t>Hatfield, Carl</t>
  </si>
  <si>
    <t>Hawkins, Douglas</t>
  </si>
  <si>
    <t>Hayes, Edward</t>
  </si>
  <si>
    <t>Haynes, Ernest</t>
  </si>
  <si>
    <t>Heath, Deborah</t>
  </si>
  <si>
    <t>Henderson, Anthony</t>
  </si>
  <si>
    <t>Henry, Craig</t>
  </si>
  <si>
    <t>Hensley, William</t>
  </si>
  <si>
    <t>Henson, Debra</t>
  </si>
  <si>
    <t>Herman, Henrietta</t>
  </si>
  <si>
    <t>Hernandez, Glenn</t>
  </si>
  <si>
    <t>Herrera, Shawn</t>
  </si>
  <si>
    <t>Herring, Joanna</t>
  </si>
  <si>
    <t>Hess, Brian</t>
  </si>
  <si>
    <t>Hickman, John</t>
  </si>
  <si>
    <t>Hicks, Monica</t>
  </si>
  <si>
    <t>Higgins, Angela</t>
  </si>
  <si>
    <t>Hill, Robin</t>
  </si>
  <si>
    <t>Hines, Herb</t>
  </si>
  <si>
    <t>Hobbs, Scott</t>
  </si>
  <si>
    <t>Hodge, Craig</t>
  </si>
  <si>
    <t>Hodges, Lisa</t>
  </si>
  <si>
    <t>Hoffman, Brian D</t>
  </si>
  <si>
    <t>Hogan, Daniel</t>
  </si>
  <si>
    <t>Holland, Donald</t>
  </si>
  <si>
    <t>Holloway, Chris</t>
  </si>
  <si>
    <t>Holmes, Tito</t>
  </si>
  <si>
    <t>Holt, Robert</t>
  </si>
  <si>
    <t>Hood, Renee</t>
  </si>
  <si>
    <t>Hoover, Evangeline</t>
  </si>
  <si>
    <t>Hopkins, Lisa</t>
  </si>
  <si>
    <t>Horn, George</t>
  </si>
  <si>
    <t>Horton, Cleatis</t>
  </si>
  <si>
    <t>House, Paul</t>
  </si>
  <si>
    <t>Houston, Mark</t>
  </si>
  <si>
    <t>Howard, Lisa</t>
  </si>
  <si>
    <t>Howell, Douglas</t>
  </si>
  <si>
    <t>Hubbard, Sandra</t>
  </si>
  <si>
    <t>Hudson, Lorna</t>
  </si>
  <si>
    <t>Huff, Erik</t>
  </si>
  <si>
    <t>Huffman, Ignacio</t>
  </si>
  <si>
    <t>Hughes, Kevin</t>
  </si>
  <si>
    <t>Hull, Jeanne</t>
  </si>
  <si>
    <t>Humphrey, Andrew</t>
  </si>
  <si>
    <t>Hunt, Norman</t>
  </si>
  <si>
    <t>Hunter, Lisa</t>
  </si>
  <si>
    <t>Hurst, Thomas</t>
  </si>
  <si>
    <t>Hutchinson, Robin</t>
  </si>
  <si>
    <t>Ingram, Matt</t>
  </si>
  <si>
    <t>Jackson, Eric</t>
  </si>
  <si>
    <t>Jacobs, Florianne</t>
  </si>
  <si>
    <t>James, Lynn</t>
  </si>
  <si>
    <t>Jefferson, Elaine</t>
  </si>
  <si>
    <t>Jenkins, Scott</t>
  </si>
  <si>
    <t>Jennings, Gary</t>
  </si>
  <si>
    <t>Jensen, Kristina</t>
  </si>
  <si>
    <t>Jimenez, Dominic</t>
  </si>
  <si>
    <t>Johns, Chad</t>
  </si>
  <si>
    <t>Johnson, Mary Jo</t>
  </si>
  <si>
    <t>Johnston, Daniel</t>
  </si>
  <si>
    <t>Jones, John</t>
  </si>
  <si>
    <t>Jordan, Mark</t>
  </si>
  <si>
    <t>Joseph, Christopher</t>
  </si>
  <si>
    <t>Juarez, Neill</t>
  </si>
  <si>
    <t>Keith, Thomas</t>
  </si>
  <si>
    <t>Keller, Jason</t>
  </si>
  <si>
    <t>Kelley, Nancy</t>
  </si>
  <si>
    <t>Kelly, Icelita</t>
  </si>
  <si>
    <t>Kemp, Holly</t>
  </si>
  <si>
    <t>Kennedy, Kimberly</t>
  </si>
  <si>
    <t>Kent, Angus</t>
  </si>
  <si>
    <t>Kerr, Mihaela</t>
  </si>
  <si>
    <t>Kim, Deborah</t>
  </si>
  <si>
    <t>King, Taslim</t>
  </si>
  <si>
    <t>Kirby, Michael</t>
  </si>
  <si>
    <t>Kirk, Chris</t>
  </si>
  <si>
    <t>Klein, Robert</t>
  </si>
  <si>
    <t>Knight, Denise</t>
  </si>
  <si>
    <t>Knox, Lori</t>
  </si>
  <si>
    <t>Koch, Danielle</t>
  </si>
  <si>
    <t>Kramer, Faye</t>
  </si>
  <si>
    <t>Lamb, John</t>
  </si>
  <si>
    <t>Lambert, Jody</t>
  </si>
  <si>
    <t>Landry, Linda</t>
  </si>
  <si>
    <t>Lane, Brandyn</t>
  </si>
  <si>
    <t>Lang, Dana</t>
  </si>
  <si>
    <t>Lara, Mark</t>
  </si>
  <si>
    <t>Larsen, Lara</t>
  </si>
  <si>
    <t>Larson, David</t>
  </si>
  <si>
    <t>Lawrence, Ronald</t>
  </si>
  <si>
    <t>Lawson, Erin</t>
  </si>
  <si>
    <t>Leach, Jingwen</t>
  </si>
  <si>
    <t>Leblanc, Jenny</t>
  </si>
  <si>
    <t>Lee, Charles</t>
  </si>
  <si>
    <t>Leon, Emily</t>
  </si>
  <si>
    <t>Leonard, Paul</t>
  </si>
  <si>
    <t>Lester, Sherri</t>
  </si>
  <si>
    <t>Lewis, Frederick</t>
  </si>
  <si>
    <t>Lindsey, Deborah</t>
  </si>
  <si>
    <t>Little, Steve</t>
  </si>
  <si>
    <t>Livingston, Lynette</t>
  </si>
  <si>
    <t>Lloyd, John</t>
  </si>
  <si>
    <t>Logan, Karen</t>
  </si>
  <si>
    <t>Long, Gary</t>
  </si>
  <si>
    <t>Lopez, Stephen</t>
  </si>
  <si>
    <t>Love, Danny</t>
  </si>
  <si>
    <t>Lowe, Michelle</t>
  </si>
  <si>
    <t>Lowery, Charles</t>
  </si>
  <si>
    <t>Lucas, John</t>
  </si>
  <si>
    <t>Luna, Rodney</t>
  </si>
  <si>
    <t>Lynch, Scott</t>
  </si>
  <si>
    <t>Lyons, Brian</t>
  </si>
  <si>
    <t>Mack, Barry</t>
  </si>
  <si>
    <t>Maldonado, Robert</t>
  </si>
  <si>
    <t>Malone, Daniel</t>
  </si>
  <si>
    <t>Mann, Lowell</t>
  </si>
  <si>
    <t>Manning, John</t>
  </si>
  <si>
    <t>Marks, LaReina</t>
  </si>
  <si>
    <t>Marquez, Thomas</t>
  </si>
  <si>
    <t>Marsh, Cynthia</t>
  </si>
  <si>
    <t>Marshall, Anita</t>
  </si>
  <si>
    <t>Martin, Terry</t>
  </si>
  <si>
    <t>Martinez, Kathleen</t>
  </si>
  <si>
    <t>Mason, Suzanne</t>
  </si>
  <si>
    <t>Massey, Mark</t>
  </si>
  <si>
    <t>Mathews, Marcia</t>
  </si>
  <si>
    <t>Mathis, Shari</t>
  </si>
  <si>
    <t>Matthews, Diane</t>
  </si>
  <si>
    <t>Maxwell, Jill</t>
  </si>
  <si>
    <t>May, Steve</t>
  </si>
  <si>
    <t>Maynard, Susan</t>
  </si>
  <si>
    <t>McBride, Grazyna</t>
  </si>
  <si>
    <t>McCall, Keith</t>
  </si>
  <si>
    <t>McCarthy, Ryan</t>
  </si>
  <si>
    <t>McClain, Steven</t>
  </si>
  <si>
    <t>McClure, Gary</t>
  </si>
  <si>
    <t>McConnell, Justin</t>
  </si>
  <si>
    <t>McCormick, Hsi</t>
  </si>
  <si>
    <t>McCoy, Preston</t>
  </si>
  <si>
    <t>McCullough, Scott</t>
  </si>
  <si>
    <t>McDaniel, Tamara</t>
  </si>
  <si>
    <t>McDonald, Debra</t>
  </si>
  <si>
    <t>McDowell, Scott</t>
  </si>
  <si>
    <t>McGee, Carol</t>
  </si>
  <si>
    <t>McGuire, Rebecca</t>
  </si>
  <si>
    <t>McIntosh, Jeremy</t>
  </si>
  <si>
    <t>McKee, Michelle</t>
  </si>
  <si>
    <t>McKenzie, Michelle</t>
  </si>
  <si>
    <t>McKinney, Chris</t>
  </si>
  <si>
    <t>McLaughlin, Edward</t>
  </si>
  <si>
    <t>McLean, Richard</t>
  </si>
  <si>
    <t>Medina, Warren</t>
  </si>
  <si>
    <t>Melton, Scott</t>
  </si>
  <si>
    <t>Mendez, Max</t>
  </si>
  <si>
    <t>Mendoza, Bobby</t>
  </si>
  <si>
    <t>Mercado, David</t>
  </si>
  <si>
    <t>Merritt, Kevin</t>
  </si>
  <si>
    <t>Meyer, Charles</t>
  </si>
  <si>
    <t>Meyers, David</t>
  </si>
  <si>
    <t>Middleton, Jen</t>
  </si>
  <si>
    <t>Miles, Kenneth</t>
  </si>
  <si>
    <t>Miller, Jessica</t>
  </si>
  <si>
    <t>Mills, Melissa</t>
  </si>
  <si>
    <t>Miranda, Elena</t>
  </si>
  <si>
    <t>Mitchell, Shannon</t>
  </si>
  <si>
    <t>Molina, Michael</t>
  </si>
  <si>
    <t>Monroe, Justin</t>
  </si>
  <si>
    <t>Montgomery, Chris</t>
  </si>
  <si>
    <t>Montoya, Lisa</t>
  </si>
  <si>
    <t>Moody, Matthew</t>
  </si>
  <si>
    <t>Moore, Robert</t>
  </si>
  <si>
    <t>Morales, Linda</t>
  </si>
  <si>
    <t>Moran, Carol</t>
  </si>
  <si>
    <t>Moreno, Chris</t>
  </si>
  <si>
    <t>Morgan, Patricia</t>
  </si>
  <si>
    <t>Morris, Richelle</t>
  </si>
  <si>
    <t>Morrison, Julie</t>
  </si>
  <si>
    <t>Morrow, Richard</t>
  </si>
  <si>
    <t>Morse, Michael</t>
  </si>
  <si>
    <t>Morton, Brian</t>
  </si>
  <si>
    <t>Moses, Mark</t>
  </si>
  <si>
    <t>Mosley, Michael</t>
  </si>
  <si>
    <t>Moss, Chan</t>
  </si>
  <si>
    <t>Mueller, Philip</t>
  </si>
  <si>
    <t>Mullins, Angela</t>
  </si>
  <si>
    <t>Munoz, Michael</t>
  </si>
  <si>
    <t>Murphy, Jeff</t>
  </si>
  <si>
    <t>Murray, Rebecca</t>
  </si>
  <si>
    <t>Myers, Marc</t>
  </si>
  <si>
    <t>Nash, Mark</t>
  </si>
  <si>
    <t>Navarro, Marc</t>
  </si>
  <si>
    <t>Neal, Sally</t>
  </si>
  <si>
    <t>Nelson, Shira</t>
  </si>
  <si>
    <t>Newman, Aria</t>
  </si>
  <si>
    <t>Newton, Leigh</t>
  </si>
  <si>
    <t>Nguyen, Dennis</t>
  </si>
  <si>
    <t>Nichols, Nathaniel</t>
  </si>
  <si>
    <t>Nicholson, Lee</t>
  </si>
  <si>
    <t>Nixon, Randy</t>
  </si>
  <si>
    <t>Noble, Michael</t>
  </si>
  <si>
    <t>Norman, Rita</t>
  </si>
  <si>
    <t>Norris, Tamara</t>
  </si>
  <si>
    <t>Norton, Bruce</t>
  </si>
  <si>
    <t>Nunez, Benning</t>
  </si>
  <si>
    <t>Obrien, Madelyn</t>
  </si>
  <si>
    <t>Oconnor, Kent</t>
  </si>
  <si>
    <t>Oliver, Francisco</t>
  </si>
  <si>
    <t>Olsen, Ewan</t>
  </si>
  <si>
    <t>Olson, Melanie</t>
  </si>
  <si>
    <t>Oneal, William</t>
  </si>
  <si>
    <t>Orr, Jennifer</t>
  </si>
  <si>
    <t>Ortega, Jeffrey</t>
  </si>
  <si>
    <t>Ortiz, Cynthia</t>
  </si>
  <si>
    <t>Osborne, Bill</t>
  </si>
  <si>
    <t>Owen, Robert</t>
  </si>
  <si>
    <t>Owens, Dwight</t>
  </si>
  <si>
    <t>Pace, Joseph</t>
  </si>
  <si>
    <t>Pacheco, Therese</t>
  </si>
  <si>
    <t>Padilla, Christopher</t>
  </si>
  <si>
    <t>Page, Lisa</t>
  </si>
  <si>
    <t>Palmer, Terry</t>
  </si>
  <si>
    <t>Park, Timothy</t>
  </si>
  <si>
    <t>Parker, Carl</t>
  </si>
  <si>
    <t>Parks, Christopher</t>
  </si>
  <si>
    <t>Parrish, Debra</t>
  </si>
  <si>
    <t>Parsons, Phillip</t>
  </si>
  <si>
    <t>Patel, Donald</t>
  </si>
  <si>
    <t>Patrick, Wendy</t>
  </si>
  <si>
    <t>Patterson, Robert</t>
  </si>
  <si>
    <t>Patton, Corey</t>
  </si>
  <si>
    <t>Paul, Michael</t>
  </si>
  <si>
    <t>Payne, Vicky</t>
  </si>
  <si>
    <t>Pearson, Cassy</t>
  </si>
  <si>
    <t>Pena, Erik</t>
  </si>
  <si>
    <t>Pennington, Gary</t>
  </si>
  <si>
    <t>Perez, Kim</t>
  </si>
  <si>
    <t>Perkins, Donald</t>
  </si>
  <si>
    <t>Perry, Christopher</t>
  </si>
  <si>
    <t>Peters, Robert</t>
  </si>
  <si>
    <t>Petersen, Timothy</t>
  </si>
  <si>
    <t>Peterson, Shaun</t>
  </si>
  <si>
    <t>Phelps, Gretchen</t>
  </si>
  <si>
    <t>Phillips, Liesl</t>
  </si>
  <si>
    <t>Pierce, Karen</t>
  </si>
  <si>
    <t>Pittman, Bacardi</t>
  </si>
  <si>
    <t>Pitts, Dana</t>
  </si>
  <si>
    <t>Poole, Tracy</t>
  </si>
  <si>
    <t>Pope, Duane</t>
  </si>
  <si>
    <t>Porter, Rachel</t>
  </si>
  <si>
    <t>Potter, Dawn</t>
  </si>
  <si>
    <t>Powell, Juli</t>
  </si>
  <si>
    <t>Powers, Tia</t>
  </si>
  <si>
    <t>Pratt, Erik</t>
  </si>
  <si>
    <t>Preston, Chris</t>
  </si>
  <si>
    <t>Price, Diana</t>
  </si>
  <si>
    <t>Prince, Robert</t>
  </si>
  <si>
    <t>Pruitt, Randy</t>
  </si>
  <si>
    <t>Pugh, Lawrence</t>
  </si>
  <si>
    <t>Quinn, Cinnamon</t>
  </si>
  <si>
    <t>Ramirez, Keith</t>
  </si>
  <si>
    <t>Ramos, Jan</t>
  </si>
  <si>
    <t>Ramsey, Nathaniel</t>
  </si>
  <si>
    <t>Randall, Yvonne</t>
  </si>
  <si>
    <t>Randolph, Kristin</t>
  </si>
  <si>
    <t>Ray, ReAnnon</t>
  </si>
  <si>
    <t>Reed, Larry</t>
  </si>
  <si>
    <t>Reese, Marc</t>
  </si>
  <si>
    <t>Reeves, Greg</t>
  </si>
  <si>
    <t>Reid, Elizabeth</t>
  </si>
  <si>
    <t>Reyes, Mary</t>
  </si>
  <si>
    <t>Reynolds, Barbara</t>
  </si>
  <si>
    <t>Rhodes, Brenda</t>
  </si>
  <si>
    <t>Rice, Diane</t>
  </si>
  <si>
    <t>Rich, Brent</t>
  </si>
  <si>
    <t>Richard, Karen</t>
  </si>
  <si>
    <t>Richards, Richard</t>
  </si>
  <si>
    <t>Richardson, Debbie</t>
  </si>
  <si>
    <t>Riley, David</t>
  </si>
  <si>
    <t>Rios, Fredrick</t>
  </si>
  <si>
    <t xml:space="preserve"> DR </t>
  </si>
  <si>
    <t>Rivera, Timothy</t>
  </si>
  <si>
    <t>Rivers, Douglas</t>
  </si>
  <si>
    <t>Robbins, Suzanne</t>
  </si>
  <si>
    <t>Roberson, Eileen</t>
  </si>
  <si>
    <t>Roberts, Jackie</t>
  </si>
  <si>
    <t>Robertson, Nathan</t>
  </si>
  <si>
    <t>Robinson, John</t>
  </si>
  <si>
    <t>Robles, Charles</t>
  </si>
  <si>
    <t>Rodgers, Daniel</t>
  </si>
  <si>
    <t>Rodriguez, Scott</t>
  </si>
  <si>
    <t>Rodriquez, Denise</t>
  </si>
  <si>
    <t>Rogers, Colleen</t>
  </si>
  <si>
    <t>Rojas, Charles</t>
  </si>
  <si>
    <t>Roman, Teri</t>
  </si>
  <si>
    <t>Romero, Randy</t>
  </si>
  <si>
    <t>Rose, Mark</t>
  </si>
  <si>
    <t>Ross, Janice</t>
  </si>
  <si>
    <t>Roth, Tony</t>
  </si>
  <si>
    <t>Rowe, Ken</t>
  </si>
  <si>
    <t>Roy, Margarita</t>
  </si>
  <si>
    <t>Ruiz, Randall</t>
  </si>
  <si>
    <t>Rush, Lateef</t>
  </si>
  <si>
    <t>Russell, Mark</t>
  </si>
  <si>
    <t>Ryan, Ryan</t>
  </si>
  <si>
    <t>Salazar, Ruben</t>
  </si>
  <si>
    <t>Salinas, Jon</t>
  </si>
  <si>
    <t>Sanchez, Greg</t>
  </si>
  <si>
    <t>Sanders, Troy</t>
  </si>
  <si>
    <t>Sandoval, James</t>
  </si>
  <si>
    <t>Santiago, Michael</t>
  </si>
  <si>
    <t>Santos, Garret</t>
  </si>
  <si>
    <t>Saunders, Corey</t>
  </si>
  <si>
    <t>Savage, John</t>
  </si>
  <si>
    <t>Sawyer, Catherine</t>
  </si>
  <si>
    <t>Schmidt, Michael</t>
  </si>
  <si>
    <t>Schneider, Gay</t>
  </si>
  <si>
    <t>Schroeder, Bennet</t>
  </si>
  <si>
    <t>Schultz, Norman</t>
  </si>
  <si>
    <t>Schwartz, Joseph</t>
  </si>
  <si>
    <t>Scott, Todd</t>
  </si>
  <si>
    <t>Sellers, William</t>
  </si>
  <si>
    <t>Serrano, Al</t>
  </si>
  <si>
    <t>Sexton, John</t>
  </si>
  <si>
    <t>Shaffer, Nobuko</t>
  </si>
  <si>
    <t>Shannon, Kevin</t>
  </si>
  <si>
    <t>Sharp, Janine</t>
  </si>
  <si>
    <t>Shaw, Pat</t>
  </si>
  <si>
    <t>Shelton, Donna</t>
  </si>
  <si>
    <t>Shepherd, Annie</t>
  </si>
  <si>
    <t>Sheppard, Curtis</t>
  </si>
  <si>
    <t>Sherman, Karin</t>
  </si>
  <si>
    <t>Shields, Robert</t>
  </si>
  <si>
    <t>Short, Timothy</t>
  </si>
  <si>
    <t>Silva, Stephen</t>
  </si>
  <si>
    <t>Simmons, Robert</t>
  </si>
  <si>
    <t>Simon, Sheila</t>
  </si>
  <si>
    <t>Simpson, Jimmy</t>
  </si>
  <si>
    <t>Sims, Don</t>
  </si>
  <si>
    <t>Singleton, David</t>
  </si>
  <si>
    <t>Skinner, Jason</t>
  </si>
  <si>
    <t>Sloan, Cindy</t>
  </si>
  <si>
    <t>Small, Athanasios</t>
  </si>
  <si>
    <t>Smith, Koleen</t>
  </si>
  <si>
    <t>Snow, Desiree</t>
  </si>
  <si>
    <t>Snyder, Duane</t>
  </si>
  <si>
    <t>Solis, Daniel</t>
  </si>
  <si>
    <t>Solomon, Michael</t>
  </si>
  <si>
    <t>Soto, Christopher</t>
  </si>
  <si>
    <t>Sparks, Terri</t>
  </si>
  <si>
    <t>Spears, Melanie</t>
  </si>
  <si>
    <t>Spencer, Boyd</t>
  </si>
  <si>
    <t>Stafford, Rhonda</t>
  </si>
  <si>
    <t>Stanley, Eric</t>
  </si>
  <si>
    <t>Steele, Gerald</t>
  </si>
  <si>
    <t>Stephens, Bonnie</t>
  </si>
  <si>
    <t>Stephenson, Matt</t>
  </si>
  <si>
    <t>Stevens, Andrew</t>
  </si>
  <si>
    <t>Stevenson, Michael</t>
  </si>
  <si>
    <t>Stewart, Elizabeth</t>
  </si>
  <si>
    <t>Stokes, Jonathan</t>
  </si>
  <si>
    <t>Stone, Brian</t>
  </si>
  <si>
    <t>Strickland, Rajean</t>
  </si>
  <si>
    <t>Strong, Lisa</t>
  </si>
  <si>
    <t>Sullivan, Robert</t>
  </si>
  <si>
    <t>Summers, Harold</t>
  </si>
  <si>
    <t>Sutton, Matthew</t>
  </si>
  <si>
    <t>Swanson, Vicki</t>
  </si>
  <si>
    <t>Sweeney, Barbara</t>
  </si>
  <si>
    <t>Tanner, Timothy</t>
  </si>
  <si>
    <t>Tate, Zachary</t>
  </si>
  <si>
    <t>Taylor, Hector</t>
  </si>
  <si>
    <t>Terry, Karin</t>
  </si>
  <si>
    <t>Thomas, Shannon</t>
  </si>
  <si>
    <t>Thompson, John</t>
  </si>
  <si>
    <t>Thornton, Charles</t>
  </si>
  <si>
    <t>Todd, Steven</t>
  </si>
  <si>
    <t>Torres, Bruce</t>
  </si>
  <si>
    <t>Townsend, Jerry</t>
  </si>
  <si>
    <t>Tran, Chad</t>
  </si>
  <si>
    <t>Trevino, Gary</t>
  </si>
  <si>
    <t>Trujillo, Shawn</t>
  </si>
  <si>
    <t>Tucker, James</t>
  </si>
  <si>
    <t>Turner, Ray</t>
  </si>
  <si>
    <t>Tyler, Javier</t>
  </si>
  <si>
    <t>Underwood, Todd</t>
  </si>
  <si>
    <t>Valdez, Ann</t>
  </si>
  <si>
    <t>Vance, Cheryl</t>
  </si>
  <si>
    <t>Vargas, Bryant</t>
  </si>
  <si>
    <t>Vasquez, Michael</t>
  </si>
  <si>
    <t>Vaughn, Harlon</t>
  </si>
  <si>
    <t>Vazquez, Kenneth</t>
  </si>
  <si>
    <t>Vega, Alexandra</t>
  </si>
  <si>
    <t>Velasquez, Clint</t>
  </si>
  <si>
    <t>Velez, Letitia</t>
  </si>
  <si>
    <t>Villarreal, Stephen</t>
  </si>
  <si>
    <t>Vincent, Guy</t>
  </si>
  <si>
    <t>Wade, Kevin</t>
  </si>
  <si>
    <t>Wagner, Lynne</t>
  </si>
  <si>
    <t>Walker, Mike</t>
  </si>
  <si>
    <t>Wall, John</t>
  </si>
  <si>
    <t>Wallace, Timothy</t>
  </si>
  <si>
    <t>Walls, Brian</t>
  </si>
  <si>
    <t>Walsh, Matthew</t>
  </si>
  <si>
    <t>Walter, Michael</t>
  </si>
  <si>
    <t>Walters, Ann</t>
  </si>
  <si>
    <t>Walton, Benjamin</t>
  </si>
  <si>
    <t>Ward, Williams</t>
  </si>
  <si>
    <t>Ware, David</t>
  </si>
  <si>
    <t>Warner, Stephen</t>
  </si>
  <si>
    <t>Warren, Jean</t>
  </si>
  <si>
    <t>Washington, Phillip</t>
  </si>
  <si>
    <t>Waters, Alfred</t>
  </si>
  <si>
    <t>Watkins, Gary</t>
  </si>
  <si>
    <t>Watson, Christian</t>
  </si>
  <si>
    <t>Watts, Curtis</t>
  </si>
  <si>
    <t>Weaver, Eric</t>
  </si>
  <si>
    <t>Webb, Jim</t>
  </si>
  <si>
    <t>Weber, Larry</t>
  </si>
  <si>
    <t>Webster, David</t>
  </si>
  <si>
    <t>Weeks, Troy</t>
  </si>
  <si>
    <t>Weiss, Marisa</t>
  </si>
  <si>
    <t>Welch, Michael</t>
  </si>
  <si>
    <t>Wells, Carlos</t>
  </si>
  <si>
    <t>West, Jeffrey</t>
  </si>
  <si>
    <t>Wheeler, Meegan</t>
  </si>
  <si>
    <t>Whitaker, Jessica</t>
  </si>
  <si>
    <t>White, Daniel</t>
  </si>
  <si>
    <t>Whitehead, Carolyn</t>
  </si>
  <si>
    <t>Wiggins, Frank</t>
  </si>
  <si>
    <t>Wilcox, Robert</t>
  </si>
  <si>
    <t>Wiley, Gustavo</t>
  </si>
  <si>
    <t>Wilkerson, Claudia</t>
  </si>
  <si>
    <t>Wilkins, Jesse</t>
  </si>
  <si>
    <t>Wilkinson, Gregory</t>
  </si>
  <si>
    <t>William, William</t>
  </si>
  <si>
    <t>Williams, Scott</t>
  </si>
  <si>
    <t>Williamson, Sumed</t>
  </si>
  <si>
    <t>Willis, Ralph</t>
  </si>
  <si>
    <t>Wilson, Jessica</t>
  </si>
  <si>
    <t>Winters, Shaun</t>
  </si>
  <si>
    <t>Wise, Ted</t>
  </si>
  <si>
    <t>Wolf, Debbie</t>
  </si>
  <si>
    <t>Wolfe, Keith</t>
  </si>
  <si>
    <t>Wong, Dennis</t>
  </si>
  <si>
    <t>Wood, Larry</t>
  </si>
  <si>
    <t>Woodard, Charles</t>
  </si>
  <si>
    <t>Woods, Marcus</t>
  </si>
  <si>
    <t>Woodward, Tim</t>
  </si>
  <si>
    <t>Wright, Brad</t>
  </si>
  <si>
    <t>Wyatt, Kelly</t>
  </si>
  <si>
    <t>Yates, Doug</t>
  </si>
  <si>
    <t>York, Steven</t>
  </si>
  <si>
    <t>Young, Benjamin</t>
  </si>
  <si>
    <t>Zimmerman, Julian</t>
  </si>
  <si>
    <t>Names</t>
  </si>
  <si>
    <t>Building</t>
  </si>
  <si>
    <t>Department</t>
  </si>
  <si>
    <t>Status</t>
  </si>
  <si>
    <t>Hiring date</t>
  </si>
  <si>
    <t>Benefits</t>
  </si>
  <si>
    <t>Salary</t>
  </si>
  <si>
    <t>Rating</t>
  </si>
  <si>
    <t>Bonus</t>
  </si>
  <si>
    <t>After tax salary</t>
  </si>
  <si>
    <t>Total</t>
  </si>
  <si>
    <t>Buildings</t>
  </si>
  <si>
    <t>Departments</t>
  </si>
  <si>
    <t>Job status</t>
  </si>
  <si>
    <t>Taxes</t>
  </si>
  <si>
    <t>Fixed amount</t>
  </si>
  <si>
    <t>Percentage</t>
  </si>
  <si>
    <t>&lt;-insert data here to see the data validation</t>
  </si>
  <si>
    <t>Of the difference with</t>
  </si>
  <si>
    <t>Salary greater or equal than</t>
  </si>
  <si>
    <t>Tax</t>
  </si>
  <si>
    <t>Salary with bonus</t>
  </si>
  <si>
    <t>Fixed amt</t>
  </si>
  <si>
    <t>Tax rate</t>
  </si>
  <si>
    <t>Difference</t>
  </si>
  <si>
    <t>Actual Tax</t>
  </si>
  <si>
    <t>Salary After tax</t>
  </si>
  <si>
    <t>Disha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</si>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</sst>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;[Red]\-&quot;$&quot;#,##0.00"/>
    <numFmt numFmtId="165" formatCode="_(&quot;$&quot;* #,##0_);_(&quot;$&quot;* \(#,##0\);_(&quot;$&quot;* &quot;-&quot;??_);_(@_)"/>
    <numFmt numFmtId="166" formatCode="&quot;$&quot;#,##0.00;[Red]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49" fontId="0" fillId="0" borderId="0" xfId="0" applyNumberFormat="1"/>
    <xf numFmtId="15" fontId="0" fillId="0" borderId="0" xfId="0" applyNumberFormat="1"/>
    <xf numFmtId="3" fontId="0" fillId="0" borderId="0" xfId="0" applyNumberFormat="1"/>
    <xf numFmtId="0" fontId="3" fillId="0" borderId="0" xfId="0" applyFont="1"/>
    <xf numFmtId="49" fontId="0" fillId="0" borderId="1" xfId="0" applyNumberFormat="1" applyFont="1" applyBorder="1"/>
    <xf numFmtId="15" fontId="0" fillId="0" borderId="1" xfId="0" applyNumberFormat="1" applyFont="1" applyBorder="1"/>
    <xf numFmtId="0" fontId="0" fillId="0" borderId="1" xfId="0" applyFont="1" applyBorder="1"/>
    <xf numFmtId="0" fontId="0" fillId="0" borderId="0" xfId="0" applyFont="1" applyBorder="1"/>
    <xf numFmtId="0" fontId="2" fillId="2" borderId="0" xfId="0" applyFont="1" applyFill="1" applyBorder="1"/>
    <xf numFmtId="165" fontId="0" fillId="0" borderId="1" xfId="1" applyNumberFormat="1" applyFont="1" applyBorder="1"/>
    <xf numFmtId="0" fontId="2" fillId="2" borderId="0" xfId="0" applyFont="1" applyFill="1"/>
    <xf numFmtId="44" fontId="0" fillId="0" borderId="0" xfId="1" applyNumberFormat="1" applyFont="1"/>
    <xf numFmtId="0" fontId="0" fillId="0" borderId="0" xfId="0"/>
    <xf numFmtId="44" fontId="0" fillId="0" borderId="0" xfId="1" applyFont="1"/>
    <xf numFmtId="44" fontId="0" fillId="0" borderId="0" xfId="0" applyNumberFormat="1" applyFont="1"/>
    <xf numFmtId="165" fontId="0" fillId="0" borderId="0" xfId="0" applyNumberFormat="1" applyFont="1" applyBorder="1"/>
    <xf numFmtId="49" fontId="0" fillId="0" borderId="1" xfId="0" applyNumberFormat="1" applyFont="1" applyFill="1" applyBorder="1"/>
    <xf numFmtId="15" fontId="0" fillId="0" borderId="1" xfId="0" applyNumberFormat="1" applyFont="1" applyFill="1" applyBorder="1"/>
    <xf numFmtId="165" fontId="0" fillId="0" borderId="1" xfId="1" applyNumberFormat="1" applyFont="1" applyFill="1" applyBorder="1"/>
    <xf numFmtId="0" fontId="0" fillId="0" borderId="1" xfId="0" applyFont="1" applyFill="1" applyBorder="1"/>
    <xf numFmtId="44" fontId="0" fillId="0" borderId="0" xfId="1" applyNumberFormat="1" applyFont="1" applyFill="1"/>
    <xf numFmtId="44" fontId="0" fillId="0" borderId="0" xfId="1" applyFont="1" applyFill="1"/>
    <xf numFmtId="49" fontId="0" fillId="0" borderId="0" xfId="0" applyNumberFormat="1" applyFont="1" applyBorder="1"/>
    <xf numFmtId="0" fontId="0" fillId="0" borderId="0" xfId="0" applyBorder="1"/>
    <xf numFmtId="0" fontId="7" fillId="0" borderId="0" xfId="0" applyFont="1" applyFill="1"/>
    <xf numFmtId="165" fontId="0" fillId="0" borderId="0" xfId="1" applyNumberFormat="1" applyFont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164" fontId="0" fillId="3" borderId="2" xfId="0" applyNumberFormat="1" applyFill="1" applyBorder="1"/>
    <xf numFmtId="166" fontId="0" fillId="0" borderId="2" xfId="0" applyNumberFormat="1" applyBorder="1"/>
    <xf numFmtId="9" fontId="0" fillId="0" borderId="2" xfId="0" applyNumberFormat="1" applyBorder="1"/>
    <xf numFmtId="166" fontId="0" fillId="0" borderId="2" xfId="1" applyNumberFormat="1" applyFont="1" applyBorder="1"/>
    <xf numFmtId="166" fontId="0" fillId="3" borderId="2" xfId="1" applyNumberFormat="1" applyFont="1" applyFill="1" applyBorder="1"/>
    <xf numFmtId="44" fontId="8" fillId="0" borderId="0" xfId="1" applyFont="1" applyFill="1"/>
    <xf numFmtId="44" fontId="8" fillId="0" borderId="0" xfId="1" applyFont="1"/>
    <xf numFmtId="165" fontId="0" fillId="0" borderId="0" xfId="0" applyNumberFormat="1"/>
    <xf numFmtId="44" fontId="0" fillId="0" borderId="0" xfId="0" applyNumberFormat="1"/>
    <xf numFmtId="0" fontId="0" fillId="0" borderId="0" xfId="0" applyFill="1" applyBorder="1"/>
  </cellXfs>
  <cellStyles count="13">
    <cellStyle name="Currency" xfId="1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  <cellStyle name="Normal 2" xfId="2" xr:uid="{00000000-0005-0000-0000-00000C000000}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&quot;$&quot;* #,##0_);_(&quot;$&quot;* \(#,##0\);_(&quot;$&quot;* &quot;-&quot;??_);_(@_)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0" formatCode="d\-mmm\-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&quot;$&quot;* #,##0_);_(&quot;$&quot;* \(#,##0\);_(&quot;$&quot;* &quot;-&quot;??_);_(@_)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0" formatCode="d\-mmm\-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ff" connectionId="1" xr16:uid="{00000000-0016-0000-0000-000000000000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L743" totalsRowCount="1" headerRowDxfId="48" dataDxfId="47" tableBorderDxfId="46">
  <autoFilter ref="A1:L742" xr:uid="{00000000-0009-0000-0100-000002000000}"/>
  <sortState xmlns:xlrd2="http://schemas.microsoft.com/office/spreadsheetml/2017/richdata2" ref="A2:J742">
    <sortCondition ref="E1:E742"/>
  </sortState>
  <tableColumns count="12">
    <tableColumn id="1" xr3:uid="{00000000-0010-0000-0000-000001000000}" name="Names" totalsRowLabel="Total" dataDxfId="45" totalsRowDxfId="44"/>
    <tableColumn id="2" xr3:uid="{00000000-0010-0000-0000-000002000000}" name="Building" totalsRowFunction="count" dataDxfId="43" totalsRowDxfId="42"/>
    <tableColumn id="3" xr3:uid="{00000000-0010-0000-0000-000003000000}" name="Department" dataDxfId="41" totalsRowDxfId="40"/>
    <tableColumn id="4" xr3:uid="{00000000-0010-0000-0000-000004000000}" name="Status" dataDxfId="39" totalsRowDxfId="38"/>
    <tableColumn id="5" xr3:uid="{00000000-0010-0000-0000-000005000000}" name="Hiring date" dataDxfId="37" totalsRowDxfId="36"/>
    <tableColumn id="6" xr3:uid="{00000000-0010-0000-0000-000006000000}" name="Benefits" dataDxfId="35" totalsRowDxfId="34"/>
    <tableColumn id="7" xr3:uid="{00000000-0010-0000-0000-000007000000}" name="Salary" totalsRowFunction="average" dataDxfId="33" totalsRowDxfId="32" dataCellStyle="Currency"/>
    <tableColumn id="8" xr3:uid="{00000000-0010-0000-0000-000008000000}" name="Rating" dataDxfId="31" totalsRowDxfId="30"/>
    <tableColumn id="9" xr3:uid="{00000000-0010-0000-0000-000009000000}" name="Bonus" totalsRowFunction="sum" dataDxfId="29" totalsRowDxfId="28" dataCellStyle="Currency">
      <calculatedColumnFormula>IF(OR(Table2[[#This Row],[Rating]]=4,Table2[[#This Row],[Rating]]=5), 0.05*Table2[[#This Row],[Salary]],0)</calculatedColumnFormula>
    </tableColumn>
    <tableColumn id="10" xr3:uid="{00000000-0010-0000-0000-00000A000000}" name="Taxes" totalsRowFunction="sum" dataDxfId="27" totalsRowDxfId="26" dataCellStyle="Currency">
      <calculatedColumnFormula>VLOOKUP(Table2[[#This Row],[Salary]],'Tax rates'!A$2:C$8, 2) + VLOOKUP(Table2[[#This Row],[Salary]],'Tax rates'!A$2:C$8, 3) * (Table2[[#This Row],[Salary]] - VLOOKUP(Table2[[#This Row],[Salary]],'Tax rates'!A$2:C$8,1))</calculatedColumnFormula>
    </tableColumn>
    <tableColumn id="11" xr3:uid="{00000000-0010-0000-0000-00000B000000}" name="After tax salary" dataDxfId="25" dataCellStyle="Currency">
      <calculatedColumnFormula>Table2[[#This Row],[Salary]]-Table2[[#This Row],[Taxes]]</calculatedColumnFormula>
    </tableColumn>
    <tableColumn id="12" xr3:uid="{12DFDC97-85CA-4356-AD18-32E1F3BF6B3B}" name="Salary with bonus" dataDxfId="24">
      <calculatedColumnFormula>Table2[[#This Row],[After tax salary]]+Table2[[#This Row],[Bonus]]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24" displayName="Table24" ref="A1:K744" totalsRowCount="1" headerRowDxfId="23" dataDxfId="22" tableBorderDxfId="21">
  <autoFilter ref="A1:K743" xr:uid="{00000000-0009-0000-0100-000003000000}"/>
  <sortState xmlns:xlrd2="http://schemas.microsoft.com/office/spreadsheetml/2017/richdata2" ref="A2:J743">
    <sortCondition ref="B2:B742"/>
    <sortCondition ref="C2:C742"/>
    <sortCondition descending="1" ref="G2:G742"/>
  </sortState>
  <tableColumns count="11">
    <tableColumn id="1" xr3:uid="{00000000-0010-0000-0100-000001000000}" name="Names" totalsRowLabel="Total" dataDxfId="20" totalsRowDxfId="9"/>
    <tableColumn id="2" xr3:uid="{00000000-0010-0000-0100-000002000000}" name="Building" totalsRowFunction="count" dataDxfId="19" totalsRowDxfId="8"/>
    <tableColumn id="3" xr3:uid="{00000000-0010-0000-0100-000003000000}" name="Department" dataDxfId="18" totalsRowDxfId="7"/>
    <tableColumn id="4" xr3:uid="{00000000-0010-0000-0100-000004000000}" name="Status" dataDxfId="17" totalsRowDxfId="6"/>
    <tableColumn id="5" xr3:uid="{00000000-0010-0000-0100-000005000000}" name="Hiring date" dataDxfId="16" totalsRowDxfId="5"/>
    <tableColumn id="6" xr3:uid="{00000000-0010-0000-0100-000006000000}" name="Benefits" dataDxfId="15" totalsRowDxfId="4"/>
    <tableColumn id="7" xr3:uid="{00000000-0010-0000-0100-000007000000}" name="Salary" totalsRowFunction="average" dataDxfId="14" totalsRowDxfId="3" dataCellStyle="Currency"/>
    <tableColumn id="8" xr3:uid="{00000000-0010-0000-0100-000008000000}" name="Rating" dataDxfId="13" totalsRowDxfId="2"/>
    <tableColumn id="9" xr3:uid="{00000000-0010-0000-0100-000009000000}" name="Bonus" totalsRowFunction="sum" dataDxfId="12" totalsRowDxfId="1" dataCellStyle="Currency">
      <calculatedColumnFormula>IF(OR(Table24[[#This Row],[Rating]]=4,Table24[[#This Row],[Rating]]=5), 0.05*Table24[[#This Row],[Salary]],0)</calculatedColumnFormula>
    </tableColumn>
    <tableColumn id="10" xr3:uid="{00000000-0010-0000-0100-00000A000000}" name="Taxes" totalsRowFunction="sum" dataDxfId="11" totalsRowDxfId="0" dataCellStyle="Currency">
      <calculatedColumnFormula>VLOOKUP(Table24[[#This Row],[Salary]],'Tax rates'!A$2:C$8, 2) + VLOOKUP(Table24[[#This Row],[Salary]],'Tax rates'!A$2:C$8, 3) * (Table24[[#This Row],[Salary]] - VLOOKUP(Table24[[#This Row],[Salary]],'Tax rates'!A$2:C$8,1))</calculatedColumnFormula>
    </tableColumn>
    <tableColumn id="11" xr3:uid="{00000000-0010-0000-0100-00000B000000}" name="After tax salary" dataDxfId="10">
      <calculatedColumnFormula>Table24[[#This Row],[Salary]]-Table24[[#This Row],[Taxes]]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2"/>
  <sheetViews>
    <sheetView workbookViewId="0">
      <selection activeCell="J1" sqref="J1:J1048576"/>
    </sheetView>
  </sheetViews>
  <sheetFormatPr defaultColWidth="8.85546875" defaultRowHeight="15" x14ac:dyDescent="0.25"/>
  <cols>
    <col min="1" max="1" width="19.42578125" bestFit="1" customWidth="1"/>
    <col min="2" max="2" width="13.28515625" customWidth="1"/>
    <col min="3" max="3" width="27.28515625" bestFit="1" customWidth="1"/>
    <col min="4" max="4" width="9.7109375" bestFit="1" customWidth="1"/>
    <col min="5" max="5" width="10.140625" bestFit="1" customWidth="1"/>
    <col min="6" max="6" width="8" customWidth="1"/>
    <col min="7" max="7" width="9.7109375" customWidth="1"/>
    <col min="8" max="8" width="7.42578125" customWidth="1"/>
  </cols>
  <sheetData>
    <row r="1" spans="1:8" x14ac:dyDescent="0.25">
      <c r="A1" s="4" t="s">
        <v>778</v>
      </c>
      <c r="B1" s="4" t="s">
        <v>779</v>
      </c>
      <c r="C1" s="4" t="s">
        <v>780</v>
      </c>
      <c r="D1" s="4" t="s">
        <v>781</v>
      </c>
      <c r="E1" s="4" t="s">
        <v>782</v>
      </c>
      <c r="F1" s="4" t="s">
        <v>783</v>
      </c>
      <c r="G1" s="4" t="s">
        <v>784</v>
      </c>
      <c r="H1" s="4" t="s">
        <v>785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>
        <v>36526</v>
      </c>
      <c r="F2" s="1" t="s">
        <v>4</v>
      </c>
      <c r="G2" s="3">
        <v>29260</v>
      </c>
      <c r="H2">
        <v>4</v>
      </c>
    </row>
    <row r="3" spans="1:8" x14ac:dyDescent="0.25">
      <c r="A3" s="1" t="s">
        <v>5</v>
      </c>
      <c r="B3" s="1" t="s">
        <v>6</v>
      </c>
      <c r="C3" s="1" t="s">
        <v>2</v>
      </c>
      <c r="D3" s="1" t="s">
        <v>3</v>
      </c>
      <c r="E3" s="2">
        <v>39137</v>
      </c>
      <c r="F3" s="1" t="s">
        <v>4</v>
      </c>
      <c r="G3" s="3">
        <v>39000</v>
      </c>
      <c r="H3">
        <v>5</v>
      </c>
    </row>
    <row r="4" spans="1:8" x14ac:dyDescent="0.25">
      <c r="A4" s="1" t="s">
        <v>7</v>
      </c>
      <c r="B4" s="1" t="s">
        <v>6</v>
      </c>
      <c r="C4" s="1" t="s">
        <v>8</v>
      </c>
      <c r="D4" s="1" t="s">
        <v>3</v>
      </c>
      <c r="E4" s="2">
        <v>40198</v>
      </c>
      <c r="F4" s="1" t="s">
        <v>9</v>
      </c>
      <c r="G4" s="3">
        <v>49260</v>
      </c>
      <c r="H4">
        <v>3</v>
      </c>
    </row>
    <row r="5" spans="1:8" x14ac:dyDescent="0.25">
      <c r="A5" s="1" t="s">
        <v>10</v>
      </c>
      <c r="B5" s="1" t="s">
        <v>1</v>
      </c>
      <c r="C5" s="1" t="s">
        <v>2</v>
      </c>
      <c r="D5" s="1" t="s">
        <v>3</v>
      </c>
      <c r="E5" s="2">
        <v>40574</v>
      </c>
      <c r="F5" s="1" t="s">
        <v>11</v>
      </c>
      <c r="G5" s="3">
        <v>24840</v>
      </c>
      <c r="H5">
        <v>1</v>
      </c>
    </row>
    <row r="6" spans="1:8" x14ac:dyDescent="0.25">
      <c r="A6" s="1" t="s">
        <v>12</v>
      </c>
      <c r="B6" s="1" t="s">
        <v>13</v>
      </c>
      <c r="C6" s="1" t="s">
        <v>2</v>
      </c>
      <c r="D6" s="1" t="s">
        <v>3</v>
      </c>
      <c r="E6" s="2">
        <v>36290</v>
      </c>
      <c r="F6" s="1" t="s">
        <v>11</v>
      </c>
      <c r="G6" s="3">
        <v>39000</v>
      </c>
      <c r="H6">
        <v>3</v>
      </c>
    </row>
    <row r="7" spans="1:8" x14ac:dyDescent="0.25">
      <c r="A7" s="1" t="s">
        <v>14</v>
      </c>
      <c r="B7" s="1" t="s">
        <v>13</v>
      </c>
      <c r="C7" s="1" t="s">
        <v>15</v>
      </c>
      <c r="D7" s="1" t="s">
        <v>16</v>
      </c>
      <c r="E7" s="2">
        <v>36765</v>
      </c>
      <c r="G7" s="3">
        <v>74500</v>
      </c>
      <c r="H7">
        <v>4</v>
      </c>
    </row>
    <row r="8" spans="1:8" x14ac:dyDescent="0.25">
      <c r="A8" s="1" t="s">
        <v>17</v>
      </c>
      <c r="B8" s="1" t="s">
        <v>6</v>
      </c>
      <c r="C8" s="1" t="s">
        <v>18</v>
      </c>
      <c r="D8" s="1" t="s">
        <v>3</v>
      </c>
      <c r="E8" s="2">
        <v>38807</v>
      </c>
      <c r="F8" s="1" t="s">
        <v>4</v>
      </c>
      <c r="G8" s="3">
        <v>79730</v>
      </c>
      <c r="H8">
        <v>2</v>
      </c>
    </row>
    <row r="9" spans="1:8" x14ac:dyDescent="0.25">
      <c r="A9" s="1" t="s">
        <v>19</v>
      </c>
      <c r="B9" s="1" t="s">
        <v>6</v>
      </c>
      <c r="C9" s="1" t="s">
        <v>20</v>
      </c>
      <c r="D9" s="1" t="s">
        <v>3</v>
      </c>
      <c r="E9" s="2">
        <v>40918</v>
      </c>
      <c r="F9" s="1" t="s">
        <v>21</v>
      </c>
      <c r="G9" s="3">
        <v>82500</v>
      </c>
      <c r="H9">
        <v>5</v>
      </c>
    </row>
    <row r="10" spans="1:8" x14ac:dyDescent="0.25">
      <c r="A10" s="1" t="s">
        <v>22</v>
      </c>
      <c r="B10" s="1" t="s">
        <v>6</v>
      </c>
      <c r="C10" s="1" t="s">
        <v>23</v>
      </c>
      <c r="D10" s="1" t="s">
        <v>24</v>
      </c>
      <c r="E10" s="2">
        <v>40807</v>
      </c>
      <c r="F10" s="1" t="s">
        <v>25</v>
      </c>
      <c r="G10" s="3">
        <v>35045</v>
      </c>
      <c r="H10">
        <v>4</v>
      </c>
    </row>
    <row r="11" spans="1:8" x14ac:dyDescent="0.25">
      <c r="A11" s="1" t="s">
        <v>26</v>
      </c>
      <c r="B11" s="1" t="s">
        <v>27</v>
      </c>
      <c r="C11" s="1" t="s">
        <v>2</v>
      </c>
      <c r="D11" s="1" t="s">
        <v>16</v>
      </c>
      <c r="E11" s="2">
        <v>40587</v>
      </c>
      <c r="G11" s="3">
        <v>89450</v>
      </c>
      <c r="H11">
        <v>2</v>
      </c>
    </row>
    <row r="12" spans="1:8" x14ac:dyDescent="0.25">
      <c r="A12" s="1" t="s">
        <v>28</v>
      </c>
      <c r="B12" s="1" t="s">
        <v>29</v>
      </c>
      <c r="C12" s="1" t="s">
        <v>30</v>
      </c>
      <c r="D12" s="1" t="s">
        <v>16</v>
      </c>
      <c r="E12" s="2">
        <v>36375</v>
      </c>
      <c r="G12" s="3">
        <v>71300</v>
      </c>
      <c r="H12">
        <v>5</v>
      </c>
    </row>
    <row r="13" spans="1:8" x14ac:dyDescent="0.25">
      <c r="A13" s="1" t="s">
        <v>31</v>
      </c>
      <c r="B13" s="1" t="s">
        <v>1</v>
      </c>
      <c r="C13" s="1" t="s">
        <v>30</v>
      </c>
      <c r="D13" s="1" t="s">
        <v>32</v>
      </c>
      <c r="E13" s="2">
        <v>36028</v>
      </c>
      <c r="G13" s="3">
        <v>16688</v>
      </c>
      <c r="H13">
        <v>3</v>
      </c>
    </row>
    <row r="14" spans="1:8" x14ac:dyDescent="0.25">
      <c r="A14" s="1" t="s">
        <v>33</v>
      </c>
      <c r="B14" s="1" t="s">
        <v>29</v>
      </c>
      <c r="C14" s="1" t="s">
        <v>23</v>
      </c>
      <c r="D14" s="1" t="s">
        <v>24</v>
      </c>
      <c r="E14" s="2">
        <v>40393</v>
      </c>
      <c r="F14" s="1" t="s">
        <v>4</v>
      </c>
      <c r="G14" s="3">
        <v>16925</v>
      </c>
      <c r="H14">
        <v>1</v>
      </c>
    </row>
    <row r="15" spans="1:8" x14ac:dyDescent="0.25">
      <c r="A15" s="1" t="s">
        <v>34</v>
      </c>
      <c r="B15" s="1" t="s">
        <v>1</v>
      </c>
      <c r="C15" s="1" t="s">
        <v>35</v>
      </c>
      <c r="D15" s="1" t="s">
        <v>16</v>
      </c>
      <c r="E15" s="2">
        <v>35826</v>
      </c>
      <c r="G15" s="3">
        <v>45030</v>
      </c>
      <c r="H15">
        <v>3</v>
      </c>
    </row>
    <row r="16" spans="1:8" x14ac:dyDescent="0.25">
      <c r="A16" s="1" t="s">
        <v>36</v>
      </c>
      <c r="B16" s="1" t="s">
        <v>1</v>
      </c>
      <c r="C16" s="1" t="s">
        <v>37</v>
      </c>
      <c r="D16" s="1" t="s">
        <v>3</v>
      </c>
      <c r="E16" s="2">
        <v>40235</v>
      </c>
      <c r="F16" s="1" t="s">
        <v>11</v>
      </c>
      <c r="G16" s="3">
        <v>22860</v>
      </c>
      <c r="H16">
        <v>5</v>
      </c>
    </row>
    <row r="17" spans="1:8" x14ac:dyDescent="0.25">
      <c r="A17" s="1" t="s">
        <v>38</v>
      </c>
      <c r="B17" s="1" t="s">
        <v>1</v>
      </c>
      <c r="C17" s="1" t="s">
        <v>30</v>
      </c>
      <c r="D17" s="1" t="s">
        <v>3</v>
      </c>
      <c r="E17" s="2">
        <v>40477</v>
      </c>
      <c r="F17" s="1" t="s">
        <v>21</v>
      </c>
      <c r="G17" s="3">
        <v>63206</v>
      </c>
      <c r="H17">
        <v>1</v>
      </c>
    </row>
    <row r="18" spans="1:8" x14ac:dyDescent="0.25">
      <c r="A18" s="1" t="s">
        <v>39</v>
      </c>
      <c r="B18" s="1" t="s">
        <v>1</v>
      </c>
      <c r="C18" s="1" t="s">
        <v>18</v>
      </c>
      <c r="D18" s="1" t="s">
        <v>32</v>
      </c>
      <c r="E18" s="2">
        <v>35982</v>
      </c>
      <c r="G18" s="3">
        <v>8904</v>
      </c>
      <c r="H18">
        <v>3</v>
      </c>
    </row>
    <row r="19" spans="1:8" x14ac:dyDescent="0.25">
      <c r="A19" s="1" t="s">
        <v>40</v>
      </c>
      <c r="B19" s="1" t="s">
        <v>1</v>
      </c>
      <c r="C19" s="1" t="s">
        <v>30</v>
      </c>
      <c r="D19" s="1" t="s">
        <v>3</v>
      </c>
      <c r="E19" s="2">
        <v>37701</v>
      </c>
      <c r="F19" s="1" t="s">
        <v>25</v>
      </c>
      <c r="G19" s="3">
        <v>23560</v>
      </c>
      <c r="H19">
        <v>3</v>
      </c>
    </row>
    <row r="20" spans="1:8" x14ac:dyDescent="0.25">
      <c r="A20" s="1" t="s">
        <v>41</v>
      </c>
      <c r="B20" s="1" t="s">
        <v>6</v>
      </c>
      <c r="C20" s="1" t="s">
        <v>30</v>
      </c>
      <c r="D20" s="1" t="s">
        <v>3</v>
      </c>
      <c r="E20" s="2">
        <v>39335</v>
      </c>
      <c r="F20" s="1" t="s">
        <v>4</v>
      </c>
      <c r="G20" s="3">
        <v>62688</v>
      </c>
      <c r="H20">
        <v>2</v>
      </c>
    </row>
    <row r="21" spans="1:8" x14ac:dyDescent="0.25">
      <c r="A21" s="1" t="s">
        <v>42</v>
      </c>
      <c r="B21" s="1" t="s">
        <v>6</v>
      </c>
      <c r="C21" s="1" t="s">
        <v>2</v>
      </c>
      <c r="D21" s="1" t="s">
        <v>32</v>
      </c>
      <c r="E21" s="2">
        <v>40515</v>
      </c>
      <c r="G21" s="3">
        <v>33508</v>
      </c>
      <c r="H21">
        <v>4</v>
      </c>
    </row>
    <row r="22" spans="1:8" x14ac:dyDescent="0.25">
      <c r="A22" s="1" t="s">
        <v>43</v>
      </c>
      <c r="B22" s="1" t="s">
        <v>6</v>
      </c>
      <c r="C22" s="1" t="s">
        <v>30</v>
      </c>
      <c r="D22" s="1" t="s">
        <v>3</v>
      </c>
      <c r="E22" s="2">
        <v>39174</v>
      </c>
      <c r="F22" s="1" t="s">
        <v>4</v>
      </c>
      <c r="G22" s="3">
        <v>23320</v>
      </c>
      <c r="H22">
        <v>4</v>
      </c>
    </row>
    <row r="23" spans="1:8" x14ac:dyDescent="0.25">
      <c r="A23" s="1" t="s">
        <v>44</v>
      </c>
      <c r="B23" s="1" t="s">
        <v>6</v>
      </c>
      <c r="C23" s="1" t="s">
        <v>18</v>
      </c>
      <c r="D23" s="1" t="s">
        <v>16</v>
      </c>
      <c r="E23" s="2">
        <v>40462</v>
      </c>
      <c r="G23" s="3">
        <v>52940</v>
      </c>
      <c r="H23">
        <v>4</v>
      </c>
    </row>
    <row r="24" spans="1:8" x14ac:dyDescent="0.25">
      <c r="A24" s="1" t="s">
        <v>45</v>
      </c>
      <c r="B24" s="1" t="s">
        <v>29</v>
      </c>
      <c r="C24" s="1" t="s">
        <v>46</v>
      </c>
      <c r="D24" s="1" t="s">
        <v>3</v>
      </c>
      <c r="E24" s="2">
        <v>37684</v>
      </c>
      <c r="F24" s="1" t="s">
        <v>11</v>
      </c>
      <c r="G24" s="3">
        <v>42800</v>
      </c>
      <c r="H24">
        <v>5</v>
      </c>
    </row>
    <row r="25" spans="1:8" x14ac:dyDescent="0.25">
      <c r="A25" s="1" t="s">
        <v>47</v>
      </c>
      <c r="B25" s="1" t="s">
        <v>27</v>
      </c>
      <c r="C25" s="1" t="s">
        <v>20</v>
      </c>
      <c r="D25" s="1" t="s">
        <v>16</v>
      </c>
      <c r="E25" s="2">
        <v>40550</v>
      </c>
      <c r="G25" s="3">
        <v>80050</v>
      </c>
      <c r="H25">
        <v>2</v>
      </c>
    </row>
    <row r="26" spans="1:8" x14ac:dyDescent="0.25">
      <c r="A26" s="1" t="s">
        <v>48</v>
      </c>
      <c r="B26" s="1" t="s">
        <v>29</v>
      </c>
      <c r="C26" s="1" t="s">
        <v>2</v>
      </c>
      <c r="D26" s="1" t="s">
        <v>3</v>
      </c>
      <c r="E26" s="2">
        <v>36514</v>
      </c>
      <c r="F26" s="1" t="s">
        <v>11</v>
      </c>
      <c r="G26" s="3">
        <v>48250</v>
      </c>
      <c r="H26">
        <v>3</v>
      </c>
    </row>
    <row r="27" spans="1:8" x14ac:dyDescent="0.25">
      <c r="A27" s="1" t="s">
        <v>49</v>
      </c>
      <c r="B27" s="1" t="s">
        <v>1</v>
      </c>
      <c r="C27" s="1" t="s">
        <v>37</v>
      </c>
      <c r="D27" s="1" t="s">
        <v>3</v>
      </c>
      <c r="E27" s="2">
        <v>41209</v>
      </c>
      <c r="F27" s="1" t="s">
        <v>25</v>
      </c>
      <c r="G27" s="3">
        <v>87980</v>
      </c>
      <c r="H27">
        <v>1</v>
      </c>
    </row>
    <row r="28" spans="1:8" x14ac:dyDescent="0.25">
      <c r="A28" s="1" t="s">
        <v>50</v>
      </c>
      <c r="B28" s="1" t="s">
        <v>51</v>
      </c>
      <c r="C28" s="1" t="s">
        <v>23</v>
      </c>
      <c r="D28" s="1" t="s">
        <v>3</v>
      </c>
      <c r="E28" s="2">
        <v>39085</v>
      </c>
      <c r="F28" s="1" t="s">
        <v>4</v>
      </c>
      <c r="G28" s="3">
        <v>87030</v>
      </c>
      <c r="H28">
        <v>3</v>
      </c>
    </row>
    <row r="29" spans="1:8" x14ac:dyDescent="0.25">
      <c r="A29" s="1" t="s">
        <v>52</v>
      </c>
      <c r="B29" s="1" t="s">
        <v>6</v>
      </c>
      <c r="C29" s="1" t="s">
        <v>23</v>
      </c>
      <c r="D29" s="1" t="s">
        <v>32</v>
      </c>
      <c r="E29" s="2">
        <v>37711</v>
      </c>
      <c r="G29" s="3">
        <v>21648</v>
      </c>
      <c r="H29">
        <v>2</v>
      </c>
    </row>
    <row r="30" spans="1:8" x14ac:dyDescent="0.25">
      <c r="A30" s="1" t="s">
        <v>53</v>
      </c>
      <c r="B30" s="1" t="s">
        <v>1</v>
      </c>
      <c r="C30" s="1" t="s">
        <v>18</v>
      </c>
      <c r="D30" s="1" t="s">
        <v>3</v>
      </c>
      <c r="E30" s="2">
        <v>36332</v>
      </c>
      <c r="F30" s="1" t="s">
        <v>21</v>
      </c>
      <c r="G30" s="3">
        <v>37760</v>
      </c>
      <c r="H30">
        <v>2</v>
      </c>
    </row>
    <row r="31" spans="1:8" x14ac:dyDescent="0.25">
      <c r="A31" s="1" t="s">
        <v>54</v>
      </c>
      <c r="B31" s="1" t="s">
        <v>13</v>
      </c>
      <c r="C31" s="1" t="s">
        <v>30</v>
      </c>
      <c r="D31" s="1" t="s">
        <v>3</v>
      </c>
      <c r="E31" s="2">
        <v>40264</v>
      </c>
      <c r="F31" s="1" t="s">
        <v>9</v>
      </c>
      <c r="G31" s="3">
        <v>29760</v>
      </c>
      <c r="H31">
        <v>2</v>
      </c>
    </row>
    <row r="32" spans="1:8" x14ac:dyDescent="0.25">
      <c r="A32" s="1" t="s">
        <v>55</v>
      </c>
      <c r="B32" s="1" t="s">
        <v>6</v>
      </c>
      <c r="C32" s="1" t="s">
        <v>2</v>
      </c>
      <c r="D32" s="1" t="s">
        <v>32</v>
      </c>
      <c r="E32" s="2">
        <v>35861</v>
      </c>
      <c r="G32" s="3">
        <v>12836</v>
      </c>
      <c r="H32">
        <v>5</v>
      </c>
    </row>
    <row r="33" spans="1:8" x14ac:dyDescent="0.25">
      <c r="A33" s="1" t="s">
        <v>56</v>
      </c>
      <c r="B33" s="1" t="s">
        <v>1</v>
      </c>
      <c r="C33" s="1" t="s">
        <v>57</v>
      </c>
      <c r="D33" s="1" t="s">
        <v>3</v>
      </c>
      <c r="E33" s="2">
        <v>39683</v>
      </c>
      <c r="F33" s="1" t="s">
        <v>4</v>
      </c>
      <c r="G33" s="3">
        <v>47350</v>
      </c>
      <c r="H33">
        <v>5</v>
      </c>
    </row>
    <row r="34" spans="1:8" x14ac:dyDescent="0.25">
      <c r="A34" s="1" t="s">
        <v>58</v>
      </c>
      <c r="B34" s="1" t="s">
        <v>1</v>
      </c>
      <c r="C34" s="1" t="s">
        <v>59</v>
      </c>
      <c r="D34" s="1" t="s">
        <v>3</v>
      </c>
      <c r="E34" s="2">
        <v>36116</v>
      </c>
      <c r="F34" s="1" t="s">
        <v>9</v>
      </c>
      <c r="G34" s="3">
        <v>49770</v>
      </c>
      <c r="H34">
        <v>1</v>
      </c>
    </row>
    <row r="35" spans="1:8" x14ac:dyDescent="0.25">
      <c r="A35" s="1" t="s">
        <v>60</v>
      </c>
      <c r="B35" s="1" t="s">
        <v>1</v>
      </c>
      <c r="C35" s="1" t="s">
        <v>35</v>
      </c>
      <c r="D35" s="1" t="s">
        <v>3</v>
      </c>
      <c r="E35" s="2">
        <v>36549</v>
      </c>
      <c r="F35" s="1" t="s">
        <v>11</v>
      </c>
      <c r="G35" s="3">
        <v>35460</v>
      </c>
      <c r="H35">
        <v>1</v>
      </c>
    </row>
    <row r="36" spans="1:8" x14ac:dyDescent="0.25">
      <c r="A36" s="1" t="s">
        <v>61</v>
      </c>
      <c r="B36" s="1" t="s">
        <v>13</v>
      </c>
      <c r="C36" s="1" t="s">
        <v>18</v>
      </c>
      <c r="D36" s="1" t="s">
        <v>3</v>
      </c>
      <c r="E36" s="2">
        <v>39655</v>
      </c>
      <c r="F36" s="1" t="s">
        <v>9</v>
      </c>
      <c r="G36" s="3">
        <v>34480</v>
      </c>
      <c r="H36">
        <v>3</v>
      </c>
    </row>
    <row r="37" spans="1:8" x14ac:dyDescent="0.25">
      <c r="A37" s="1" t="s">
        <v>62</v>
      </c>
      <c r="B37" s="1" t="s">
        <v>29</v>
      </c>
      <c r="C37" s="1" t="s">
        <v>63</v>
      </c>
      <c r="D37" s="1" t="s">
        <v>3</v>
      </c>
      <c r="E37" s="2">
        <v>40818</v>
      </c>
      <c r="F37" s="1" t="s">
        <v>21</v>
      </c>
      <c r="G37" s="3">
        <v>44560</v>
      </c>
      <c r="H37">
        <v>2</v>
      </c>
    </row>
    <row r="38" spans="1:8" x14ac:dyDescent="0.25">
      <c r="A38" s="1" t="s">
        <v>64</v>
      </c>
      <c r="B38" s="1" t="s">
        <v>1</v>
      </c>
      <c r="C38" s="1" t="s">
        <v>63</v>
      </c>
      <c r="D38" s="1" t="s">
        <v>3</v>
      </c>
      <c r="E38" s="2">
        <v>40551</v>
      </c>
      <c r="F38" s="1" t="s">
        <v>4</v>
      </c>
      <c r="G38" s="3">
        <v>71730</v>
      </c>
      <c r="H38">
        <v>1</v>
      </c>
    </row>
    <row r="39" spans="1:8" x14ac:dyDescent="0.25">
      <c r="A39" s="1" t="s">
        <v>65</v>
      </c>
      <c r="B39" s="1" t="s">
        <v>1</v>
      </c>
      <c r="C39" s="1" t="s">
        <v>8</v>
      </c>
      <c r="D39" s="1" t="s">
        <v>16</v>
      </c>
      <c r="E39" s="2">
        <v>37641</v>
      </c>
      <c r="G39" s="3">
        <v>31970</v>
      </c>
      <c r="H39">
        <v>5</v>
      </c>
    </row>
    <row r="40" spans="1:8" x14ac:dyDescent="0.25">
      <c r="A40" s="1" t="s">
        <v>66</v>
      </c>
      <c r="B40" s="1" t="s">
        <v>1</v>
      </c>
      <c r="C40" s="1" t="s">
        <v>18</v>
      </c>
      <c r="D40" s="1" t="s">
        <v>3</v>
      </c>
      <c r="E40" s="2">
        <v>37068</v>
      </c>
      <c r="F40" s="1" t="s">
        <v>25</v>
      </c>
      <c r="G40" s="3">
        <v>66010</v>
      </c>
      <c r="H40">
        <v>5</v>
      </c>
    </row>
    <row r="41" spans="1:8" x14ac:dyDescent="0.25">
      <c r="A41" s="1" t="s">
        <v>67</v>
      </c>
      <c r="B41" s="1" t="s">
        <v>13</v>
      </c>
      <c r="C41" s="1" t="s">
        <v>23</v>
      </c>
      <c r="D41" s="1" t="s">
        <v>24</v>
      </c>
      <c r="E41" s="2">
        <v>37470</v>
      </c>
      <c r="F41" s="1" t="s">
        <v>4</v>
      </c>
      <c r="G41" s="3">
        <v>33810</v>
      </c>
      <c r="H41">
        <v>5</v>
      </c>
    </row>
    <row r="42" spans="1:8" x14ac:dyDescent="0.25">
      <c r="A42" s="1" t="s">
        <v>68</v>
      </c>
      <c r="B42" s="1" t="s">
        <v>27</v>
      </c>
      <c r="C42" s="1" t="s">
        <v>18</v>
      </c>
      <c r="D42" s="1" t="s">
        <v>24</v>
      </c>
      <c r="E42" s="2">
        <v>35807</v>
      </c>
      <c r="F42" s="1" t="s">
        <v>4</v>
      </c>
      <c r="G42" s="3">
        <v>48835</v>
      </c>
      <c r="H42">
        <v>5</v>
      </c>
    </row>
    <row r="43" spans="1:8" x14ac:dyDescent="0.25">
      <c r="A43" s="1" t="s">
        <v>69</v>
      </c>
      <c r="B43" s="1" t="s">
        <v>6</v>
      </c>
      <c r="C43" s="1" t="s">
        <v>30</v>
      </c>
      <c r="D43" s="1" t="s">
        <v>3</v>
      </c>
      <c r="E43" s="2">
        <v>40332</v>
      </c>
      <c r="F43" s="1" t="s">
        <v>4</v>
      </c>
      <c r="G43" s="3">
        <v>47340</v>
      </c>
      <c r="H43">
        <v>2</v>
      </c>
    </row>
    <row r="44" spans="1:8" x14ac:dyDescent="0.25">
      <c r="A44" s="1" t="s">
        <v>70</v>
      </c>
      <c r="B44" s="1" t="s">
        <v>29</v>
      </c>
      <c r="C44" s="1" t="s">
        <v>35</v>
      </c>
      <c r="D44" s="1" t="s">
        <v>24</v>
      </c>
      <c r="E44" s="2">
        <v>40410</v>
      </c>
      <c r="F44" s="1" t="s">
        <v>11</v>
      </c>
      <c r="G44" s="3">
        <v>38105</v>
      </c>
      <c r="H44">
        <v>2</v>
      </c>
    </row>
    <row r="45" spans="1:8" x14ac:dyDescent="0.25">
      <c r="A45" s="1" t="s">
        <v>71</v>
      </c>
      <c r="B45" s="1" t="s">
        <v>1</v>
      </c>
      <c r="C45" s="1" t="s">
        <v>35</v>
      </c>
      <c r="D45" s="1" t="s">
        <v>3</v>
      </c>
      <c r="E45" s="2">
        <v>36672</v>
      </c>
      <c r="F45" s="1" t="s">
        <v>25</v>
      </c>
      <c r="G45" s="3">
        <v>65320</v>
      </c>
      <c r="H45">
        <v>5</v>
      </c>
    </row>
    <row r="46" spans="1:8" x14ac:dyDescent="0.25">
      <c r="A46" s="1" t="s">
        <v>72</v>
      </c>
      <c r="B46" s="1" t="s">
        <v>1</v>
      </c>
      <c r="C46" s="1" t="s">
        <v>73</v>
      </c>
      <c r="D46" s="1" t="s">
        <v>3</v>
      </c>
      <c r="E46" s="2">
        <v>41018</v>
      </c>
      <c r="F46" s="1" t="s">
        <v>4</v>
      </c>
      <c r="G46" s="3">
        <v>46220</v>
      </c>
      <c r="H46">
        <v>3</v>
      </c>
    </row>
    <row r="47" spans="1:8" x14ac:dyDescent="0.25">
      <c r="A47" s="1" t="s">
        <v>74</v>
      </c>
      <c r="B47" s="1" t="s">
        <v>13</v>
      </c>
      <c r="C47" s="1" t="s">
        <v>75</v>
      </c>
      <c r="D47" s="1" t="s">
        <v>3</v>
      </c>
      <c r="E47" s="2">
        <v>37960</v>
      </c>
      <c r="F47" s="1" t="s">
        <v>4</v>
      </c>
      <c r="G47" s="3">
        <v>66890</v>
      </c>
      <c r="H47">
        <v>5</v>
      </c>
    </row>
    <row r="48" spans="1:8" x14ac:dyDescent="0.25">
      <c r="A48" s="1" t="s">
        <v>76</v>
      </c>
      <c r="B48" s="1" t="s">
        <v>51</v>
      </c>
      <c r="C48" s="1" t="s">
        <v>18</v>
      </c>
      <c r="D48" s="1" t="s">
        <v>16</v>
      </c>
      <c r="E48" s="2">
        <v>39378</v>
      </c>
      <c r="G48" s="3">
        <v>35460</v>
      </c>
      <c r="H48">
        <v>3</v>
      </c>
    </row>
    <row r="49" spans="1:8" x14ac:dyDescent="0.25">
      <c r="A49" s="1" t="s">
        <v>77</v>
      </c>
      <c r="B49" s="1" t="s">
        <v>27</v>
      </c>
      <c r="C49" s="1" t="s">
        <v>23</v>
      </c>
      <c r="D49" s="1" t="s">
        <v>3</v>
      </c>
      <c r="E49" s="2">
        <v>40370</v>
      </c>
      <c r="F49" s="1" t="s">
        <v>4</v>
      </c>
      <c r="G49" s="3">
        <v>66840</v>
      </c>
      <c r="H49">
        <v>4</v>
      </c>
    </row>
    <row r="50" spans="1:8" x14ac:dyDescent="0.25">
      <c r="A50" s="1" t="s">
        <v>78</v>
      </c>
      <c r="B50" s="1" t="s">
        <v>29</v>
      </c>
      <c r="C50" s="1" t="s">
        <v>18</v>
      </c>
      <c r="D50" s="1" t="s">
        <v>16</v>
      </c>
      <c r="E50" s="2">
        <v>40473</v>
      </c>
      <c r="G50" s="3">
        <v>28260</v>
      </c>
      <c r="H50">
        <v>5</v>
      </c>
    </row>
    <row r="51" spans="1:8" x14ac:dyDescent="0.25">
      <c r="A51" s="1" t="s">
        <v>79</v>
      </c>
      <c r="B51" s="1" t="s">
        <v>27</v>
      </c>
      <c r="C51" s="1" t="s">
        <v>18</v>
      </c>
      <c r="D51" s="1" t="s">
        <v>16</v>
      </c>
      <c r="E51" s="2">
        <v>39144</v>
      </c>
      <c r="G51" s="3">
        <v>64430</v>
      </c>
      <c r="H51">
        <v>4</v>
      </c>
    </row>
    <row r="52" spans="1:8" x14ac:dyDescent="0.25">
      <c r="A52" s="1" t="s">
        <v>80</v>
      </c>
      <c r="B52" s="1" t="s">
        <v>6</v>
      </c>
      <c r="C52" s="1" t="s">
        <v>23</v>
      </c>
      <c r="D52" s="1" t="s">
        <v>3</v>
      </c>
      <c r="E52" s="2">
        <v>38227</v>
      </c>
      <c r="F52" s="1" t="s">
        <v>11</v>
      </c>
      <c r="G52" s="3">
        <v>86200</v>
      </c>
      <c r="H52">
        <v>3</v>
      </c>
    </row>
    <row r="53" spans="1:8" x14ac:dyDescent="0.25">
      <c r="A53" s="1" t="s">
        <v>81</v>
      </c>
      <c r="B53" s="1" t="s">
        <v>1</v>
      </c>
      <c r="C53" s="1" t="s">
        <v>59</v>
      </c>
      <c r="D53" s="1" t="s">
        <v>24</v>
      </c>
      <c r="E53" s="2">
        <v>39457</v>
      </c>
      <c r="F53" s="1" t="s">
        <v>4</v>
      </c>
      <c r="G53" s="3">
        <v>31255</v>
      </c>
      <c r="H53">
        <v>5</v>
      </c>
    </row>
    <row r="54" spans="1:8" x14ac:dyDescent="0.25">
      <c r="A54" s="1" t="s">
        <v>82</v>
      </c>
      <c r="B54" s="1" t="s">
        <v>29</v>
      </c>
      <c r="C54" s="1" t="s">
        <v>2</v>
      </c>
      <c r="D54" s="1" t="s">
        <v>3</v>
      </c>
      <c r="E54" s="2">
        <v>37625</v>
      </c>
      <c r="F54" s="1" t="s">
        <v>11</v>
      </c>
      <c r="G54" s="3">
        <v>82490</v>
      </c>
      <c r="H54">
        <v>5</v>
      </c>
    </row>
    <row r="55" spans="1:8" x14ac:dyDescent="0.25">
      <c r="A55" s="1" t="s">
        <v>83</v>
      </c>
      <c r="B55" s="1" t="s">
        <v>13</v>
      </c>
      <c r="C55" s="1" t="s">
        <v>18</v>
      </c>
      <c r="D55" s="1" t="s">
        <v>16</v>
      </c>
      <c r="E55" s="2">
        <v>39538</v>
      </c>
      <c r="G55" s="3">
        <v>62780</v>
      </c>
      <c r="H55">
        <v>4</v>
      </c>
    </row>
    <row r="56" spans="1:8" x14ac:dyDescent="0.25">
      <c r="A56" s="1" t="s">
        <v>84</v>
      </c>
      <c r="B56" s="1" t="s">
        <v>13</v>
      </c>
      <c r="C56" s="1" t="s">
        <v>35</v>
      </c>
      <c r="D56" s="1" t="s">
        <v>16</v>
      </c>
      <c r="E56" s="2">
        <v>36193</v>
      </c>
      <c r="G56" s="3">
        <v>58250</v>
      </c>
      <c r="H56">
        <v>2</v>
      </c>
    </row>
    <row r="57" spans="1:8" x14ac:dyDescent="0.25">
      <c r="A57" s="1" t="s">
        <v>85</v>
      </c>
      <c r="B57" s="1" t="s">
        <v>13</v>
      </c>
      <c r="C57" s="1" t="s">
        <v>73</v>
      </c>
      <c r="D57" s="1" t="s">
        <v>3</v>
      </c>
      <c r="E57" s="2">
        <v>40106</v>
      </c>
      <c r="F57" s="1" t="s">
        <v>25</v>
      </c>
      <c r="G57" s="3">
        <v>51180</v>
      </c>
      <c r="H57">
        <v>3</v>
      </c>
    </row>
    <row r="58" spans="1:8" x14ac:dyDescent="0.25">
      <c r="A58" s="1" t="s">
        <v>86</v>
      </c>
      <c r="B58" s="1" t="s">
        <v>51</v>
      </c>
      <c r="C58" s="1" t="s">
        <v>35</v>
      </c>
      <c r="D58" s="1" t="s">
        <v>16</v>
      </c>
      <c r="E58" s="2">
        <v>39272</v>
      </c>
      <c r="G58" s="3">
        <v>35240</v>
      </c>
      <c r="H58">
        <v>3</v>
      </c>
    </row>
    <row r="59" spans="1:8" x14ac:dyDescent="0.25">
      <c r="A59" s="1" t="s">
        <v>87</v>
      </c>
      <c r="B59" s="1" t="s">
        <v>1</v>
      </c>
      <c r="C59" s="1" t="s">
        <v>2</v>
      </c>
      <c r="D59" s="1" t="s">
        <v>3</v>
      </c>
      <c r="E59" s="2">
        <v>38784</v>
      </c>
      <c r="F59" s="1" t="s">
        <v>4</v>
      </c>
      <c r="G59" s="3">
        <v>78710</v>
      </c>
      <c r="H59">
        <v>4</v>
      </c>
    </row>
    <row r="60" spans="1:8" x14ac:dyDescent="0.25">
      <c r="A60" s="1" t="s">
        <v>88</v>
      </c>
      <c r="B60" s="1" t="s">
        <v>27</v>
      </c>
      <c r="C60" s="1" t="s">
        <v>59</v>
      </c>
      <c r="D60" s="1" t="s">
        <v>3</v>
      </c>
      <c r="E60" s="2">
        <v>40395</v>
      </c>
      <c r="F60" s="1" t="s">
        <v>4</v>
      </c>
      <c r="G60" s="3">
        <v>57560</v>
      </c>
      <c r="H60">
        <v>4</v>
      </c>
    </row>
    <row r="61" spans="1:8" x14ac:dyDescent="0.25">
      <c r="A61" s="1" t="s">
        <v>89</v>
      </c>
      <c r="B61" s="1" t="s">
        <v>1</v>
      </c>
      <c r="C61" s="1" t="s">
        <v>73</v>
      </c>
      <c r="D61" s="1" t="s">
        <v>24</v>
      </c>
      <c r="E61" s="2">
        <v>39417</v>
      </c>
      <c r="F61" s="1" t="s">
        <v>21</v>
      </c>
      <c r="G61" s="3">
        <v>46095</v>
      </c>
      <c r="H61">
        <v>3</v>
      </c>
    </row>
    <row r="62" spans="1:8" x14ac:dyDescent="0.25">
      <c r="A62" s="1" t="s">
        <v>90</v>
      </c>
      <c r="B62" s="1" t="s">
        <v>13</v>
      </c>
      <c r="C62" s="1" t="s">
        <v>75</v>
      </c>
      <c r="D62" s="1" t="s">
        <v>16</v>
      </c>
      <c r="E62" s="2">
        <v>39040</v>
      </c>
      <c r="G62" s="3">
        <v>62150</v>
      </c>
      <c r="H62">
        <v>4</v>
      </c>
    </row>
    <row r="63" spans="1:8" x14ac:dyDescent="0.25">
      <c r="A63" s="1" t="s">
        <v>91</v>
      </c>
      <c r="B63" s="1" t="s">
        <v>27</v>
      </c>
      <c r="C63" s="1" t="s">
        <v>92</v>
      </c>
      <c r="D63" s="1" t="s">
        <v>16</v>
      </c>
      <c r="E63" s="2">
        <v>40263</v>
      </c>
      <c r="F63" s="1" t="s">
        <v>21</v>
      </c>
      <c r="G63" s="3">
        <v>71190</v>
      </c>
      <c r="H63">
        <v>4</v>
      </c>
    </row>
    <row r="64" spans="1:8" x14ac:dyDescent="0.25">
      <c r="A64" s="1" t="s">
        <v>93</v>
      </c>
      <c r="B64" s="1" t="s">
        <v>13</v>
      </c>
      <c r="C64" s="1" t="s">
        <v>30</v>
      </c>
      <c r="D64" s="1" t="s">
        <v>32</v>
      </c>
      <c r="E64" s="2">
        <v>35946</v>
      </c>
      <c r="G64" s="3">
        <v>14332</v>
      </c>
      <c r="H64">
        <v>5</v>
      </c>
    </row>
    <row r="65" spans="1:8" x14ac:dyDescent="0.25">
      <c r="A65" s="1" t="s">
        <v>94</v>
      </c>
      <c r="B65" s="1" t="s">
        <v>13</v>
      </c>
      <c r="C65" s="1" t="s">
        <v>35</v>
      </c>
      <c r="D65" s="1" t="s">
        <v>16</v>
      </c>
      <c r="E65" s="2">
        <v>41094</v>
      </c>
      <c r="G65" s="3">
        <v>59128</v>
      </c>
      <c r="H65">
        <v>4</v>
      </c>
    </row>
    <row r="66" spans="1:8" x14ac:dyDescent="0.25">
      <c r="A66" s="1" t="s">
        <v>95</v>
      </c>
      <c r="B66" s="1" t="s">
        <v>51</v>
      </c>
      <c r="C66" s="1" t="s">
        <v>37</v>
      </c>
      <c r="D66" s="1" t="s">
        <v>24</v>
      </c>
      <c r="E66" s="2">
        <v>40263</v>
      </c>
      <c r="F66" s="1" t="s">
        <v>4</v>
      </c>
      <c r="G66" s="3">
        <v>49405</v>
      </c>
      <c r="H66">
        <v>4</v>
      </c>
    </row>
    <row r="67" spans="1:8" x14ac:dyDescent="0.25">
      <c r="A67" s="1" t="s">
        <v>96</v>
      </c>
      <c r="B67" s="1" t="s">
        <v>13</v>
      </c>
      <c r="C67" s="1" t="s">
        <v>30</v>
      </c>
      <c r="D67" s="1" t="s">
        <v>16</v>
      </c>
      <c r="E67" s="2">
        <v>36086</v>
      </c>
      <c r="G67" s="3">
        <v>47520</v>
      </c>
      <c r="H67">
        <v>1</v>
      </c>
    </row>
    <row r="68" spans="1:8" x14ac:dyDescent="0.25">
      <c r="A68" s="1" t="s">
        <v>97</v>
      </c>
      <c r="B68" s="1" t="s">
        <v>1</v>
      </c>
      <c r="C68" s="1" t="s">
        <v>18</v>
      </c>
      <c r="D68" s="1" t="s">
        <v>24</v>
      </c>
      <c r="E68" s="2">
        <v>36604</v>
      </c>
      <c r="F68" s="1" t="s">
        <v>11</v>
      </c>
      <c r="G68" s="3">
        <v>46710</v>
      </c>
      <c r="H68">
        <v>3</v>
      </c>
    </row>
    <row r="69" spans="1:8" x14ac:dyDescent="0.25">
      <c r="A69" s="1" t="s">
        <v>98</v>
      </c>
      <c r="B69" s="1" t="s">
        <v>13</v>
      </c>
      <c r="C69" s="1" t="s">
        <v>18</v>
      </c>
      <c r="D69" s="1" t="s">
        <v>3</v>
      </c>
      <c r="E69" s="2">
        <v>38798</v>
      </c>
      <c r="F69" s="1" t="s">
        <v>11</v>
      </c>
      <c r="G69" s="3">
        <v>73144</v>
      </c>
      <c r="H69">
        <v>5</v>
      </c>
    </row>
    <row r="70" spans="1:8" x14ac:dyDescent="0.25">
      <c r="A70" s="1" t="s">
        <v>99</v>
      </c>
      <c r="B70" s="1" t="s">
        <v>1</v>
      </c>
      <c r="C70" s="1" t="s">
        <v>18</v>
      </c>
      <c r="D70" s="1" t="s">
        <v>16</v>
      </c>
      <c r="E70" s="2">
        <v>35972</v>
      </c>
      <c r="G70" s="3">
        <v>71710</v>
      </c>
      <c r="H70">
        <v>5</v>
      </c>
    </row>
    <row r="71" spans="1:8" x14ac:dyDescent="0.25">
      <c r="A71" s="1" t="s">
        <v>100</v>
      </c>
      <c r="B71" s="1" t="s">
        <v>6</v>
      </c>
      <c r="C71" s="1" t="s">
        <v>18</v>
      </c>
      <c r="D71" s="1" t="s">
        <v>3</v>
      </c>
      <c r="E71" s="2">
        <v>39696</v>
      </c>
      <c r="F71" s="1" t="s">
        <v>4</v>
      </c>
      <c r="G71" s="3">
        <v>69320</v>
      </c>
      <c r="H71">
        <v>3</v>
      </c>
    </row>
    <row r="72" spans="1:8" x14ac:dyDescent="0.25">
      <c r="A72" s="1" t="s">
        <v>101</v>
      </c>
      <c r="B72" s="1" t="s">
        <v>1</v>
      </c>
      <c r="C72" s="1" t="s">
        <v>102</v>
      </c>
      <c r="D72" s="1" t="s">
        <v>16</v>
      </c>
      <c r="E72" s="2">
        <v>39639</v>
      </c>
      <c r="G72" s="3">
        <v>64720</v>
      </c>
      <c r="H72">
        <v>5</v>
      </c>
    </row>
    <row r="73" spans="1:8" x14ac:dyDescent="0.25">
      <c r="A73" s="1" t="s">
        <v>103</v>
      </c>
      <c r="B73" s="1" t="s">
        <v>6</v>
      </c>
      <c r="C73" s="1" t="s">
        <v>18</v>
      </c>
      <c r="D73" s="1" t="s">
        <v>3</v>
      </c>
      <c r="E73" s="2">
        <v>40634</v>
      </c>
      <c r="F73" s="1" t="s">
        <v>4</v>
      </c>
      <c r="G73" s="3">
        <v>47440</v>
      </c>
      <c r="H73">
        <v>3</v>
      </c>
    </row>
    <row r="74" spans="1:8" x14ac:dyDescent="0.25">
      <c r="A74" s="1" t="s">
        <v>104</v>
      </c>
      <c r="B74" s="1" t="s">
        <v>1</v>
      </c>
      <c r="C74" s="1" t="s">
        <v>2</v>
      </c>
      <c r="D74" s="1" t="s">
        <v>16</v>
      </c>
      <c r="E74" s="2">
        <v>39720</v>
      </c>
      <c r="G74" s="3">
        <v>43320</v>
      </c>
      <c r="H74">
        <v>5</v>
      </c>
    </row>
    <row r="75" spans="1:8" x14ac:dyDescent="0.25">
      <c r="A75" s="1" t="s">
        <v>105</v>
      </c>
      <c r="B75" s="1" t="s">
        <v>6</v>
      </c>
      <c r="C75" s="1" t="s">
        <v>106</v>
      </c>
      <c r="D75" s="1" t="s">
        <v>24</v>
      </c>
      <c r="E75" s="2">
        <v>40779</v>
      </c>
      <c r="F75" s="1" t="s">
        <v>25</v>
      </c>
      <c r="G75" s="3">
        <v>30445</v>
      </c>
      <c r="H75">
        <v>1</v>
      </c>
    </row>
    <row r="76" spans="1:8" x14ac:dyDescent="0.25">
      <c r="A76" s="1" t="s">
        <v>107</v>
      </c>
      <c r="B76" s="1" t="s">
        <v>13</v>
      </c>
      <c r="C76" s="1" t="s">
        <v>18</v>
      </c>
      <c r="D76" s="1" t="s">
        <v>3</v>
      </c>
      <c r="E76" s="2">
        <v>40578</v>
      </c>
      <c r="F76" s="1" t="s">
        <v>4</v>
      </c>
      <c r="G76" s="3">
        <v>43820</v>
      </c>
      <c r="H76">
        <v>2</v>
      </c>
    </row>
    <row r="77" spans="1:8" x14ac:dyDescent="0.25">
      <c r="A77" s="1" t="s">
        <v>108</v>
      </c>
      <c r="B77" s="1" t="s">
        <v>6</v>
      </c>
      <c r="C77" s="1" t="s">
        <v>75</v>
      </c>
      <c r="D77" s="1" t="s">
        <v>16</v>
      </c>
      <c r="E77" s="2">
        <v>35848</v>
      </c>
      <c r="G77" s="3">
        <v>85480</v>
      </c>
      <c r="H77">
        <v>5</v>
      </c>
    </row>
    <row r="78" spans="1:8" x14ac:dyDescent="0.25">
      <c r="A78" s="1" t="s">
        <v>109</v>
      </c>
      <c r="B78" s="1" t="s">
        <v>27</v>
      </c>
      <c r="C78" s="1" t="s">
        <v>18</v>
      </c>
      <c r="D78" s="1" t="s">
        <v>3</v>
      </c>
      <c r="E78" s="2">
        <v>40424</v>
      </c>
      <c r="F78" s="1" t="s">
        <v>21</v>
      </c>
      <c r="G78" s="3">
        <v>39520</v>
      </c>
      <c r="H78">
        <v>5</v>
      </c>
    </row>
    <row r="79" spans="1:8" x14ac:dyDescent="0.25">
      <c r="A79" s="1" t="s">
        <v>110</v>
      </c>
      <c r="B79" s="1" t="s">
        <v>13</v>
      </c>
      <c r="C79" s="1" t="s">
        <v>59</v>
      </c>
      <c r="D79" s="1" t="s">
        <v>24</v>
      </c>
      <c r="E79" s="2">
        <v>39098</v>
      </c>
      <c r="F79" s="1" t="s">
        <v>11</v>
      </c>
      <c r="G79" s="3">
        <v>47705</v>
      </c>
      <c r="H79">
        <v>5</v>
      </c>
    </row>
    <row r="80" spans="1:8" x14ac:dyDescent="0.25">
      <c r="A80" s="1" t="s">
        <v>111</v>
      </c>
      <c r="B80" s="1" t="s">
        <v>1</v>
      </c>
      <c r="C80" s="1" t="s">
        <v>35</v>
      </c>
      <c r="D80" s="1" t="s">
        <v>32</v>
      </c>
      <c r="E80" s="2">
        <v>40360</v>
      </c>
      <c r="G80" s="3">
        <v>33752</v>
      </c>
      <c r="H80">
        <v>3</v>
      </c>
    </row>
    <row r="81" spans="1:8" x14ac:dyDescent="0.25">
      <c r="A81" s="1" t="s">
        <v>112</v>
      </c>
      <c r="B81" s="1" t="s">
        <v>51</v>
      </c>
      <c r="C81" s="1" t="s">
        <v>18</v>
      </c>
      <c r="D81" s="1" t="s">
        <v>16</v>
      </c>
      <c r="E81" s="2">
        <v>36704</v>
      </c>
      <c r="G81" s="3">
        <v>57760</v>
      </c>
      <c r="H81">
        <v>3</v>
      </c>
    </row>
    <row r="82" spans="1:8" x14ac:dyDescent="0.25">
      <c r="A82" s="1" t="s">
        <v>113</v>
      </c>
      <c r="B82" s="1" t="s">
        <v>6</v>
      </c>
      <c r="C82" s="1" t="s">
        <v>2</v>
      </c>
      <c r="D82" s="1" t="s">
        <v>32</v>
      </c>
      <c r="E82" s="2">
        <v>39293</v>
      </c>
      <c r="G82" s="3">
        <v>26484</v>
      </c>
      <c r="H82">
        <v>5</v>
      </c>
    </row>
    <row r="83" spans="1:8" x14ac:dyDescent="0.25">
      <c r="A83" s="1" t="s">
        <v>114</v>
      </c>
      <c r="B83" s="1" t="s">
        <v>51</v>
      </c>
      <c r="C83" s="1" t="s">
        <v>37</v>
      </c>
      <c r="D83" s="1" t="s">
        <v>3</v>
      </c>
      <c r="E83" s="2">
        <v>40533</v>
      </c>
      <c r="F83" s="1" t="s">
        <v>9</v>
      </c>
      <c r="G83" s="3">
        <v>62180</v>
      </c>
      <c r="H83">
        <v>2</v>
      </c>
    </row>
    <row r="84" spans="1:8" x14ac:dyDescent="0.25">
      <c r="A84" s="1" t="s">
        <v>115</v>
      </c>
      <c r="B84" s="1" t="s">
        <v>1</v>
      </c>
      <c r="C84" s="1" t="s">
        <v>59</v>
      </c>
      <c r="D84" s="1" t="s">
        <v>3</v>
      </c>
      <c r="E84" s="2">
        <v>36463</v>
      </c>
      <c r="F84" s="1" t="s">
        <v>4</v>
      </c>
      <c r="G84" s="3">
        <v>44220</v>
      </c>
      <c r="H84">
        <v>3</v>
      </c>
    </row>
    <row r="85" spans="1:8" x14ac:dyDescent="0.25">
      <c r="A85" s="1" t="s">
        <v>116</v>
      </c>
      <c r="B85" s="1" t="s">
        <v>1</v>
      </c>
      <c r="C85" s="1" t="s">
        <v>35</v>
      </c>
      <c r="D85" s="1" t="s">
        <v>16</v>
      </c>
      <c r="E85" s="2">
        <v>39648</v>
      </c>
      <c r="G85" s="3">
        <v>45105</v>
      </c>
      <c r="H85">
        <v>1</v>
      </c>
    </row>
    <row r="86" spans="1:8" x14ac:dyDescent="0.25">
      <c r="A86" s="1" t="s">
        <v>117</v>
      </c>
      <c r="B86" s="1" t="s">
        <v>27</v>
      </c>
      <c r="C86" s="1" t="s">
        <v>59</v>
      </c>
      <c r="D86" s="1" t="s">
        <v>3</v>
      </c>
      <c r="E86" s="2">
        <v>41070</v>
      </c>
      <c r="F86" s="1" t="s">
        <v>25</v>
      </c>
      <c r="G86" s="3">
        <v>73930</v>
      </c>
      <c r="H86">
        <v>1</v>
      </c>
    </row>
    <row r="87" spans="1:8" x14ac:dyDescent="0.25">
      <c r="A87" s="1" t="s">
        <v>118</v>
      </c>
      <c r="B87" s="1" t="s">
        <v>1</v>
      </c>
      <c r="C87" s="1" t="s">
        <v>75</v>
      </c>
      <c r="D87" s="1" t="s">
        <v>32</v>
      </c>
      <c r="E87" s="2">
        <v>40925</v>
      </c>
      <c r="G87" s="3">
        <v>14568</v>
      </c>
      <c r="H87">
        <v>3</v>
      </c>
    </row>
    <row r="88" spans="1:8" x14ac:dyDescent="0.25">
      <c r="A88" s="1" t="s">
        <v>119</v>
      </c>
      <c r="B88" s="1" t="s">
        <v>1</v>
      </c>
      <c r="C88" s="1" t="s">
        <v>18</v>
      </c>
      <c r="D88" s="1" t="s">
        <v>3</v>
      </c>
      <c r="E88" s="2">
        <v>35932</v>
      </c>
      <c r="F88" s="1" t="s">
        <v>11</v>
      </c>
      <c r="G88" s="3">
        <v>89740</v>
      </c>
      <c r="H88">
        <v>5</v>
      </c>
    </row>
    <row r="89" spans="1:8" x14ac:dyDescent="0.25">
      <c r="A89" s="1" t="s">
        <v>120</v>
      </c>
      <c r="B89" s="1" t="s">
        <v>27</v>
      </c>
      <c r="C89" s="1" t="s">
        <v>37</v>
      </c>
      <c r="D89" s="1" t="s">
        <v>16</v>
      </c>
      <c r="E89" s="2">
        <v>39011</v>
      </c>
      <c r="G89" s="3">
        <v>86470</v>
      </c>
      <c r="H89">
        <v>4</v>
      </c>
    </row>
    <row r="90" spans="1:8" x14ac:dyDescent="0.25">
      <c r="A90" s="1" t="s">
        <v>121</v>
      </c>
      <c r="B90" s="1" t="s">
        <v>6</v>
      </c>
      <c r="C90" s="1" t="s">
        <v>30</v>
      </c>
      <c r="D90" s="1" t="s">
        <v>3</v>
      </c>
      <c r="E90" s="2">
        <v>40624</v>
      </c>
      <c r="F90" s="1" t="s">
        <v>9</v>
      </c>
      <c r="G90" s="3">
        <v>86500</v>
      </c>
      <c r="H90">
        <v>1</v>
      </c>
    </row>
    <row r="91" spans="1:8" x14ac:dyDescent="0.25">
      <c r="A91" s="1" t="s">
        <v>122</v>
      </c>
      <c r="B91" s="1" t="s">
        <v>6</v>
      </c>
      <c r="C91" s="1" t="s">
        <v>18</v>
      </c>
      <c r="D91" s="1" t="s">
        <v>32</v>
      </c>
      <c r="E91" s="2">
        <v>40574</v>
      </c>
      <c r="G91" s="3">
        <v>28424</v>
      </c>
      <c r="H91">
        <v>4</v>
      </c>
    </row>
    <row r="92" spans="1:8" x14ac:dyDescent="0.25">
      <c r="A92" s="1" t="s">
        <v>123</v>
      </c>
      <c r="B92" s="1" t="s">
        <v>13</v>
      </c>
      <c r="C92" s="1" t="s">
        <v>106</v>
      </c>
      <c r="D92" s="1" t="s">
        <v>3</v>
      </c>
      <c r="E92" s="2">
        <v>39704</v>
      </c>
      <c r="F92" s="1" t="s">
        <v>9</v>
      </c>
      <c r="G92" s="3">
        <v>58290</v>
      </c>
      <c r="H92">
        <v>5</v>
      </c>
    </row>
    <row r="93" spans="1:8" x14ac:dyDescent="0.25">
      <c r="A93" s="1" t="s">
        <v>124</v>
      </c>
      <c r="B93" s="1" t="s">
        <v>51</v>
      </c>
      <c r="C93" s="1" t="s">
        <v>59</v>
      </c>
      <c r="D93" s="1" t="s">
        <v>16</v>
      </c>
      <c r="E93" s="2">
        <v>39330</v>
      </c>
      <c r="G93" s="3">
        <v>81930</v>
      </c>
      <c r="H93">
        <v>5</v>
      </c>
    </row>
    <row r="94" spans="1:8" x14ac:dyDescent="0.25">
      <c r="A94" s="1" t="s">
        <v>125</v>
      </c>
      <c r="B94" s="1" t="s">
        <v>27</v>
      </c>
      <c r="C94" s="1" t="s">
        <v>18</v>
      </c>
      <c r="D94" s="1" t="s">
        <v>3</v>
      </c>
      <c r="E94" s="2">
        <v>36198</v>
      </c>
      <c r="F94" s="1" t="s">
        <v>9</v>
      </c>
      <c r="G94" s="3">
        <v>81400</v>
      </c>
      <c r="H94">
        <v>2</v>
      </c>
    </row>
    <row r="95" spans="1:8" x14ac:dyDescent="0.25">
      <c r="A95" s="1" t="s">
        <v>126</v>
      </c>
      <c r="B95" s="1" t="s">
        <v>29</v>
      </c>
      <c r="C95" s="1" t="s">
        <v>37</v>
      </c>
      <c r="D95" s="1" t="s">
        <v>32</v>
      </c>
      <c r="E95" s="2">
        <v>37827</v>
      </c>
      <c r="G95" s="3">
        <v>11044</v>
      </c>
      <c r="H95">
        <v>2</v>
      </c>
    </row>
    <row r="96" spans="1:8" x14ac:dyDescent="0.25">
      <c r="A96" s="1" t="s">
        <v>127</v>
      </c>
      <c r="B96" s="1" t="s">
        <v>6</v>
      </c>
      <c r="C96" s="1" t="s">
        <v>30</v>
      </c>
      <c r="D96" s="1" t="s">
        <v>24</v>
      </c>
      <c r="E96" s="2">
        <v>40166</v>
      </c>
      <c r="F96" s="1" t="s">
        <v>9</v>
      </c>
      <c r="G96" s="3">
        <v>25245</v>
      </c>
      <c r="H96">
        <v>5</v>
      </c>
    </row>
    <row r="97" spans="1:8" x14ac:dyDescent="0.25">
      <c r="A97" s="1" t="s">
        <v>128</v>
      </c>
      <c r="B97" s="1" t="s">
        <v>1</v>
      </c>
      <c r="C97" s="1" t="s">
        <v>30</v>
      </c>
      <c r="D97" s="1" t="s">
        <v>3</v>
      </c>
      <c r="E97" s="2">
        <v>39262</v>
      </c>
      <c r="F97" s="1" t="s">
        <v>9</v>
      </c>
      <c r="G97" s="3">
        <v>63440</v>
      </c>
      <c r="H97">
        <v>3</v>
      </c>
    </row>
    <row r="98" spans="1:8" x14ac:dyDescent="0.25">
      <c r="A98" s="1" t="s">
        <v>129</v>
      </c>
      <c r="B98" s="1" t="s">
        <v>6</v>
      </c>
      <c r="C98" s="1" t="s">
        <v>59</v>
      </c>
      <c r="D98" s="1" t="s">
        <v>3</v>
      </c>
      <c r="E98" s="2">
        <v>36456</v>
      </c>
      <c r="F98" s="1" t="s">
        <v>11</v>
      </c>
      <c r="G98" s="3">
        <v>43460</v>
      </c>
      <c r="H98">
        <v>5</v>
      </c>
    </row>
    <row r="99" spans="1:8" x14ac:dyDescent="0.25">
      <c r="A99" s="1" t="s">
        <v>130</v>
      </c>
      <c r="B99" s="1" t="s">
        <v>1</v>
      </c>
      <c r="C99" s="1" t="s">
        <v>8</v>
      </c>
      <c r="D99" s="1" t="s">
        <v>24</v>
      </c>
      <c r="E99" s="2">
        <v>40184</v>
      </c>
      <c r="F99" s="1" t="s">
        <v>9</v>
      </c>
      <c r="G99" s="3">
        <v>21220</v>
      </c>
      <c r="H99">
        <v>3</v>
      </c>
    </row>
    <row r="100" spans="1:8" x14ac:dyDescent="0.25">
      <c r="A100" s="1" t="s">
        <v>131</v>
      </c>
      <c r="B100" s="1" t="s">
        <v>51</v>
      </c>
      <c r="C100" s="1" t="s">
        <v>18</v>
      </c>
      <c r="D100" s="1" t="s">
        <v>3</v>
      </c>
      <c r="E100" s="2">
        <v>39181</v>
      </c>
      <c r="F100" s="1" t="s">
        <v>11</v>
      </c>
      <c r="G100" s="3">
        <v>23330</v>
      </c>
      <c r="H100">
        <v>4</v>
      </c>
    </row>
    <row r="101" spans="1:8" x14ac:dyDescent="0.25">
      <c r="A101" s="1" t="s">
        <v>132</v>
      </c>
      <c r="B101" s="1" t="s">
        <v>29</v>
      </c>
      <c r="C101" s="1" t="s">
        <v>18</v>
      </c>
      <c r="D101" s="1" t="s">
        <v>16</v>
      </c>
      <c r="E101" s="2">
        <v>39785</v>
      </c>
      <c r="G101" s="3">
        <v>80690</v>
      </c>
      <c r="H101">
        <v>3</v>
      </c>
    </row>
    <row r="102" spans="1:8" x14ac:dyDescent="0.25">
      <c r="A102" s="1" t="s">
        <v>133</v>
      </c>
      <c r="B102" s="1" t="s">
        <v>1</v>
      </c>
      <c r="C102" s="1" t="s">
        <v>30</v>
      </c>
      <c r="D102" s="1" t="s">
        <v>16</v>
      </c>
      <c r="E102" s="2">
        <v>36787</v>
      </c>
      <c r="G102" s="3">
        <v>89640</v>
      </c>
      <c r="H102">
        <v>4</v>
      </c>
    </row>
    <row r="103" spans="1:8" x14ac:dyDescent="0.25">
      <c r="A103" s="1" t="s">
        <v>134</v>
      </c>
      <c r="B103" s="1" t="s">
        <v>13</v>
      </c>
      <c r="C103" s="1" t="s">
        <v>59</v>
      </c>
      <c r="D103" s="1" t="s">
        <v>3</v>
      </c>
      <c r="E103" s="2">
        <v>36662</v>
      </c>
      <c r="F103" s="1" t="s">
        <v>11</v>
      </c>
      <c r="G103" s="3">
        <v>52490</v>
      </c>
      <c r="H103">
        <v>4</v>
      </c>
    </row>
    <row r="104" spans="1:8" x14ac:dyDescent="0.25">
      <c r="A104" s="1" t="s">
        <v>135</v>
      </c>
      <c r="B104" s="1" t="s">
        <v>6</v>
      </c>
      <c r="C104" s="1" t="s">
        <v>92</v>
      </c>
      <c r="D104" s="1" t="s">
        <v>32</v>
      </c>
      <c r="E104" s="2">
        <v>36519</v>
      </c>
      <c r="F104" s="1" t="s">
        <v>11</v>
      </c>
      <c r="G104" s="3">
        <v>61860</v>
      </c>
      <c r="H104">
        <v>5</v>
      </c>
    </row>
    <row r="105" spans="1:8" x14ac:dyDescent="0.25">
      <c r="A105" s="1" t="s">
        <v>136</v>
      </c>
      <c r="B105" s="1" t="s">
        <v>13</v>
      </c>
      <c r="C105" s="1" t="s">
        <v>30</v>
      </c>
      <c r="D105" s="1" t="s">
        <v>16</v>
      </c>
      <c r="E105" s="2">
        <v>40410</v>
      </c>
      <c r="G105" s="3">
        <v>57680</v>
      </c>
      <c r="H105">
        <v>4</v>
      </c>
    </row>
    <row r="106" spans="1:8" x14ac:dyDescent="0.25">
      <c r="A106" s="1" t="s">
        <v>137</v>
      </c>
      <c r="B106" s="1" t="s">
        <v>1</v>
      </c>
      <c r="C106" s="1" t="s">
        <v>138</v>
      </c>
      <c r="D106" s="1" t="s">
        <v>24</v>
      </c>
      <c r="E106" s="2">
        <v>40572</v>
      </c>
      <c r="F106" s="1" t="s">
        <v>11</v>
      </c>
      <c r="G106" s="3">
        <v>10520</v>
      </c>
      <c r="H106">
        <v>4</v>
      </c>
    </row>
    <row r="107" spans="1:8" x14ac:dyDescent="0.25">
      <c r="A107" s="1" t="s">
        <v>139</v>
      </c>
      <c r="B107" s="1" t="s">
        <v>29</v>
      </c>
      <c r="C107" s="1" t="s">
        <v>2</v>
      </c>
      <c r="D107" s="1" t="s">
        <v>32</v>
      </c>
      <c r="E107" s="2">
        <v>36557</v>
      </c>
      <c r="G107" s="3">
        <v>15552</v>
      </c>
      <c r="H107">
        <v>4</v>
      </c>
    </row>
    <row r="108" spans="1:8" x14ac:dyDescent="0.25">
      <c r="A108" s="1" t="s">
        <v>140</v>
      </c>
      <c r="B108" s="1" t="s">
        <v>51</v>
      </c>
      <c r="C108" s="1" t="s">
        <v>15</v>
      </c>
      <c r="D108" s="1" t="s">
        <v>3</v>
      </c>
      <c r="E108" s="2">
        <v>41137</v>
      </c>
      <c r="F108" s="1" t="s">
        <v>4</v>
      </c>
      <c r="G108" s="3">
        <v>39160</v>
      </c>
      <c r="H108">
        <v>3</v>
      </c>
    </row>
    <row r="109" spans="1:8" x14ac:dyDescent="0.25">
      <c r="A109" s="1" t="s">
        <v>141</v>
      </c>
      <c r="B109" s="1" t="s">
        <v>1</v>
      </c>
      <c r="C109" s="1" t="s">
        <v>18</v>
      </c>
      <c r="D109" s="1" t="s">
        <v>16</v>
      </c>
      <c r="E109" s="2">
        <v>38044</v>
      </c>
      <c r="G109" s="3">
        <v>57410</v>
      </c>
      <c r="H109">
        <v>2</v>
      </c>
    </row>
    <row r="110" spans="1:8" x14ac:dyDescent="0.25">
      <c r="A110" s="1" t="s">
        <v>142</v>
      </c>
      <c r="B110" s="1" t="s">
        <v>13</v>
      </c>
      <c r="C110" s="1" t="s">
        <v>73</v>
      </c>
      <c r="D110" s="1" t="s">
        <v>3</v>
      </c>
      <c r="E110" s="2">
        <v>36619</v>
      </c>
      <c r="F110" s="1" t="s">
        <v>21</v>
      </c>
      <c r="G110" s="3">
        <v>56440</v>
      </c>
      <c r="H110">
        <v>1</v>
      </c>
    </row>
    <row r="111" spans="1:8" x14ac:dyDescent="0.25">
      <c r="A111" s="1" t="s">
        <v>143</v>
      </c>
      <c r="B111" s="1" t="s">
        <v>13</v>
      </c>
      <c r="C111" s="1" t="s">
        <v>18</v>
      </c>
      <c r="D111" s="1" t="s">
        <v>3</v>
      </c>
      <c r="E111" s="2">
        <v>36122</v>
      </c>
      <c r="F111" s="1" t="s">
        <v>25</v>
      </c>
      <c r="G111" s="3">
        <v>22660</v>
      </c>
      <c r="H111">
        <v>2</v>
      </c>
    </row>
    <row r="112" spans="1:8" x14ac:dyDescent="0.25">
      <c r="A112" s="1" t="s">
        <v>144</v>
      </c>
      <c r="B112" s="1" t="s">
        <v>6</v>
      </c>
      <c r="C112" s="1" t="s">
        <v>30</v>
      </c>
      <c r="D112" s="1" t="s">
        <v>3</v>
      </c>
      <c r="E112" s="2">
        <v>36195</v>
      </c>
      <c r="F112" s="1" t="s">
        <v>21</v>
      </c>
      <c r="G112" s="3">
        <v>46360</v>
      </c>
      <c r="H112">
        <v>5</v>
      </c>
    </row>
    <row r="113" spans="1:8" x14ac:dyDescent="0.25">
      <c r="A113" s="1" t="s">
        <v>145</v>
      </c>
      <c r="B113" s="1" t="s">
        <v>27</v>
      </c>
      <c r="C113" s="1" t="s">
        <v>35</v>
      </c>
      <c r="D113" s="1" t="s">
        <v>16</v>
      </c>
      <c r="E113" s="2">
        <v>40638</v>
      </c>
      <c r="G113" s="3">
        <v>42990</v>
      </c>
      <c r="H113">
        <v>4</v>
      </c>
    </row>
    <row r="114" spans="1:8" x14ac:dyDescent="0.25">
      <c r="A114" s="1" t="s">
        <v>146</v>
      </c>
      <c r="B114" s="1" t="s">
        <v>27</v>
      </c>
      <c r="C114" s="1" t="s">
        <v>30</v>
      </c>
      <c r="D114" s="1" t="s">
        <v>16</v>
      </c>
      <c r="E114" s="2">
        <v>38986</v>
      </c>
      <c r="G114" s="3">
        <v>36230</v>
      </c>
      <c r="H114">
        <v>2</v>
      </c>
    </row>
    <row r="115" spans="1:8" x14ac:dyDescent="0.25">
      <c r="A115" s="1" t="s">
        <v>147</v>
      </c>
      <c r="B115" s="1" t="s">
        <v>6</v>
      </c>
      <c r="C115" s="1" t="s">
        <v>18</v>
      </c>
      <c r="D115" s="1" t="s">
        <v>3</v>
      </c>
      <c r="E115" s="2">
        <v>40936</v>
      </c>
      <c r="F115" s="1" t="s">
        <v>4</v>
      </c>
      <c r="G115" s="3">
        <v>52940</v>
      </c>
      <c r="H115">
        <v>4</v>
      </c>
    </row>
    <row r="116" spans="1:8" x14ac:dyDescent="0.25">
      <c r="A116" s="1" t="s">
        <v>148</v>
      </c>
      <c r="B116" s="1" t="s">
        <v>6</v>
      </c>
      <c r="C116" s="1" t="s">
        <v>18</v>
      </c>
      <c r="D116" s="1" t="s">
        <v>16</v>
      </c>
      <c r="E116" s="2">
        <v>35992</v>
      </c>
      <c r="G116" s="3">
        <v>68260</v>
      </c>
      <c r="H116">
        <v>5</v>
      </c>
    </row>
    <row r="117" spans="1:8" x14ac:dyDescent="0.25">
      <c r="A117" s="1" t="s">
        <v>149</v>
      </c>
      <c r="B117" s="1" t="s">
        <v>6</v>
      </c>
      <c r="C117" s="1" t="s">
        <v>23</v>
      </c>
      <c r="D117" s="1" t="s">
        <v>32</v>
      </c>
      <c r="E117" s="2">
        <v>36329</v>
      </c>
      <c r="G117" s="3">
        <v>39764</v>
      </c>
      <c r="H117">
        <v>1</v>
      </c>
    </row>
    <row r="118" spans="1:8" x14ac:dyDescent="0.25">
      <c r="A118" s="1" t="s">
        <v>150</v>
      </c>
      <c r="B118" s="1" t="s">
        <v>6</v>
      </c>
      <c r="C118" s="1" t="s">
        <v>73</v>
      </c>
      <c r="D118" s="1" t="s">
        <v>24</v>
      </c>
      <c r="E118" s="2">
        <v>40152</v>
      </c>
      <c r="F118" s="1" t="s">
        <v>11</v>
      </c>
      <c r="G118" s="3">
        <v>28680</v>
      </c>
      <c r="H118">
        <v>1</v>
      </c>
    </row>
    <row r="119" spans="1:8" x14ac:dyDescent="0.25">
      <c r="A119" s="1" t="s">
        <v>151</v>
      </c>
      <c r="B119" s="1" t="s">
        <v>1</v>
      </c>
      <c r="C119" s="1" t="s">
        <v>30</v>
      </c>
      <c r="D119" s="1" t="s">
        <v>24</v>
      </c>
      <c r="E119" s="2">
        <v>36084</v>
      </c>
      <c r="F119" s="1" t="s">
        <v>25</v>
      </c>
      <c r="G119" s="3">
        <v>45750</v>
      </c>
      <c r="H119">
        <v>5</v>
      </c>
    </row>
    <row r="120" spans="1:8" x14ac:dyDescent="0.25">
      <c r="A120" s="1" t="s">
        <v>152</v>
      </c>
      <c r="B120" s="1" t="s">
        <v>27</v>
      </c>
      <c r="C120" s="1" t="s">
        <v>2</v>
      </c>
      <c r="D120" s="1" t="s">
        <v>3</v>
      </c>
      <c r="E120" s="2">
        <v>39134</v>
      </c>
      <c r="F120" s="1" t="s">
        <v>11</v>
      </c>
      <c r="G120" s="3">
        <v>45110</v>
      </c>
      <c r="H120">
        <v>2</v>
      </c>
    </row>
    <row r="121" spans="1:8" x14ac:dyDescent="0.25">
      <c r="A121" s="1" t="s">
        <v>153</v>
      </c>
      <c r="B121" s="1" t="s">
        <v>6</v>
      </c>
      <c r="C121" s="1" t="s">
        <v>106</v>
      </c>
      <c r="D121" s="1" t="s">
        <v>3</v>
      </c>
      <c r="E121" s="2">
        <v>38142</v>
      </c>
      <c r="F121" s="1" t="s">
        <v>4</v>
      </c>
      <c r="G121" s="3">
        <v>49350</v>
      </c>
      <c r="H121">
        <v>4</v>
      </c>
    </row>
    <row r="122" spans="1:8" x14ac:dyDescent="0.25">
      <c r="A122" s="1" t="s">
        <v>154</v>
      </c>
      <c r="B122" s="1" t="s">
        <v>6</v>
      </c>
      <c r="C122" s="1" t="s">
        <v>59</v>
      </c>
      <c r="D122" s="1" t="s">
        <v>3</v>
      </c>
      <c r="E122" s="2">
        <v>35857</v>
      </c>
      <c r="F122" s="1" t="s">
        <v>11</v>
      </c>
      <c r="G122" s="3">
        <v>82110</v>
      </c>
      <c r="H122">
        <v>3</v>
      </c>
    </row>
    <row r="123" spans="1:8" x14ac:dyDescent="0.25">
      <c r="A123" s="1" t="s">
        <v>155</v>
      </c>
      <c r="B123" s="1" t="s">
        <v>27</v>
      </c>
      <c r="C123" s="1" t="s">
        <v>8</v>
      </c>
      <c r="D123" s="1" t="s">
        <v>3</v>
      </c>
      <c r="E123" s="2">
        <v>36082</v>
      </c>
      <c r="F123" s="1" t="s">
        <v>11</v>
      </c>
      <c r="G123" s="3">
        <v>82400</v>
      </c>
      <c r="H123">
        <v>2</v>
      </c>
    </row>
    <row r="124" spans="1:8" x14ac:dyDescent="0.25">
      <c r="A124" s="1" t="s">
        <v>156</v>
      </c>
      <c r="B124" s="1" t="s">
        <v>6</v>
      </c>
      <c r="C124" s="1" t="s">
        <v>37</v>
      </c>
      <c r="D124" s="1" t="s">
        <v>32</v>
      </c>
      <c r="E124" s="2">
        <v>40494</v>
      </c>
      <c r="G124" s="3">
        <v>35312</v>
      </c>
      <c r="H124">
        <v>3</v>
      </c>
    </row>
    <row r="125" spans="1:8" x14ac:dyDescent="0.25">
      <c r="A125" s="1" t="s">
        <v>157</v>
      </c>
      <c r="B125" s="1" t="s">
        <v>13</v>
      </c>
      <c r="C125" s="1" t="s">
        <v>30</v>
      </c>
      <c r="D125" s="1" t="s">
        <v>3</v>
      </c>
      <c r="E125" s="2">
        <v>39899</v>
      </c>
      <c r="F125" s="1" t="s">
        <v>4</v>
      </c>
      <c r="G125" s="3">
        <v>24790</v>
      </c>
      <c r="H125">
        <v>3</v>
      </c>
    </row>
    <row r="126" spans="1:8" x14ac:dyDescent="0.25">
      <c r="A126" s="1" t="s">
        <v>158</v>
      </c>
      <c r="B126" s="1" t="s">
        <v>1</v>
      </c>
      <c r="C126" s="1" t="s">
        <v>2</v>
      </c>
      <c r="D126" s="1" t="s">
        <v>16</v>
      </c>
      <c r="E126" s="2">
        <v>38793</v>
      </c>
      <c r="G126" s="3">
        <v>85930</v>
      </c>
      <c r="H126">
        <v>2</v>
      </c>
    </row>
    <row r="127" spans="1:8" x14ac:dyDescent="0.25">
      <c r="A127" s="1" t="s">
        <v>159</v>
      </c>
      <c r="B127" s="1" t="s">
        <v>51</v>
      </c>
      <c r="C127" s="1" t="s">
        <v>8</v>
      </c>
      <c r="D127" s="1" t="s">
        <v>3</v>
      </c>
      <c r="E127" s="2">
        <v>41177</v>
      </c>
      <c r="F127" s="1" t="s">
        <v>4</v>
      </c>
      <c r="G127" s="3">
        <v>64510</v>
      </c>
      <c r="H127">
        <v>3</v>
      </c>
    </row>
    <row r="128" spans="1:8" x14ac:dyDescent="0.25">
      <c r="A128" s="1" t="s">
        <v>160</v>
      </c>
      <c r="B128" s="1" t="s">
        <v>29</v>
      </c>
      <c r="C128" s="1" t="s">
        <v>18</v>
      </c>
      <c r="D128" s="1" t="s">
        <v>16</v>
      </c>
      <c r="E128" s="2">
        <v>37820</v>
      </c>
      <c r="G128" s="3">
        <v>75420</v>
      </c>
      <c r="H128">
        <v>1</v>
      </c>
    </row>
    <row r="129" spans="1:8" x14ac:dyDescent="0.25">
      <c r="A129" s="1" t="s">
        <v>161</v>
      </c>
      <c r="B129" s="1" t="s">
        <v>1</v>
      </c>
      <c r="C129" s="1" t="s">
        <v>75</v>
      </c>
      <c r="D129" s="1" t="s">
        <v>3</v>
      </c>
      <c r="E129" s="2">
        <v>36506</v>
      </c>
      <c r="F129" s="1" t="s">
        <v>11</v>
      </c>
      <c r="G129" s="3">
        <v>32100</v>
      </c>
      <c r="H129">
        <v>1</v>
      </c>
    </row>
    <row r="130" spans="1:8" x14ac:dyDescent="0.25">
      <c r="A130" s="1" t="s">
        <v>162</v>
      </c>
      <c r="B130" s="1" t="s">
        <v>13</v>
      </c>
      <c r="C130" s="1" t="s">
        <v>23</v>
      </c>
      <c r="D130" s="1" t="s">
        <v>3</v>
      </c>
      <c r="E130" s="2">
        <v>40452</v>
      </c>
      <c r="F130" s="1" t="s">
        <v>11</v>
      </c>
      <c r="G130" s="3">
        <v>43410</v>
      </c>
      <c r="H130">
        <v>1</v>
      </c>
    </row>
    <row r="131" spans="1:8" x14ac:dyDescent="0.25">
      <c r="A131" s="1" t="s">
        <v>163</v>
      </c>
      <c r="B131" s="1" t="s">
        <v>1</v>
      </c>
      <c r="C131" s="1" t="s">
        <v>30</v>
      </c>
      <c r="D131" s="1" t="s">
        <v>16</v>
      </c>
      <c r="E131" s="2">
        <v>40259</v>
      </c>
      <c r="G131" s="3">
        <v>73190</v>
      </c>
      <c r="H131">
        <v>1</v>
      </c>
    </row>
    <row r="132" spans="1:8" x14ac:dyDescent="0.25">
      <c r="A132" s="1" t="s">
        <v>164</v>
      </c>
      <c r="B132" s="1" t="s">
        <v>1</v>
      </c>
      <c r="C132" s="1" t="s">
        <v>35</v>
      </c>
      <c r="D132" s="1" t="s">
        <v>3</v>
      </c>
      <c r="E132" s="2">
        <v>39283</v>
      </c>
      <c r="F132" s="1" t="s">
        <v>4</v>
      </c>
      <c r="G132" s="3">
        <v>24980</v>
      </c>
      <c r="H132">
        <v>3</v>
      </c>
    </row>
    <row r="133" spans="1:8" x14ac:dyDescent="0.25">
      <c r="A133" s="1" t="s">
        <v>165</v>
      </c>
      <c r="B133" s="1" t="s">
        <v>27</v>
      </c>
      <c r="C133" s="1" t="s">
        <v>166</v>
      </c>
      <c r="D133" s="1" t="s">
        <v>24</v>
      </c>
      <c r="E133" s="2">
        <v>40505</v>
      </c>
      <c r="F133" s="1" t="s">
        <v>11</v>
      </c>
      <c r="G133" s="3">
        <v>46230</v>
      </c>
      <c r="H133">
        <v>2</v>
      </c>
    </row>
    <row r="134" spans="1:8" x14ac:dyDescent="0.25">
      <c r="A134" s="1" t="s">
        <v>167</v>
      </c>
      <c r="B134" s="1" t="s">
        <v>51</v>
      </c>
      <c r="C134" s="1" t="s">
        <v>18</v>
      </c>
      <c r="D134" s="1" t="s">
        <v>16</v>
      </c>
      <c r="E134" s="2">
        <v>36600</v>
      </c>
      <c r="G134" s="3">
        <v>41840</v>
      </c>
      <c r="H134">
        <v>2</v>
      </c>
    </row>
    <row r="135" spans="1:8" x14ac:dyDescent="0.25">
      <c r="A135" s="1" t="s">
        <v>168</v>
      </c>
      <c r="B135" s="1" t="s">
        <v>1</v>
      </c>
      <c r="C135" s="1" t="s">
        <v>18</v>
      </c>
      <c r="D135" s="1" t="s">
        <v>3</v>
      </c>
      <c r="E135" s="2">
        <v>39407</v>
      </c>
      <c r="F135" s="1" t="s">
        <v>11</v>
      </c>
      <c r="G135" s="3">
        <v>73072</v>
      </c>
      <c r="H135">
        <v>5</v>
      </c>
    </row>
    <row r="136" spans="1:8" x14ac:dyDescent="0.25">
      <c r="A136" s="1" t="s">
        <v>169</v>
      </c>
      <c r="B136" s="1" t="s">
        <v>1</v>
      </c>
      <c r="C136" s="1" t="s">
        <v>2</v>
      </c>
      <c r="D136" s="1" t="s">
        <v>3</v>
      </c>
      <c r="E136" s="2">
        <v>36407</v>
      </c>
      <c r="F136" s="1" t="s">
        <v>25</v>
      </c>
      <c r="G136" s="3">
        <v>45880</v>
      </c>
      <c r="H136">
        <v>5</v>
      </c>
    </row>
    <row r="137" spans="1:8" x14ac:dyDescent="0.25">
      <c r="A137" s="1" t="s">
        <v>170</v>
      </c>
      <c r="B137" s="1" t="s">
        <v>13</v>
      </c>
      <c r="C137" s="1" t="s">
        <v>18</v>
      </c>
      <c r="D137" s="1" t="s">
        <v>16</v>
      </c>
      <c r="E137" s="2">
        <v>39633</v>
      </c>
      <c r="G137" s="3">
        <v>39680</v>
      </c>
      <c r="H137">
        <v>1</v>
      </c>
    </row>
    <row r="138" spans="1:8" x14ac:dyDescent="0.25">
      <c r="A138" s="1" t="s">
        <v>171</v>
      </c>
      <c r="B138" s="1" t="s">
        <v>1</v>
      </c>
      <c r="C138" s="1" t="s">
        <v>18</v>
      </c>
      <c r="D138" s="1" t="s">
        <v>3</v>
      </c>
      <c r="E138" s="2">
        <v>37394</v>
      </c>
      <c r="F138" s="1" t="s">
        <v>4</v>
      </c>
      <c r="G138" s="3">
        <v>28970</v>
      </c>
      <c r="H138">
        <v>3</v>
      </c>
    </row>
    <row r="139" spans="1:8" x14ac:dyDescent="0.25">
      <c r="A139" s="1" t="s">
        <v>172</v>
      </c>
      <c r="B139" s="1" t="s">
        <v>6</v>
      </c>
      <c r="C139" s="1" t="s">
        <v>18</v>
      </c>
      <c r="D139" s="1" t="s">
        <v>16</v>
      </c>
      <c r="E139" s="2">
        <v>39262</v>
      </c>
      <c r="G139" s="3">
        <v>45770</v>
      </c>
      <c r="H139">
        <v>5</v>
      </c>
    </row>
    <row r="140" spans="1:8" x14ac:dyDescent="0.25">
      <c r="A140" s="1" t="s">
        <v>173</v>
      </c>
      <c r="B140" s="1" t="s">
        <v>51</v>
      </c>
      <c r="C140" s="1" t="s">
        <v>18</v>
      </c>
      <c r="D140" s="1" t="s">
        <v>3</v>
      </c>
      <c r="E140" s="2">
        <v>39472</v>
      </c>
      <c r="F140" s="1" t="s">
        <v>4</v>
      </c>
      <c r="G140" s="3">
        <v>41060</v>
      </c>
      <c r="H140">
        <v>3</v>
      </c>
    </row>
    <row r="141" spans="1:8" x14ac:dyDescent="0.25">
      <c r="A141" s="1" t="s">
        <v>174</v>
      </c>
      <c r="B141" s="1" t="s">
        <v>13</v>
      </c>
      <c r="C141" s="1" t="s">
        <v>18</v>
      </c>
      <c r="D141" s="1" t="s">
        <v>16</v>
      </c>
      <c r="E141" s="2">
        <v>39822</v>
      </c>
      <c r="G141" s="3">
        <v>60040</v>
      </c>
      <c r="H141">
        <v>5</v>
      </c>
    </row>
    <row r="142" spans="1:8" x14ac:dyDescent="0.25">
      <c r="A142" s="1" t="s">
        <v>175</v>
      </c>
      <c r="B142" s="1" t="s">
        <v>6</v>
      </c>
      <c r="C142" s="1" t="s">
        <v>63</v>
      </c>
      <c r="D142" s="1" t="s">
        <v>3</v>
      </c>
      <c r="E142" s="2">
        <v>40745</v>
      </c>
      <c r="F142" s="1" t="s">
        <v>4</v>
      </c>
      <c r="G142" s="3">
        <v>69400</v>
      </c>
      <c r="H142">
        <v>5</v>
      </c>
    </row>
    <row r="143" spans="1:8" x14ac:dyDescent="0.25">
      <c r="A143" s="1" t="s">
        <v>176</v>
      </c>
      <c r="B143" s="1" t="s">
        <v>51</v>
      </c>
      <c r="C143" s="1" t="s">
        <v>75</v>
      </c>
      <c r="D143" s="1" t="s">
        <v>16</v>
      </c>
      <c r="E143" s="2">
        <v>36038</v>
      </c>
      <c r="G143" s="3">
        <v>30340</v>
      </c>
      <c r="H143">
        <v>3</v>
      </c>
    </row>
    <row r="144" spans="1:8" x14ac:dyDescent="0.25">
      <c r="A144" s="1" t="s">
        <v>177</v>
      </c>
      <c r="B144" s="1" t="s">
        <v>29</v>
      </c>
      <c r="C144" s="1" t="s">
        <v>35</v>
      </c>
      <c r="D144" s="1" t="s">
        <v>16</v>
      </c>
      <c r="E144" s="2">
        <v>40334</v>
      </c>
      <c r="G144" s="3">
        <v>47280</v>
      </c>
      <c r="H144">
        <v>1</v>
      </c>
    </row>
    <row r="145" spans="1:8" x14ac:dyDescent="0.25">
      <c r="A145" s="1" t="s">
        <v>178</v>
      </c>
      <c r="B145" s="1" t="s">
        <v>1</v>
      </c>
      <c r="C145" s="1" t="s">
        <v>2</v>
      </c>
      <c r="D145" s="1" t="s">
        <v>3</v>
      </c>
      <c r="E145" s="2">
        <v>39745</v>
      </c>
      <c r="F145" s="1" t="s">
        <v>11</v>
      </c>
      <c r="G145" s="3">
        <v>29330</v>
      </c>
      <c r="H145">
        <v>5</v>
      </c>
    </row>
    <row r="146" spans="1:8" x14ac:dyDescent="0.25">
      <c r="A146" s="1" t="s">
        <v>179</v>
      </c>
      <c r="B146" s="1" t="s">
        <v>29</v>
      </c>
      <c r="C146" s="1" t="s">
        <v>20</v>
      </c>
      <c r="D146" s="1" t="s">
        <v>16</v>
      </c>
      <c r="E146" s="2">
        <v>36342</v>
      </c>
      <c r="G146" s="3">
        <v>86970</v>
      </c>
      <c r="H146">
        <v>4</v>
      </c>
    </row>
    <row r="147" spans="1:8" x14ac:dyDescent="0.25">
      <c r="A147" s="1" t="s">
        <v>180</v>
      </c>
      <c r="B147" s="1" t="s">
        <v>6</v>
      </c>
      <c r="C147" s="1" t="s">
        <v>166</v>
      </c>
      <c r="D147" s="1" t="s">
        <v>3</v>
      </c>
      <c r="E147" s="2">
        <v>39492</v>
      </c>
      <c r="F147" s="1" t="s">
        <v>4</v>
      </c>
      <c r="G147" s="3">
        <v>36630</v>
      </c>
      <c r="H147">
        <v>4</v>
      </c>
    </row>
    <row r="148" spans="1:8" x14ac:dyDescent="0.25">
      <c r="A148" s="1" t="s">
        <v>181</v>
      </c>
      <c r="B148" s="1" t="s">
        <v>29</v>
      </c>
      <c r="C148" s="1" t="s">
        <v>18</v>
      </c>
      <c r="D148" s="1" t="s">
        <v>3</v>
      </c>
      <c r="E148" s="2">
        <v>39455</v>
      </c>
      <c r="F148" s="1" t="s">
        <v>11</v>
      </c>
      <c r="G148" s="3">
        <v>59420</v>
      </c>
      <c r="H148">
        <v>4</v>
      </c>
    </row>
    <row r="149" spans="1:8" x14ac:dyDescent="0.25">
      <c r="A149" s="1" t="s">
        <v>182</v>
      </c>
      <c r="B149" s="1" t="s">
        <v>6</v>
      </c>
      <c r="C149" s="1" t="s">
        <v>35</v>
      </c>
      <c r="D149" s="1" t="s">
        <v>16</v>
      </c>
      <c r="E149" s="2">
        <v>39768</v>
      </c>
      <c r="G149" s="3">
        <v>63610</v>
      </c>
      <c r="H149">
        <v>5</v>
      </c>
    </row>
    <row r="150" spans="1:8" x14ac:dyDescent="0.25">
      <c r="A150" s="1" t="s">
        <v>183</v>
      </c>
      <c r="B150" s="1" t="s">
        <v>1</v>
      </c>
      <c r="C150" s="1" t="s">
        <v>35</v>
      </c>
      <c r="D150" s="1" t="s">
        <v>3</v>
      </c>
      <c r="E150" s="2">
        <v>36025</v>
      </c>
      <c r="F150" s="1" t="s">
        <v>25</v>
      </c>
      <c r="G150" s="3">
        <v>64470</v>
      </c>
      <c r="H150">
        <v>5</v>
      </c>
    </row>
    <row r="151" spans="1:8" x14ac:dyDescent="0.25">
      <c r="A151" s="1" t="s">
        <v>184</v>
      </c>
      <c r="B151" s="1" t="s">
        <v>1</v>
      </c>
      <c r="C151" s="1" t="s">
        <v>63</v>
      </c>
      <c r="D151" s="1" t="s">
        <v>32</v>
      </c>
      <c r="E151" s="2">
        <v>39733</v>
      </c>
      <c r="G151" s="3">
        <v>33232</v>
      </c>
      <c r="H151">
        <v>4</v>
      </c>
    </row>
    <row r="152" spans="1:8" x14ac:dyDescent="0.25">
      <c r="A152" s="1" t="s">
        <v>185</v>
      </c>
      <c r="B152" s="1" t="s">
        <v>51</v>
      </c>
      <c r="C152" s="1" t="s">
        <v>35</v>
      </c>
      <c r="D152" s="1" t="s">
        <v>24</v>
      </c>
      <c r="E152" s="2">
        <v>36053</v>
      </c>
      <c r="F152" s="1" t="s">
        <v>9</v>
      </c>
      <c r="G152" s="3">
        <v>46105</v>
      </c>
      <c r="H152">
        <v>5</v>
      </c>
    </row>
    <row r="153" spans="1:8" x14ac:dyDescent="0.25">
      <c r="A153" s="1" t="s">
        <v>186</v>
      </c>
      <c r="B153" s="1" t="s">
        <v>6</v>
      </c>
      <c r="C153" s="1" t="s">
        <v>8</v>
      </c>
      <c r="D153" s="1" t="s">
        <v>24</v>
      </c>
      <c r="E153" s="2">
        <v>39768</v>
      </c>
      <c r="F153" s="1" t="s">
        <v>4</v>
      </c>
      <c r="G153" s="3">
        <v>39515</v>
      </c>
      <c r="H153">
        <v>5</v>
      </c>
    </row>
    <row r="154" spans="1:8" x14ac:dyDescent="0.25">
      <c r="A154" s="1" t="s">
        <v>187</v>
      </c>
      <c r="B154" s="1" t="s">
        <v>6</v>
      </c>
      <c r="C154" s="1" t="s">
        <v>75</v>
      </c>
      <c r="D154" s="1" t="s">
        <v>3</v>
      </c>
      <c r="E154" s="2">
        <v>40200</v>
      </c>
      <c r="F154" s="1" t="s">
        <v>21</v>
      </c>
      <c r="G154" s="3">
        <v>77350</v>
      </c>
      <c r="H154">
        <v>5</v>
      </c>
    </row>
    <row r="155" spans="1:8" x14ac:dyDescent="0.25">
      <c r="A155" s="1" t="s">
        <v>188</v>
      </c>
      <c r="B155" s="1" t="s">
        <v>6</v>
      </c>
      <c r="C155" s="1" t="s">
        <v>30</v>
      </c>
      <c r="D155" s="1" t="s">
        <v>24</v>
      </c>
      <c r="E155" s="2">
        <v>37249</v>
      </c>
      <c r="F155" s="1" t="s">
        <v>9</v>
      </c>
      <c r="G155" s="3">
        <v>12545</v>
      </c>
      <c r="H155">
        <v>4</v>
      </c>
    </row>
    <row r="156" spans="1:8" x14ac:dyDescent="0.25">
      <c r="A156" s="1" t="s">
        <v>189</v>
      </c>
      <c r="B156" s="1" t="s">
        <v>1</v>
      </c>
      <c r="C156" s="1" t="s">
        <v>8</v>
      </c>
      <c r="D156" s="1" t="s">
        <v>24</v>
      </c>
      <c r="E156" s="2">
        <v>40299</v>
      </c>
      <c r="F156" s="1" t="s">
        <v>9</v>
      </c>
      <c r="G156" s="3">
        <v>32835</v>
      </c>
      <c r="H156">
        <v>2</v>
      </c>
    </row>
    <row r="157" spans="1:8" x14ac:dyDescent="0.25">
      <c r="A157" s="1" t="s">
        <v>190</v>
      </c>
      <c r="B157" s="1" t="s">
        <v>13</v>
      </c>
      <c r="C157" s="1" t="s">
        <v>46</v>
      </c>
      <c r="D157" s="1" t="s">
        <v>16</v>
      </c>
      <c r="E157" s="2">
        <v>40692</v>
      </c>
      <c r="G157" s="3">
        <v>85510</v>
      </c>
      <c r="H157">
        <v>4</v>
      </c>
    </row>
    <row r="158" spans="1:8" x14ac:dyDescent="0.25">
      <c r="A158" s="1" t="s">
        <v>191</v>
      </c>
      <c r="B158" s="1" t="s">
        <v>1</v>
      </c>
      <c r="C158" s="1" t="s">
        <v>57</v>
      </c>
      <c r="D158" s="1" t="s">
        <v>16</v>
      </c>
      <c r="E158" s="2">
        <v>39623</v>
      </c>
      <c r="G158" s="3">
        <v>60060</v>
      </c>
      <c r="H158">
        <v>2</v>
      </c>
    </row>
    <row r="159" spans="1:8" x14ac:dyDescent="0.25">
      <c r="A159" s="1" t="s">
        <v>192</v>
      </c>
      <c r="B159" s="1" t="s">
        <v>1</v>
      </c>
      <c r="C159" s="1" t="s">
        <v>35</v>
      </c>
      <c r="D159" s="1" t="s">
        <v>3</v>
      </c>
      <c r="E159" s="2">
        <v>36956</v>
      </c>
      <c r="F159" s="1" t="s">
        <v>9</v>
      </c>
      <c r="G159" s="3">
        <v>49930</v>
      </c>
      <c r="H159">
        <v>1</v>
      </c>
    </row>
    <row r="160" spans="1:8" x14ac:dyDescent="0.25">
      <c r="A160" s="1" t="s">
        <v>193</v>
      </c>
      <c r="B160" s="1" t="s">
        <v>1</v>
      </c>
      <c r="C160" s="1" t="s">
        <v>35</v>
      </c>
      <c r="D160" s="1" t="s">
        <v>3</v>
      </c>
      <c r="E160" s="2">
        <v>37810</v>
      </c>
      <c r="F160" s="1" t="s">
        <v>11</v>
      </c>
      <c r="G160" s="3">
        <v>48010</v>
      </c>
      <c r="H160">
        <v>3</v>
      </c>
    </row>
    <row r="161" spans="1:8" x14ac:dyDescent="0.25">
      <c r="A161" s="1" t="s">
        <v>194</v>
      </c>
      <c r="B161" s="1" t="s">
        <v>29</v>
      </c>
      <c r="C161" s="1" t="s">
        <v>18</v>
      </c>
      <c r="D161" s="1" t="s">
        <v>16</v>
      </c>
      <c r="E161" s="2">
        <v>37899</v>
      </c>
      <c r="G161" s="3">
        <v>64220</v>
      </c>
      <c r="H161">
        <v>5</v>
      </c>
    </row>
    <row r="162" spans="1:8" x14ac:dyDescent="0.25">
      <c r="A162" s="1" t="s">
        <v>195</v>
      </c>
      <c r="B162" s="1" t="s">
        <v>6</v>
      </c>
      <c r="C162" s="1" t="s">
        <v>35</v>
      </c>
      <c r="D162" s="1" t="s">
        <v>3</v>
      </c>
      <c r="E162" s="2">
        <v>41111</v>
      </c>
      <c r="F162" s="1" t="s">
        <v>25</v>
      </c>
      <c r="G162" s="3">
        <v>62780</v>
      </c>
      <c r="H162">
        <v>3</v>
      </c>
    </row>
    <row r="163" spans="1:8" x14ac:dyDescent="0.25">
      <c r="A163" s="1" t="s">
        <v>196</v>
      </c>
      <c r="B163" s="1" t="s">
        <v>13</v>
      </c>
      <c r="C163" s="1" t="s">
        <v>197</v>
      </c>
      <c r="D163" s="1" t="s">
        <v>16</v>
      </c>
      <c r="E163" s="2">
        <v>39147</v>
      </c>
      <c r="G163" s="3">
        <v>42540</v>
      </c>
      <c r="H163">
        <v>5</v>
      </c>
    </row>
    <row r="164" spans="1:8" x14ac:dyDescent="0.25">
      <c r="A164" s="1" t="s">
        <v>198</v>
      </c>
      <c r="B164" s="1" t="s">
        <v>6</v>
      </c>
      <c r="C164" s="1" t="s">
        <v>18</v>
      </c>
      <c r="D164" s="1" t="s">
        <v>3</v>
      </c>
      <c r="E164" s="2">
        <v>37943</v>
      </c>
      <c r="F164" s="1" t="s">
        <v>4</v>
      </c>
      <c r="G164" s="3">
        <v>75176</v>
      </c>
      <c r="H164">
        <v>3</v>
      </c>
    </row>
    <row r="165" spans="1:8" x14ac:dyDescent="0.25">
      <c r="A165" s="1" t="s">
        <v>199</v>
      </c>
      <c r="B165" s="1" t="s">
        <v>1</v>
      </c>
      <c r="C165" s="1" t="s">
        <v>2</v>
      </c>
      <c r="D165" s="1" t="s">
        <v>16</v>
      </c>
      <c r="E165" s="2">
        <v>36479</v>
      </c>
      <c r="G165" s="3">
        <v>54840</v>
      </c>
      <c r="H165">
        <v>4</v>
      </c>
    </row>
    <row r="166" spans="1:8" x14ac:dyDescent="0.25">
      <c r="A166" s="1" t="s">
        <v>200</v>
      </c>
      <c r="B166" s="1" t="s">
        <v>51</v>
      </c>
      <c r="C166" s="1" t="s">
        <v>18</v>
      </c>
      <c r="D166" s="1" t="s">
        <v>3</v>
      </c>
      <c r="E166" s="2">
        <v>36084</v>
      </c>
      <c r="F166" s="1" t="s">
        <v>4</v>
      </c>
      <c r="G166" s="3">
        <v>33210</v>
      </c>
      <c r="H166">
        <v>4</v>
      </c>
    </row>
    <row r="167" spans="1:8" x14ac:dyDescent="0.25">
      <c r="A167" s="1" t="s">
        <v>201</v>
      </c>
      <c r="B167" s="1" t="s">
        <v>1</v>
      </c>
      <c r="C167" s="1" t="s">
        <v>75</v>
      </c>
      <c r="D167" s="1" t="s">
        <v>3</v>
      </c>
      <c r="E167" s="2">
        <v>40320</v>
      </c>
      <c r="F167" s="1" t="s">
        <v>21</v>
      </c>
      <c r="G167" s="3">
        <v>77580</v>
      </c>
      <c r="H167">
        <v>3</v>
      </c>
    </row>
    <row r="168" spans="1:8" x14ac:dyDescent="0.25">
      <c r="A168" s="1" t="s">
        <v>202</v>
      </c>
      <c r="B168" s="1" t="s">
        <v>1</v>
      </c>
      <c r="C168" s="1" t="s">
        <v>30</v>
      </c>
      <c r="D168" s="1" t="s">
        <v>3</v>
      </c>
      <c r="E168" s="2">
        <v>40438</v>
      </c>
      <c r="F168" s="1" t="s">
        <v>21</v>
      </c>
      <c r="G168" s="3">
        <v>59150</v>
      </c>
      <c r="H168">
        <v>4</v>
      </c>
    </row>
    <row r="169" spans="1:8" x14ac:dyDescent="0.25">
      <c r="A169" s="1" t="s">
        <v>203</v>
      </c>
      <c r="B169" s="1" t="s">
        <v>6</v>
      </c>
      <c r="C169" s="1" t="s">
        <v>2</v>
      </c>
      <c r="D169" s="1" t="s">
        <v>16</v>
      </c>
      <c r="E169" s="2">
        <v>36406</v>
      </c>
      <c r="G169" s="3">
        <v>60800</v>
      </c>
      <c r="H169">
        <v>4</v>
      </c>
    </row>
    <row r="170" spans="1:8" x14ac:dyDescent="0.25">
      <c r="A170" s="1" t="s">
        <v>204</v>
      </c>
      <c r="B170" s="1" t="s">
        <v>6</v>
      </c>
      <c r="C170" s="1" t="s">
        <v>18</v>
      </c>
      <c r="D170" s="1" t="s">
        <v>16</v>
      </c>
      <c r="E170" s="2">
        <v>36455</v>
      </c>
      <c r="G170" s="3">
        <v>23810</v>
      </c>
      <c r="H170">
        <v>4</v>
      </c>
    </row>
    <row r="171" spans="1:8" x14ac:dyDescent="0.25">
      <c r="A171" s="1" t="s">
        <v>205</v>
      </c>
      <c r="B171" s="1" t="s">
        <v>1</v>
      </c>
      <c r="C171" s="1" t="s">
        <v>18</v>
      </c>
      <c r="D171" s="1" t="s">
        <v>32</v>
      </c>
      <c r="E171" s="2">
        <v>37730</v>
      </c>
      <c r="G171" s="3">
        <v>8892</v>
      </c>
      <c r="H171">
        <v>1</v>
      </c>
    </row>
    <row r="172" spans="1:8" x14ac:dyDescent="0.25">
      <c r="A172" s="1" t="s">
        <v>206</v>
      </c>
      <c r="B172" s="1" t="s">
        <v>13</v>
      </c>
      <c r="C172" s="1" t="s">
        <v>18</v>
      </c>
      <c r="D172" s="1" t="s">
        <v>3</v>
      </c>
      <c r="E172" s="2">
        <v>38733</v>
      </c>
      <c r="F172" s="1" t="s">
        <v>9</v>
      </c>
      <c r="G172" s="3">
        <v>68710</v>
      </c>
      <c r="H172">
        <v>4</v>
      </c>
    </row>
    <row r="173" spans="1:8" x14ac:dyDescent="0.25">
      <c r="A173" s="1" t="s">
        <v>207</v>
      </c>
      <c r="B173" s="1" t="s">
        <v>1</v>
      </c>
      <c r="C173" s="1" t="s">
        <v>63</v>
      </c>
      <c r="D173" s="1" t="s">
        <v>24</v>
      </c>
      <c r="E173" s="2">
        <v>39687</v>
      </c>
      <c r="F173" s="1" t="s">
        <v>21</v>
      </c>
      <c r="G173" s="3">
        <v>24815</v>
      </c>
      <c r="H173">
        <v>1</v>
      </c>
    </row>
    <row r="174" spans="1:8" x14ac:dyDescent="0.25">
      <c r="A174" s="1" t="s">
        <v>208</v>
      </c>
      <c r="B174" s="1" t="s">
        <v>1</v>
      </c>
      <c r="C174" s="1" t="s">
        <v>18</v>
      </c>
      <c r="D174" s="1" t="s">
        <v>16</v>
      </c>
      <c r="E174" s="2">
        <v>38321</v>
      </c>
      <c r="G174" s="3">
        <v>37980</v>
      </c>
      <c r="H174">
        <v>4</v>
      </c>
    </row>
    <row r="175" spans="1:8" x14ac:dyDescent="0.25">
      <c r="A175" s="1" t="s">
        <v>209</v>
      </c>
      <c r="B175" s="1" t="s">
        <v>6</v>
      </c>
      <c r="C175" s="1" t="s">
        <v>75</v>
      </c>
      <c r="D175" s="1" t="s">
        <v>3</v>
      </c>
      <c r="E175" s="2">
        <v>40501</v>
      </c>
      <c r="F175" s="1" t="s">
        <v>21</v>
      </c>
      <c r="G175" s="3">
        <v>77820</v>
      </c>
      <c r="H175">
        <v>3</v>
      </c>
    </row>
    <row r="176" spans="1:8" x14ac:dyDescent="0.25">
      <c r="A176" s="1" t="s">
        <v>210</v>
      </c>
      <c r="B176" s="1" t="s">
        <v>1</v>
      </c>
      <c r="C176" s="1" t="s">
        <v>92</v>
      </c>
      <c r="D176" s="1" t="s">
        <v>32</v>
      </c>
      <c r="E176" s="2">
        <v>37946</v>
      </c>
      <c r="F176" s="1" t="s">
        <v>4</v>
      </c>
      <c r="G176" s="3">
        <v>85130</v>
      </c>
      <c r="H176">
        <v>5</v>
      </c>
    </row>
    <row r="177" spans="1:8" x14ac:dyDescent="0.25">
      <c r="A177" s="1" t="s">
        <v>211</v>
      </c>
      <c r="B177" s="1" t="s">
        <v>27</v>
      </c>
      <c r="C177" s="1" t="s">
        <v>30</v>
      </c>
      <c r="D177" s="1" t="s">
        <v>3</v>
      </c>
      <c r="E177" s="2">
        <v>36136</v>
      </c>
      <c r="F177" s="1" t="s">
        <v>11</v>
      </c>
      <c r="G177" s="3">
        <v>45000</v>
      </c>
      <c r="H177">
        <v>4</v>
      </c>
    </row>
    <row r="178" spans="1:8" x14ac:dyDescent="0.25">
      <c r="A178" s="1" t="s">
        <v>212</v>
      </c>
      <c r="B178" s="1" t="s">
        <v>51</v>
      </c>
      <c r="C178" s="1" t="s">
        <v>18</v>
      </c>
      <c r="D178" s="1" t="s">
        <v>3</v>
      </c>
      <c r="E178" s="2">
        <v>39348</v>
      </c>
      <c r="F178" s="1" t="s">
        <v>4</v>
      </c>
      <c r="G178" s="3">
        <v>46220</v>
      </c>
      <c r="H178">
        <v>2</v>
      </c>
    </row>
    <row r="179" spans="1:8" x14ac:dyDescent="0.25">
      <c r="A179" s="1" t="s">
        <v>213</v>
      </c>
      <c r="B179" s="1" t="s">
        <v>51</v>
      </c>
      <c r="C179" s="1" t="s">
        <v>23</v>
      </c>
      <c r="D179" s="1" t="s">
        <v>16</v>
      </c>
      <c r="E179" s="2">
        <v>35921</v>
      </c>
      <c r="G179" s="3">
        <v>63330</v>
      </c>
      <c r="H179">
        <v>4</v>
      </c>
    </row>
    <row r="180" spans="1:8" x14ac:dyDescent="0.25">
      <c r="A180" s="1" t="s">
        <v>214</v>
      </c>
      <c r="B180" s="1" t="s">
        <v>1</v>
      </c>
      <c r="C180" s="1" t="s">
        <v>2</v>
      </c>
      <c r="D180" s="1" t="s">
        <v>3</v>
      </c>
      <c r="E180" s="2">
        <v>39273</v>
      </c>
      <c r="F180" s="1" t="s">
        <v>4</v>
      </c>
      <c r="G180" s="3">
        <v>54200</v>
      </c>
      <c r="H180">
        <v>4</v>
      </c>
    </row>
    <row r="181" spans="1:8" x14ac:dyDescent="0.25">
      <c r="A181" s="1" t="s">
        <v>215</v>
      </c>
      <c r="B181" s="1" t="s">
        <v>1</v>
      </c>
      <c r="C181" s="1" t="s">
        <v>73</v>
      </c>
      <c r="D181" s="1" t="s">
        <v>3</v>
      </c>
      <c r="E181" s="2">
        <v>36214</v>
      </c>
      <c r="F181" s="1" t="s">
        <v>9</v>
      </c>
      <c r="G181" s="3">
        <v>47850</v>
      </c>
      <c r="H181">
        <v>1</v>
      </c>
    </row>
    <row r="182" spans="1:8" x14ac:dyDescent="0.25">
      <c r="A182" s="1" t="s">
        <v>216</v>
      </c>
      <c r="B182" s="1" t="s">
        <v>27</v>
      </c>
      <c r="C182" s="1" t="s">
        <v>197</v>
      </c>
      <c r="D182" s="1" t="s">
        <v>32</v>
      </c>
      <c r="E182" s="2">
        <v>41151</v>
      </c>
      <c r="G182" s="3">
        <v>35680</v>
      </c>
      <c r="H182">
        <v>2</v>
      </c>
    </row>
    <row r="183" spans="1:8" x14ac:dyDescent="0.25">
      <c r="A183" s="1" t="s">
        <v>217</v>
      </c>
      <c r="B183" s="1" t="s">
        <v>51</v>
      </c>
      <c r="C183" s="1" t="s">
        <v>20</v>
      </c>
      <c r="D183" s="1" t="s">
        <v>16</v>
      </c>
      <c r="E183" s="2">
        <v>37667</v>
      </c>
      <c r="G183" s="3">
        <v>73390</v>
      </c>
      <c r="H183">
        <v>2</v>
      </c>
    </row>
    <row r="184" spans="1:8" x14ac:dyDescent="0.25">
      <c r="A184" s="1" t="s">
        <v>218</v>
      </c>
      <c r="B184" s="1" t="s">
        <v>1</v>
      </c>
      <c r="C184" s="1" t="s">
        <v>2</v>
      </c>
      <c r="D184" s="1" t="s">
        <v>3</v>
      </c>
      <c r="E184" s="2">
        <v>40990</v>
      </c>
      <c r="F184" s="1" t="s">
        <v>4</v>
      </c>
      <c r="G184" s="3">
        <v>65571</v>
      </c>
      <c r="H184">
        <v>3</v>
      </c>
    </row>
    <row r="185" spans="1:8" x14ac:dyDescent="0.25">
      <c r="A185" s="1" t="s">
        <v>219</v>
      </c>
      <c r="B185" s="1" t="s">
        <v>6</v>
      </c>
      <c r="C185" s="1" t="s">
        <v>18</v>
      </c>
      <c r="D185" s="1" t="s">
        <v>3</v>
      </c>
      <c r="E185" s="2">
        <v>40270</v>
      </c>
      <c r="F185" s="1" t="s">
        <v>11</v>
      </c>
      <c r="G185" s="3">
        <v>35300</v>
      </c>
      <c r="H185">
        <v>5</v>
      </c>
    </row>
    <row r="186" spans="1:8" x14ac:dyDescent="0.25">
      <c r="A186" s="1" t="s">
        <v>220</v>
      </c>
      <c r="B186" s="1" t="s">
        <v>29</v>
      </c>
      <c r="C186" s="1" t="s">
        <v>30</v>
      </c>
      <c r="D186" s="1" t="s">
        <v>24</v>
      </c>
      <c r="E186" s="2">
        <v>40293</v>
      </c>
      <c r="F186" s="1" t="s">
        <v>4</v>
      </c>
      <c r="G186" s="3">
        <v>11810</v>
      </c>
      <c r="H186">
        <v>1</v>
      </c>
    </row>
    <row r="187" spans="1:8" x14ac:dyDescent="0.25">
      <c r="A187" s="1" t="s">
        <v>221</v>
      </c>
      <c r="B187" s="1" t="s">
        <v>27</v>
      </c>
      <c r="C187" s="1" t="s">
        <v>18</v>
      </c>
      <c r="D187" s="1" t="s">
        <v>16</v>
      </c>
      <c r="E187" s="2">
        <v>38912</v>
      </c>
      <c r="G187" s="3">
        <v>80330</v>
      </c>
      <c r="H187">
        <v>4</v>
      </c>
    </row>
    <row r="188" spans="1:8" x14ac:dyDescent="0.25">
      <c r="A188" s="1" t="s">
        <v>222</v>
      </c>
      <c r="B188" s="1" t="s">
        <v>13</v>
      </c>
      <c r="C188" s="1" t="s">
        <v>23</v>
      </c>
      <c r="D188" s="1" t="s">
        <v>3</v>
      </c>
      <c r="E188" s="2">
        <v>40925</v>
      </c>
      <c r="F188" s="1" t="s">
        <v>11</v>
      </c>
      <c r="G188" s="3">
        <v>43190</v>
      </c>
      <c r="H188">
        <v>2</v>
      </c>
    </row>
    <row r="189" spans="1:8" x14ac:dyDescent="0.25">
      <c r="A189" s="1" t="s">
        <v>223</v>
      </c>
      <c r="B189" s="1" t="s">
        <v>1</v>
      </c>
      <c r="C189" s="1" t="s">
        <v>35</v>
      </c>
      <c r="D189" s="1" t="s">
        <v>24</v>
      </c>
      <c r="E189" s="2">
        <v>39253</v>
      </c>
      <c r="F189" s="1" t="s">
        <v>9</v>
      </c>
      <c r="G189" s="3">
        <v>11230</v>
      </c>
      <c r="H189">
        <v>4</v>
      </c>
    </row>
    <row r="190" spans="1:8" x14ac:dyDescent="0.25">
      <c r="A190" s="1" t="s">
        <v>224</v>
      </c>
      <c r="B190" s="1" t="s">
        <v>1</v>
      </c>
      <c r="C190" s="1" t="s">
        <v>18</v>
      </c>
      <c r="D190" s="1" t="s">
        <v>16</v>
      </c>
      <c r="E190" s="2">
        <v>41079</v>
      </c>
      <c r="G190" s="3">
        <v>32190</v>
      </c>
      <c r="H190">
        <v>3</v>
      </c>
    </row>
    <row r="191" spans="1:8" x14ac:dyDescent="0.25">
      <c r="A191" s="1" t="s">
        <v>225</v>
      </c>
      <c r="B191" s="1" t="s">
        <v>1</v>
      </c>
      <c r="C191" s="1" t="s">
        <v>35</v>
      </c>
      <c r="D191" s="1" t="s">
        <v>16</v>
      </c>
      <c r="E191" s="2">
        <v>40235</v>
      </c>
      <c r="G191" s="3">
        <v>80729</v>
      </c>
      <c r="H191">
        <v>3</v>
      </c>
    </row>
    <row r="192" spans="1:8" x14ac:dyDescent="0.25">
      <c r="A192" s="1" t="s">
        <v>226</v>
      </c>
      <c r="B192" s="1" t="s">
        <v>1</v>
      </c>
      <c r="C192" s="1" t="s">
        <v>30</v>
      </c>
      <c r="D192" s="1" t="s">
        <v>3</v>
      </c>
      <c r="E192" s="2">
        <v>39703</v>
      </c>
      <c r="F192" s="1" t="s">
        <v>21</v>
      </c>
      <c r="G192" s="3">
        <v>46110</v>
      </c>
      <c r="H192">
        <v>4</v>
      </c>
    </row>
    <row r="193" spans="1:8" x14ac:dyDescent="0.25">
      <c r="A193" s="1" t="s">
        <v>227</v>
      </c>
      <c r="B193" s="1" t="s">
        <v>1</v>
      </c>
      <c r="C193" s="1" t="s">
        <v>63</v>
      </c>
      <c r="D193" s="1" t="s">
        <v>3</v>
      </c>
      <c r="E193" s="2">
        <v>39761</v>
      </c>
      <c r="F193" s="1" t="s">
        <v>4</v>
      </c>
      <c r="G193" s="3">
        <v>40940</v>
      </c>
      <c r="H193">
        <v>3</v>
      </c>
    </row>
    <row r="194" spans="1:8" x14ac:dyDescent="0.25">
      <c r="A194" s="1" t="s">
        <v>228</v>
      </c>
      <c r="B194" s="1" t="s">
        <v>6</v>
      </c>
      <c r="C194" s="1" t="s">
        <v>8</v>
      </c>
      <c r="D194" s="1" t="s">
        <v>3</v>
      </c>
      <c r="E194" s="2">
        <v>40399</v>
      </c>
      <c r="F194" s="1" t="s">
        <v>21</v>
      </c>
      <c r="G194" s="3">
        <v>32640</v>
      </c>
      <c r="H194">
        <v>4</v>
      </c>
    </row>
    <row r="195" spans="1:8" x14ac:dyDescent="0.25">
      <c r="A195" s="1" t="s">
        <v>229</v>
      </c>
      <c r="B195" s="1" t="s">
        <v>1</v>
      </c>
      <c r="C195" s="1" t="s">
        <v>8</v>
      </c>
      <c r="D195" s="1" t="s">
        <v>3</v>
      </c>
      <c r="E195" s="2">
        <v>40366</v>
      </c>
      <c r="F195" s="1" t="s">
        <v>4</v>
      </c>
      <c r="G195" s="3">
        <v>63780</v>
      </c>
      <c r="H195">
        <v>5</v>
      </c>
    </row>
    <row r="196" spans="1:8" x14ac:dyDescent="0.25">
      <c r="A196" s="1" t="s">
        <v>230</v>
      </c>
      <c r="B196" s="1" t="s">
        <v>6</v>
      </c>
      <c r="C196" s="1" t="s">
        <v>59</v>
      </c>
      <c r="D196" s="1" t="s">
        <v>24</v>
      </c>
      <c r="E196" s="2">
        <v>40351</v>
      </c>
      <c r="F196" s="1" t="s">
        <v>11</v>
      </c>
      <c r="G196" s="3">
        <v>20040</v>
      </c>
      <c r="H196">
        <v>3</v>
      </c>
    </row>
    <row r="197" spans="1:8" x14ac:dyDescent="0.25">
      <c r="A197" s="1" t="s">
        <v>231</v>
      </c>
      <c r="B197" s="1" t="s">
        <v>13</v>
      </c>
      <c r="C197" s="1" t="s">
        <v>30</v>
      </c>
      <c r="D197" s="1" t="s">
        <v>3</v>
      </c>
      <c r="E197" s="2">
        <v>35821</v>
      </c>
      <c r="F197" s="1" t="s">
        <v>21</v>
      </c>
      <c r="G197" s="3">
        <v>22870</v>
      </c>
      <c r="H197">
        <v>3</v>
      </c>
    </row>
    <row r="198" spans="1:8" x14ac:dyDescent="0.25">
      <c r="A198" s="1" t="s">
        <v>232</v>
      </c>
      <c r="B198" s="1" t="s">
        <v>29</v>
      </c>
      <c r="C198" s="1" t="s">
        <v>75</v>
      </c>
      <c r="D198" s="1" t="s">
        <v>3</v>
      </c>
      <c r="E198" s="2">
        <v>39379</v>
      </c>
      <c r="F198" s="1" t="s">
        <v>4</v>
      </c>
      <c r="G198" s="3">
        <v>67890</v>
      </c>
      <c r="H198">
        <v>5</v>
      </c>
    </row>
    <row r="199" spans="1:8" x14ac:dyDescent="0.25">
      <c r="A199" s="1" t="s">
        <v>233</v>
      </c>
      <c r="B199" s="1" t="s">
        <v>6</v>
      </c>
      <c r="C199" s="1" t="s">
        <v>2</v>
      </c>
      <c r="D199" s="1" t="s">
        <v>24</v>
      </c>
      <c r="E199" s="2">
        <v>38975</v>
      </c>
      <c r="F199" s="1" t="s">
        <v>11</v>
      </c>
      <c r="G199" s="3">
        <v>42740</v>
      </c>
      <c r="H199">
        <v>2</v>
      </c>
    </row>
    <row r="200" spans="1:8" x14ac:dyDescent="0.25">
      <c r="A200" s="1" t="s">
        <v>234</v>
      </c>
      <c r="B200" s="1" t="s">
        <v>1</v>
      </c>
      <c r="C200" s="1" t="s">
        <v>18</v>
      </c>
      <c r="D200" s="1" t="s">
        <v>3</v>
      </c>
      <c r="E200" s="2">
        <v>38813</v>
      </c>
      <c r="F200" s="1" t="s">
        <v>11</v>
      </c>
      <c r="G200" s="3">
        <v>32390</v>
      </c>
      <c r="H200">
        <v>2</v>
      </c>
    </row>
    <row r="201" spans="1:8" x14ac:dyDescent="0.25">
      <c r="A201" s="1" t="s">
        <v>235</v>
      </c>
      <c r="B201" s="1" t="s">
        <v>27</v>
      </c>
      <c r="C201" s="1" t="s">
        <v>18</v>
      </c>
      <c r="D201" s="1" t="s">
        <v>16</v>
      </c>
      <c r="E201" s="2">
        <v>35927</v>
      </c>
      <c r="G201" s="3">
        <v>76910</v>
      </c>
      <c r="H201">
        <v>1</v>
      </c>
    </row>
    <row r="202" spans="1:8" x14ac:dyDescent="0.25">
      <c r="A202" s="1" t="s">
        <v>236</v>
      </c>
      <c r="B202" s="1" t="s">
        <v>6</v>
      </c>
      <c r="C202" s="1" t="s">
        <v>20</v>
      </c>
      <c r="D202" s="1" t="s">
        <v>16</v>
      </c>
      <c r="E202" s="2">
        <v>39024</v>
      </c>
      <c r="G202" s="3">
        <v>76020</v>
      </c>
      <c r="H202">
        <v>1</v>
      </c>
    </row>
    <row r="203" spans="1:8" x14ac:dyDescent="0.25">
      <c r="A203" s="1" t="s">
        <v>237</v>
      </c>
      <c r="B203" s="1" t="s">
        <v>51</v>
      </c>
      <c r="C203" s="1" t="s">
        <v>18</v>
      </c>
      <c r="D203" s="1" t="s">
        <v>3</v>
      </c>
      <c r="E203" s="2">
        <v>36413</v>
      </c>
      <c r="F203" s="1" t="s">
        <v>4</v>
      </c>
      <c r="G203" s="3">
        <v>40060</v>
      </c>
      <c r="H203">
        <v>3</v>
      </c>
    </row>
    <row r="204" spans="1:8" x14ac:dyDescent="0.25">
      <c r="A204" s="1" t="s">
        <v>238</v>
      </c>
      <c r="B204" s="1" t="s">
        <v>1</v>
      </c>
      <c r="C204" s="1" t="s">
        <v>59</v>
      </c>
      <c r="D204" s="1" t="s">
        <v>3</v>
      </c>
      <c r="E204" s="2">
        <v>39258</v>
      </c>
      <c r="F204" s="1" t="s">
        <v>9</v>
      </c>
      <c r="G204" s="3">
        <v>66920</v>
      </c>
      <c r="H204">
        <v>2</v>
      </c>
    </row>
    <row r="205" spans="1:8" x14ac:dyDescent="0.25">
      <c r="A205" s="1" t="s">
        <v>239</v>
      </c>
      <c r="B205" s="1" t="s">
        <v>1</v>
      </c>
      <c r="C205" s="1" t="s">
        <v>2</v>
      </c>
      <c r="D205" s="1" t="s">
        <v>3</v>
      </c>
      <c r="E205" s="2">
        <v>40909</v>
      </c>
      <c r="F205" s="1" t="s">
        <v>4</v>
      </c>
      <c r="G205" s="3">
        <v>54830</v>
      </c>
      <c r="H205">
        <v>1</v>
      </c>
    </row>
    <row r="206" spans="1:8" x14ac:dyDescent="0.25">
      <c r="A206" s="1" t="s">
        <v>240</v>
      </c>
      <c r="B206" s="1" t="s">
        <v>13</v>
      </c>
      <c r="C206" s="1" t="s">
        <v>30</v>
      </c>
      <c r="D206" s="1" t="s">
        <v>16</v>
      </c>
      <c r="E206" s="2">
        <v>40963</v>
      </c>
      <c r="G206" s="3">
        <v>60550</v>
      </c>
      <c r="H206">
        <v>2</v>
      </c>
    </row>
    <row r="207" spans="1:8" x14ac:dyDescent="0.25">
      <c r="A207" s="1" t="s">
        <v>241</v>
      </c>
      <c r="B207" s="1" t="s">
        <v>13</v>
      </c>
      <c r="C207" s="1" t="s">
        <v>73</v>
      </c>
      <c r="D207" s="1" t="s">
        <v>24</v>
      </c>
      <c r="E207" s="2">
        <v>38851</v>
      </c>
      <c r="F207" s="1" t="s">
        <v>4</v>
      </c>
      <c r="G207" s="3">
        <v>11025</v>
      </c>
      <c r="H207">
        <v>1</v>
      </c>
    </row>
    <row r="208" spans="1:8" x14ac:dyDescent="0.25">
      <c r="A208" s="1" t="s">
        <v>242</v>
      </c>
      <c r="B208" s="1" t="s">
        <v>6</v>
      </c>
      <c r="C208" s="1" t="s">
        <v>75</v>
      </c>
      <c r="D208" s="1" t="s">
        <v>3</v>
      </c>
      <c r="E208" s="2">
        <v>37176</v>
      </c>
      <c r="F208" s="1" t="s">
        <v>21</v>
      </c>
      <c r="G208" s="3">
        <v>62790</v>
      </c>
      <c r="H208">
        <v>2</v>
      </c>
    </row>
    <row r="209" spans="1:8" x14ac:dyDescent="0.25">
      <c r="A209" s="1" t="s">
        <v>243</v>
      </c>
      <c r="B209" s="1" t="s">
        <v>29</v>
      </c>
      <c r="C209" s="1" t="s">
        <v>18</v>
      </c>
      <c r="D209" s="1" t="s">
        <v>3</v>
      </c>
      <c r="E209" s="2">
        <v>38321</v>
      </c>
      <c r="F209" s="1" t="s">
        <v>25</v>
      </c>
      <c r="G209" s="3">
        <v>70760</v>
      </c>
      <c r="H209">
        <v>1</v>
      </c>
    </row>
    <row r="210" spans="1:8" x14ac:dyDescent="0.25">
      <c r="A210" s="1" t="s">
        <v>244</v>
      </c>
      <c r="B210" s="1" t="s">
        <v>6</v>
      </c>
      <c r="C210" s="1" t="s">
        <v>75</v>
      </c>
      <c r="D210" s="1" t="s">
        <v>3</v>
      </c>
      <c r="E210" s="2">
        <v>39215</v>
      </c>
      <c r="F210" s="1" t="s">
        <v>4</v>
      </c>
      <c r="G210" s="3">
        <v>31910</v>
      </c>
      <c r="H210">
        <v>5</v>
      </c>
    </row>
    <row r="211" spans="1:8" x14ac:dyDescent="0.25">
      <c r="A211" s="1" t="s">
        <v>245</v>
      </c>
      <c r="B211" s="1" t="s">
        <v>27</v>
      </c>
      <c r="C211" s="1" t="s">
        <v>23</v>
      </c>
      <c r="D211" s="1" t="s">
        <v>16</v>
      </c>
      <c r="E211" s="2">
        <v>39616</v>
      </c>
      <c r="G211" s="3">
        <v>66710</v>
      </c>
      <c r="H211">
        <v>2</v>
      </c>
    </row>
    <row r="212" spans="1:8" x14ac:dyDescent="0.25">
      <c r="A212" s="1" t="s">
        <v>246</v>
      </c>
      <c r="B212" s="1" t="s">
        <v>29</v>
      </c>
      <c r="C212" s="1" t="s">
        <v>102</v>
      </c>
      <c r="D212" s="1" t="s">
        <v>32</v>
      </c>
      <c r="E212" s="2">
        <v>40543</v>
      </c>
      <c r="G212" s="3">
        <v>19044</v>
      </c>
      <c r="H212">
        <v>1</v>
      </c>
    </row>
    <row r="213" spans="1:8" x14ac:dyDescent="0.25">
      <c r="A213" s="1" t="s">
        <v>247</v>
      </c>
      <c r="B213" s="1" t="s">
        <v>6</v>
      </c>
      <c r="C213" s="1" t="s">
        <v>138</v>
      </c>
      <c r="D213" s="1" t="s">
        <v>3</v>
      </c>
      <c r="E213" s="2">
        <v>36249</v>
      </c>
      <c r="F213" s="1" t="s">
        <v>4</v>
      </c>
      <c r="G213" s="3">
        <v>49860</v>
      </c>
      <c r="H213">
        <v>2</v>
      </c>
    </row>
    <row r="214" spans="1:8" x14ac:dyDescent="0.25">
      <c r="A214" s="1" t="s">
        <v>248</v>
      </c>
      <c r="B214" s="1" t="s">
        <v>13</v>
      </c>
      <c r="C214" s="1" t="s">
        <v>30</v>
      </c>
      <c r="D214" s="1" t="s">
        <v>16</v>
      </c>
      <c r="E214" s="2">
        <v>40883</v>
      </c>
      <c r="G214" s="3">
        <v>50840</v>
      </c>
      <c r="H214">
        <v>4</v>
      </c>
    </row>
    <row r="215" spans="1:8" x14ac:dyDescent="0.25">
      <c r="A215" s="1" t="s">
        <v>249</v>
      </c>
      <c r="B215" s="1" t="s">
        <v>6</v>
      </c>
      <c r="C215" s="1" t="s">
        <v>2</v>
      </c>
      <c r="D215" s="1" t="s">
        <v>32</v>
      </c>
      <c r="E215" s="2">
        <v>39458</v>
      </c>
      <c r="G215" s="3">
        <v>36788</v>
      </c>
      <c r="H215">
        <v>4</v>
      </c>
    </row>
    <row r="216" spans="1:8" x14ac:dyDescent="0.25">
      <c r="A216" s="1" t="s">
        <v>250</v>
      </c>
      <c r="B216" s="1" t="s">
        <v>1</v>
      </c>
      <c r="C216" s="1" t="s">
        <v>23</v>
      </c>
      <c r="D216" s="1" t="s">
        <v>3</v>
      </c>
      <c r="E216" s="2">
        <v>38807</v>
      </c>
      <c r="F216" s="1" t="s">
        <v>4</v>
      </c>
      <c r="G216" s="3">
        <v>47060</v>
      </c>
      <c r="H216">
        <v>4</v>
      </c>
    </row>
    <row r="217" spans="1:8" x14ac:dyDescent="0.25">
      <c r="A217" s="1" t="s">
        <v>251</v>
      </c>
      <c r="B217" s="1" t="s">
        <v>1</v>
      </c>
      <c r="C217" s="1" t="s">
        <v>30</v>
      </c>
      <c r="D217" s="1" t="s">
        <v>3</v>
      </c>
      <c r="E217" s="2">
        <v>38980</v>
      </c>
      <c r="F217" s="1" t="s">
        <v>25</v>
      </c>
      <c r="G217" s="3">
        <v>24340</v>
      </c>
      <c r="H217">
        <v>4</v>
      </c>
    </row>
    <row r="218" spans="1:8" x14ac:dyDescent="0.25">
      <c r="A218" s="1" t="s">
        <v>252</v>
      </c>
      <c r="B218" s="1" t="s">
        <v>6</v>
      </c>
      <c r="C218" s="1" t="s">
        <v>18</v>
      </c>
      <c r="D218" s="1" t="s">
        <v>24</v>
      </c>
      <c r="E218" s="2">
        <v>36269</v>
      </c>
      <c r="F218" s="1" t="s">
        <v>11</v>
      </c>
      <c r="G218" s="3">
        <v>48190</v>
      </c>
      <c r="H218">
        <v>1</v>
      </c>
    </row>
    <row r="219" spans="1:8" x14ac:dyDescent="0.25">
      <c r="A219" s="1" t="s">
        <v>253</v>
      </c>
      <c r="B219" s="1" t="s">
        <v>6</v>
      </c>
      <c r="C219" s="1" t="s">
        <v>30</v>
      </c>
      <c r="D219" s="1" t="s">
        <v>3</v>
      </c>
      <c r="E219" s="2">
        <v>40815</v>
      </c>
      <c r="F219" s="1" t="s">
        <v>25</v>
      </c>
      <c r="G219" s="3">
        <v>54500</v>
      </c>
      <c r="H219">
        <v>5</v>
      </c>
    </row>
    <row r="220" spans="1:8" x14ac:dyDescent="0.25">
      <c r="A220" s="1" t="s">
        <v>254</v>
      </c>
      <c r="B220" s="1" t="s">
        <v>29</v>
      </c>
      <c r="C220" s="1" t="s">
        <v>37</v>
      </c>
      <c r="D220" s="1" t="s">
        <v>3</v>
      </c>
      <c r="E220" s="2">
        <v>36466</v>
      </c>
      <c r="F220" s="1" t="s">
        <v>11</v>
      </c>
      <c r="G220" s="3">
        <v>68410</v>
      </c>
      <c r="H220">
        <v>5</v>
      </c>
    </row>
    <row r="221" spans="1:8" x14ac:dyDescent="0.25">
      <c r="A221" s="1" t="s">
        <v>255</v>
      </c>
      <c r="B221" s="1" t="s">
        <v>6</v>
      </c>
      <c r="C221" s="1" t="s">
        <v>18</v>
      </c>
      <c r="D221" s="1" t="s">
        <v>3</v>
      </c>
      <c r="E221" s="2">
        <v>39518</v>
      </c>
      <c r="F221" s="1" t="s">
        <v>11</v>
      </c>
      <c r="G221" s="3">
        <v>24710</v>
      </c>
      <c r="H221">
        <v>2</v>
      </c>
    </row>
    <row r="222" spans="1:8" x14ac:dyDescent="0.25">
      <c r="A222" s="1" t="s">
        <v>256</v>
      </c>
      <c r="B222" s="1" t="s">
        <v>1</v>
      </c>
      <c r="C222" s="1" t="s">
        <v>30</v>
      </c>
      <c r="D222" s="1" t="s">
        <v>3</v>
      </c>
      <c r="E222" s="2">
        <v>38815</v>
      </c>
      <c r="F222" s="1" t="s">
        <v>4</v>
      </c>
      <c r="G222" s="3">
        <v>63270</v>
      </c>
      <c r="H222">
        <v>1</v>
      </c>
    </row>
    <row r="223" spans="1:8" x14ac:dyDescent="0.25">
      <c r="A223" s="1" t="s">
        <v>257</v>
      </c>
      <c r="B223" s="1" t="s">
        <v>13</v>
      </c>
      <c r="C223" s="1" t="s">
        <v>30</v>
      </c>
      <c r="D223" s="1" t="s">
        <v>16</v>
      </c>
      <c r="E223" s="2">
        <v>38828</v>
      </c>
      <c r="G223" s="3">
        <v>49530</v>
      </c>
      <c r="H223">
        <v>4</v>
      </c>
    </row>
    <row r="224" spans="1:8" x14ac:dyDescent="0.25">
      <c r="A224" s="1" t="s">
        <v>258</v>
      </c>
      <c r="B224" s="1" t="s">
        <v>13</v>
      </c>
      <c r="C224" s="1" t="s">
        <v>30</v>
      </c>
      <c r="D224" s="1" t="s">
        <v>16</v>
      </c>
      <c r="E224" s="2">
        <v>40943</v>
      </c>
      <c r="G224" s="3">
        <v>47590</v>
      </c>
      <c r="H224">
        <v>3</v>
      </c>
    </row>
    <row r="225" spans="1:8" x14ac:dyDescent="0.25">
      <c r="A225" s="1" t="s">
        <v>259</v>
      </c>
      <c r="B225" s="1" t="s">
        <v>6</v>
      </c>
      <c r="C225" s="1" t="s">
        <v>18</v>
      </c>
      <c r="D225" s="1" t="s">
        <v>3</v>
      </c>
      <c r="E225" s="2">
        <v>41026</v>
      </c>
      <c r="F225" s="1" t="s">
        <v>11</v>
      </c>
      <c r="G225" s="3">
        <v>26190</v>
      </c>
      <c r="H225">
        <v>5</v>
      </c>
    </row>
    <row r="226" spans="1:8" x14ac:dyDescent="0.25">
      <c r="A226" s="1" t="s">
        <v>260</v>
      </c>
      <c r="B226" s="1" t="s">
        <v>1</v>
      </c>
      <c r="C226" s="1" t="s">
        <v>2</v>
      </c>
      <c r="D226" s="1" t="s">
        <v>3</v>
      </c>
      <c r="E226" s="2">
        <v>36312</v>
      </c>
      <c r="F226" s="1" t="s">
        <v>4</v>
      </c>
      <c r="G226" s="3">
        <v>69200</v>
      </c>
      <c r="H226">
        <v>4</v>
      </c>
    </row>
    <row r="227" spans="1:8" x14ac:dyDescent="0.25">
      <c r="A227" s="1" t="s">
        <v>261</v>
      </c>
      <c r="B227" s="1" t="s">
        <v>13</v>
      </c>
      <c r="C227" s="1" t="s">
        <v>106</v>
      </c>
      <c r="D227" s="1" t="s">
        <v>32</v>
      </c>
      <c r="E227" s="2">
        <v>40126</v>
      </c>
      <c r="G227" s="3">
        <v>10636</v>
      </c>
      <c r="H227">
        <v>4</v>
      </c>
    </row>
    <row r="228" spans="1:8" x14ac:dyDescent="0.25">
      <c r="A228" s="1" t="s">
        <v>262</v>
      </c>
      <c r="B228" s="1" t="s">
        <v>6</v>
      </c>
      <c r="C228" s="1" t="s">
        <v>8</v>
      </c>
      <c r="D228" s="1" t="s">
        <v>16</v>
      </c>
      <c r="E228" s="2">
        <v>35939</v>
      </c>
      <c r="G228" s="3">
        <v>25120</v>
      </c>
      <c r="H228">
        <v>5</v>
      </c>
    </row>
    <row r="229" spans="1:8" x14ac:dyDescent="0.25">
      <c r="A229" s="1" t="s">
        <v>263</v>
      </c>
      <c r="B229" s="1" t="s">
        <v>6</v>
      </c>
      <c r="C229" s="1" t="s">
        <v>35</v>
      </c>
      <c r="D229" s="1" t="s">
        <v>3</v>
      </c>
      <c r="E229" s="2">
        <v>41262</v>
      </c>
      <c r="F229" s="1" t="s">
        <v>25</v>
      </c>
      <c r="G229" s="3">
        <v>59490</v>
      </c>
      <c r="H229">
        <v>3</v>
      </c>
    </row>
    <row r="230" spans="1:8" x14ac:dyDescent="0.25">
      <c r="A230" s="1" t="s">
        <v>264</v>
      </c>
      <c r="B230" s="1" t="s">
        <v>6</v>
      </c>
      <c r="C230" s="1" t="s">
        <v>75</v>
      </c>
      <c r="D230" s="1" t="s">
        <v>16</v>
      </c>
      <c r="E230" s="2">
        <v>39803</v>
      </c>
      <c r="G230" s="3">
        <v>42940</v>
      </c>
      <c r="H230">
        <v>1</v>
      </c>
    </row>
    <row r="231" spans="1:8" x14ac:dyDescent="0.25">
      <c r="A231" s="1" t="s">
        <v>265</v>
      </c>
      <c r="B231" s="1" t="s">
        <v>29</v>
      </c>
      <c r="C231" s="1" t="s">
        <v>20</v>
      </c>
      <c r="D231" s="1" t="s">
        <v>3</v>
      </c>
      <c r="E231" s="2">
        <v>38774</v>
      </c>
      <c r="F231" s="1" t="s">
        <v>4</v>
      </c>
      <c r="G231" s="3">
        <v>80120</v>
      </c>
      <c r="H231">
        <v>4</v>
      </c>
    </row>
    <row r="232" spans="1:8" x14ac:dyDescent="0.25">
      <c r="A232" s="1" t="s">
        <v>266</v>
      </c>
      <c r="B232" s="1" t="s">
        <v>13</v>
      </c>
      <c r="C232" s="1" t="s">
        <v>35</v>
      </c>
      <c r="D232" s="1" t="s">
        <v>3</v>
      </c>
      <c r="E232" s="2">
        <v>39602</v>
      </c>
      <c r="F232" s="1" t="s">
        <v>4</v>
      </c>
      <c r="G232" s="3">
        <v>79380</v>
      </c>
      <c r="H232">
        <v>5</v>
      </c>
    </row>
    <row r="233" spans="1:8" x14ac:dyDescent="0.25">
      <c r="A233" s="1" t="s">
        <v>267</v>
      </c>
      <c r="B233" s="1" t="s">
        <v>1</v>
      </c>
      <c r="C233" s="1" t="s">
        <v>23</v>
      </c>
      <c r="D233" s="1" t="s">
        <v>3</v>
      </c>
      <c r="E233" s="2">
        <v>35903</v>
      </c>
      <c r="F233" s="1" t="s">
        <v>4</v>
      </c>
      <c r="G233" s="3">
        <v>68520</v>
      </c>
      <c r="H233">
        <v>5</v>
      </c>
    </row>
    <row r="234" spans="1:8" x14ac:dyDescent="0.25">
      <c r="A234" s="1" t="s">
        <v>268</v>
      </c>
      <c r="B234" s="1" t="s">
        <v>6</v>
      </c>
      <c r="C234" s="1" t="s">
        <v>63</v>
      </c>
      <c r="D234" s="1" t="s">
        <v>3</v>
      </c>
      <c r="E234" s="2">
        <v>40841</v>
      </c>
      <c r="F234" s="1" t="s">
        <v>4</v>
      </c>
      <c r="G234" s="3">
        <v>81530</v>
      </c>
      <c r="H234">
        <v>5</v>
      </c>
    </row>
    <row r="235" spans="1:8" x14ac:dyDescent="0.25">
      <c r="A235" s="1" t="s">
        <v>269</v>
      </c>
      <c r="B235" s="1" t="s">
        <v>29</v>
      </c>
      <c r="C235" s="1" t="s">
        <v>8</v>
      </c>
      <c r="D235" s="1" t="s">
        <v>16</v>
      </c>
      <c r="E235" s="2">
        <v>40259</v>
      </c>
      <c r="G235" s="3">
        <v>45710</v>
      </c>
      <c r="H235">
        <v>3</v>
      </c>
    </row>
    <row r="236" spans="1:8" x14ac:dyDescent="0.25">
      <c r="A236" s="1" t="s">
        <v>270</v>
      </c>
      <c r="B236" s="1" t="s">
        <v>1</v>
      </c>
      <c r="C236" s="1" t="s">
        <v>63</v>
      </c>
      <c r="D236" s="1" t="s">
        <v>3</v>
      </c>
      <c r="E236" s="2">
        <v>40585</v>
      </c>
      <c r="F236" s="1" t="s">
        <v>4</v>
      </c>
      <c r="G236" s="3">
        <v>87950</v>
      </c>
      <c r="H236">
        <v>4</v>
      </c>
    </row>
    <row r="237" spans="1:8" x14ac:dyDescent="0.25">
      <c r="A237" s="1" t="s">
        <v>271</v>
      </c>
      <c r="B237" s="1" t="s">
        <v>1</v>
      </c>
      <c r="C237" s="1" t="s">
        <v>35</v>
      </c>
      <c r="D237" s="1" t="s">
        <v>16</v>
      </c>
      <c r="E237" s="2">
        <v>39087</v>
      </c>
      <c r="G237" s="3">
        <v>70150</v>
      </c>
      <c r="H237">
        <v>2</v>
      </c>
    </row>
    <row r="238" spans="1:8" x14ac:dyDescent="0.25">
      <c r="A238" s="1" t="s">
        <v>272</v>
      </c>
      <c r="B238" s="1" t="s">
        <v>1</v>
      </c>
      <c r="C238" s="1" t="s">
        <v>18</v>
      </c>
      <c r="D238" s="1" t="s">
        <v>3</v>
      </c>
      <c r="E238" s="2">
        <v>40603</v>
      </c>
      <c r="F238" s="1" t="s">
        <v>21</v>
      </c>
      <c r="G238" s="3">
        <v>44260</v>
      </c>
      <c r="H238">
        <v>1</v>
      </c>
    </row>
    <row r="239" spans="1:8" x14ac:dyDescent="0.25">
      <c r="A239" s="1" t="s">
        <v>273</v>
      </c>
      <c r="B239" s="1" t="s">
        <v>1</v>
      </c>
      <c r="C239" s="1" t="s">
        <v>35</v>
      </c>
      <c r="D239" s="1" t="s">
        <v>16</v>
      </c>
      <c r="E239" s="2">
        <v>39719</v>
      </c>
      <c r="G239" s="3">
        <v>23340</v>
      </c>
      <c r="H239">
        <v>4</v>
      </c>
    </row>
    <row r="240" spans="1:8" x14ac:dyDescent="0.25">
      <c r="A240" s="1" t="s">
        <v>274</v>
      </c>
      <c r="B240" s="1" t="s">
        <v>29</v>
      </c>
      <c r="C240" s="1" t="s">
        <v>30</v>
      </c>
      <c r="D240" s="1" t="s">
        <v>3</v>
      </c>
      <c r="E240" s="2">
        <v>38790</v>
      </c>
      <c r="F240" s="1" t="s">
        <v>25</v>
      </c>
      <c r="G240" s="3">
        <v>62688</v>
      </c>
      <c r="H240">
        <v>3</v>
      </c>
    </row>
    <row r="241" spans="1:8" x14ac:dyDescent="0.25">
      <c r="A241" s="1" t="s">
        <v>275</v>
      </c>
      <c r="B241" s="1" t="s">
        <v>51</v>
      </c>
      <c r="C241" s="1" t="s">
        <v>35</v>
      </c>
      <c r="D241" s="1" t="s">
        <v>3</v>
      </c>
      <c r="E241" s="2">
        <v>39091</v>
      </c>
      <c r="F241" s="1" t="s">
        <v>11</v>
      </c>
      <c r="G241" s="3">
        <v>46410</v>
      </c>
      <c r="H241">
        <v>2</v>
      </c>
    </row>
    <row r="242" spans="1:8" x14ac:dyDescent="0.25">
      <c r="A242" s="1" t="s">
        <v>276</v>
      </c>
      <c r="B242" s="1" t="s">
        <v>1</v>
      </c>
      <c r="C242" s="1" t="s">
        <v>59</v>
      </c>
      <c r="D242" s="1" t="s">
        <v>3</v>
      </c>
      <c r="E242" s="2">
        <v>39147</v>
      </c>
      <c r="F242" s="1" t="s">
        <v>21</v>
      </c>
      <c r="G242" s="3">
        <v>45180</v>
      </c>
      <c r="H242">
        <v>5</v>
      </c>
    </row>
    <row r="243" spans="1:8" x14ac:dyDescent="0.25">
      <c r="A243" s="1" t="s">
        <v>277</v>
      </c>
      <c r="B243" s="1" t="s">
        <v>1</v>
      </c>
      <c r="C243" s="1" t="s">
        <v>92</v>
      </c>
      <c r="D243" s="1" t="s">
        <v>24</v>
      </c>
      <c r="E243" s="2">
        <v>37505</v>
      </c>
      <c r="F243" s="1" t="s">
        <v>9</v>
      </c>
      <c r="G243" s="3">
        <v>51800</v>
      </c>
      <c r="H243">
        <v>1</v>
      </c>
    </row>
    <row r="244" spans="1:8" x14ac:dyDescent="0.25">
      <c r="A244" s="1" t="s">
        <v>278</v>
      </c>
      <c r="B244" s="1" t="s">
        <v>6</v>
      </c>
      <c r="C244" s="1" t="s">
        <v>30</v>
      </c>
      <c r="D244" s="1" t="s">
        <v>16</v>
      </c>
      <c r="E244" s="2">
        <v>39809</v>
      </c>
      <c r="G244" s="3">
        <v>58650</v>
      </c>
      <c r="H244">
        <v>4</v>
      </c>
    </row>
    <row r="245" spans="1:8" x14ac:dyDescent="0.25">
      <c r="A245" s="1" t="s">
        <v>279</v>
      </c>
      <c r="B245" s="1" t="s">
        <v>51</v>
      </c>
      <c r="C245" s="1" t="s">
        <v>2</v>
      </c>
      <c r="D245" s="1" t="s">
        <v>24</v>
      </c>
      <c r="E245" s="2">
        <v>37815</v>
      </c>
      <c r="F245" s="1" t="s">
        <v>4</v>
      </c>
      <c r="G245" s="3">
        <v>48740</v>
      </c>
      <c r="H245">
        <v>1</v>
      </c>
    </row>
    <row r="246" spans="1:8" x14ac:dyDescent="0.25">
      <c r="A246" s="1" t="s">
        <v>280</v>
      </c>
      <c r="B246" s="1" t="s">
        <v>6</v>
      </c>
      <c r="C246" s="1" t="s">
        <v>18</v>
      </c>
      <c r="D246" s="1" t="s">
        <v>24</v>
      </c>
      <c r="E246" s="2">
        <v>36503</v>
      </c>
      <c r="F246" s="1" t="s">
        <v>21</v>
      </c>
      <c r="G246" s="3">
        <v>41615</v>
      </c>
      <c r="H246">
        <v>1</v>
      </c>
    </row>
    <row r="247" spans="1:8" x14ac:dyDescent="0.25">
      <c r="A247" s="1" t="s">
        <v>281</v>
      </c>
      <c r="B247" s="1" t="s">
        <v>27</v>
      </c>
      <c r="C247" s="1" t="s">
        <v>18</v>
      </c>
      <c r="D247" s="1" t="s">
        <v>3</v>
      </c>
      <c r="E247" s="2">
        <v>39597</v>
      </c>
      <c r="F247" s="1" t="s">
        <v>4</v>
      </c>
      <c r="G247" s="3">
        <v>81010</v>
      </c>
      <c r="H247">
        <v>4</v>
      </c>
    </row>
    <row r="248" spans="1:8" x14ac:dyDescent="0.25">
      <c r="A248" s="1" t="s">
        <v>282</v>
      </c>
      <c r="B248" s="1" t="s">
        <v>51</v>
      </c>
      <c r="C248" s="1" t="s">
        <v>138</v>
      </c>
      <c r="D248" s="1" t="s">
        <v>3</v>
      </c>
      <c r="E248" s="2">
        <v>36182</v>
      </c>
      <c r="F248" s="1" t="s">
        <v>11</v>
      </c>
      <c r="G248" s="3">
        <v>68300</v>
      </c>
      <c r="H248">
        <v>5</v>
      </c>
    </row>
    <row r="249" spans="1:8" x14ac:dyDescent="0.25">
      <c r="A249" s="1" t="s">
        <v>283</v>
      </c>
      <c r="B249" s="1" t="s">
        <v>6</v>
      </c>
      <c r="C249" s="1" t="s">
        <v>59</v>
      </c>
      <c r="D249" s="1" t="s">
        <v>3</v>
      </c>
      <c r="E249" s="2">
        <v>40361</v>
      </c>
      <c r="F249" s="1" t="s">
        <v>21</v>
      </c>
      <c r="G249" s="3">
        <v>75780</v>
      </c>
      <c r="H249">
        <v>2</v>
      </c>
    </row>
    <row r="250" spans="1:8" x14ac:dyDescent="0.25">
      <c r="A250" s="1" t="s">
        <v>284</v>
      </c>
      <c r="B250" s="1" t="s">
        <v>27</v>
      </c>
      <c r="C250" s="1" t="s">
        <v>35</v>
      </c>
      <c r="D250" s="1" t="s">
        <v>3</v>
      </c>
      <c r="E250" s="2">
        <v>36843</v>
      </c>
      <c r="F250" s="1" t="s">
        <v>11</v>
      </c>
      <c r="G250" s="3">
        <v>47630</v>
      </c>
      <c r="H250">
        <v>3</v>
      </c>
    </row>
    <row r="251" spans="1:8" x14ac:dyDescent="0.25">
      <c r="A251" s="1" t="s">
        <v>285</v>
      </c>
      <c r="B251" s="1" t="s">
        <v>1</v>
      </c>
      <c r="C251" s="1" t="s">
        <v>75</v>
      </c>
      <c r="D251" s="1" t="s">
        <v>24</v>
      </c>
      <c r="E251" s="2">
        <v>40777</v>
      </c>
      <c r="F251" s="1" t="s">
        <v>25</v>
      </c>
      <c r="G251" s="3">
        <v>13800</v>
      </c>
      <c r="H251">
        <v>3</v>
      </c>
    </row>
    <row r="252" spans="1:8" x14ac:dyDescent="0.25">
      <c r="A252" s="1" t="s">
        <v>286</v>
      </c>
      <c r="B252" s="1" t="s">
        <v>1</v>
      </c>
      <c r="C252" s="1" t="s">
        <v>35</v>
      </c>
      <c r="D252" s="1" t="s">
        <v>24</v>
      </c>
      <c r="E252" s="2">
        <v>36462</v>
      </c>
      <c r="F252" s="1" t="s">
        <v>11</v>
      </c>
      <c r="G252" s="3">
        <v>26185</v>
      </c>
      <c r="H252">
        <v>5</v>
      </c>
    </row>
    <row r="253" spans="1:8" x14ac:dyDescent="0.25">
      <c r="A253" s="1" t="s">
        <v>287</v>
      </c>
      <c r="B253" s="1" t="s">
        <v>51</v>
      </c>
      <c r="C253" s="1" t="s">
        <v>30</v>
      </c>
      <c r="D253" s="1" t="s">
        <v>16</v>
      </c>
      <c r="E253" s="2">
        <v>39298</v>
      </c>
      <c r="G253" s="3">
        <v>76870</v>
      </c>
      <c r="H253">
        <v>5</v>
      </c>
    </row>
    <row r="254" spans="1:8" x14ac:dyDescent="0.25">
      <c r="A254" s="1" t="s">
        <v>288</v>
      </c>
      <c r="B254" s="1" t="s">
        <v>1</v>
      </c>
      <c r="C254" s="1" t="s">
        <v>35</v>
      </c>
      <c r="D254" s="1" t="s">
        <v>16</v>
      </c>
      <c r="E254" s="2">
        <v>40800</v>
      </c>
      <c r="G254" s="3">
        <v>62480</v>
      </c>
      <c r="H254">
        <v>5</v>
      </c>
    </row>
    <row r="255" spans="1:8" x14ac:dyDescent="0.25">
      <c r="A255" s="1" t="s">
        <v>289</v>
      </c>
      <c r="B255" s="1" t="s">
        <v>51</v>
      </c>
      <c r="C255" s="1" t="s">
        <v>30</v>
      </c>
      <c r="D255" s="1" t="s">
        <v>24</v>
      </c>
      <c r="E255" s="2">
        <v>35826</v>
      </c>
      <c r="F255" s="1" t="s">
        <v>4</v>
      </c>
      <c r="G255" s="3">
        <v>31205</v>
      </c>
      <c r="H255">
        <v>2</v>
      </c>
    </row>
    <row r="256" spans="1:8" x14ac:dyDescent="0.25">
      <c r="A256" s="1" t="s">
        <v>290</v>
      </c>
      <c r="B256" s="1" t="s">
        <v>1</v>
      </c>
      <c r="C256" s="1" t="s">
        <v>35</v>
      </c>
      <c r="D256" s="1" t="s">
        <v>3</v>
      </c>
      <c r="E256" s="2">
        <v>36967</v>
      </c>
      <c r="F256" s="1" t="s">
        <v>4</v>
      </c>
      <c r="G256" s="3">
        <v>63060</v>
      </c>
      <c r="H256">
        <v>4</v>
      </c>
    </row>
    <row r="257" spans="1:8" x14ac:dyDescent="0.25">
      <c r="A257" s="1" t="s">
        <v>291</v>
      </c>
      <c r="B257" s="1" t="s">
        <v>27</v>
      </c>
      <c r="C257" s="1" t="s">
        <v>35</v>
      </c>
      <c r="D257" s="1" t="s">
        <v>3</v>
      </c>
      <c r="E257" s="2">
        <v>39722</v>
      </c>
      <c r="F257" s="1" t="s">
        <v>4</v>
      </c>
      <c r="G257" s="3">
        <v>44530</v>
      </c>
      <c r="H257">
        <v>2</v>
      </c>
    </row>
    <row r="258" spans="1:8" x14ac:dyDescent="0.25">
      <c r="A258" s="1" t="s">
        <v>292</v>
      </c>
      <c r="B258" s="1" t="s">
        <v>29</v>
      </c>
      <c r="C258" s="1" t="s">
        <v>102</v>
      </c>
      <c r="D258" s="1" t="s">
        <v>24</v>
      </c>
      <c r="E258" s="2">
        <v>36557</v>
      </c>
      <c r="F258" s="1" t="s">
        <v>4</v>
      </c>
      <c r="G258" s="3">
        <v>31250</v>
      </c>
      <c r="H258">
        <v>2</v>
      </c>
    </row>
    <row r="259" spans="1:8" x14ac:dyDescent="0.25">
      <c r="A259" s="1" t="s">
        <v>293</v>
      </c>
      <c r="B259" s="1" t="s">
        <v>13</v>
      </c>
      <c r="C259" s="1" t="s">
        <v>18</v>
      </c>
      <c r="D259" s="1" t="s">
        <v>3</v>
      </c>
      <c r="E259" s="2">
        <v>41025</v>
      </c>
      <c r="F259" s="1" t="s">
        <v>11</v>
      </c>
      <c r="G259" s="3">
        <v>58910</v>
      </c>
      <c r="H259">
        <v>1</v>
      </c>
    </row>
    <row r="260" spans="1:8" x14ac:dyDescent="0.25">
      <c r="A260" s="1" t="s">
        <v>294</v>
      </c>
      <c r="B260" s="1" t="s">
        <v>27</v>
      </c>
      <c r="C260" s="1" t="s">
        <v>23</v>
      </c>
      <c r="D260" s="1" t="s">
        <v>16</v>
      </c>
      <c r="E260" s="2">
        <v>40620</v>
      </c>
      <c r="G260" s="3">
        <v>84300</v>
      </c>
      <c r="H260">
        <v>1</v>
      </c>
    </row>
    <row r="261" spans="1:8" x14ac:dyDescent="0.25">
      <c r="A261" s="1" t="s">
        <v>295</v>
      </c>
      <c r="B261" s="1" t="s">
        <v>13</v>
      </c>
      <c r="C261" s="1" t="s">
        <v>57</v>
      </c>
      <c r="D261" s="1" t="s">
        <v>3</v>
      </c>
      <c r="E261" s="2">
        <v>40400</v>
      </c>
      <c r="F261" s="1" t="s">
        <v>11</v>
      </c>
      <c r="G261" s="3">
        <v>79150</v>
      </c>
      <c r="H261">
        <v>2</v>
      </c>
    </row>
    <row r="262" spans="1:8" x14ac:dyDescent="0.25">
      <c r="A262" s="1" t="s">
        <v>296</v>
      </c>
      <c r="B262" s="1" t="s">
        <v>6</v>
      </c>
      <c r="C262" s="1" t="s">
        <v>59</v>
      </c>
      <c r="D262" s="1" t="s">
        <v>3</v>
      </c>
      <c r="E262" s="2">
        <v>40447</v>
      </c>
      <c r="F262" s="1" t="s">
        <v>4</v>
      </c>
      <c r="G262" s="3">
        <v>33970</v>
      </c>
      <c r="H262">
        <v>4</v>
      </c>
    </row>
    <row r="263" spans="1:8" x14ac:dyDescent="0.25">
      <c r="A263" s="1" t="s">
        <v>297</v>
      </c>
      <c r="B263" s="1" t="s">
        <v>51</v>
      </c>
      <c r="C263" s="1" t="s">
        <v>75</v>
      </c>
      <c r="D263" s="1" t="s">
        <v>16</v>
      </c>
      <c r="E263" s="2">
        <v>40233</v>
      </c>
      <c r="G263" s="3">
        <v>64390</v>
      </c>
      <c r="H263">
        <v>2</v>
      </c>
    </row>
    <row r="264" spans="1:8" x14ac:dyDescent="0.25">
      <c r="A264" s="1" t="s">
        <v>298</v>
      </c>
      <c r="B264" s="1" t="s">
        <v>1</v>
      </c>
      <c r="C264" s="1" t="s">
        <v>35</v>
      </c>
      <c r="D264" s="1" t="s">
        <v>32</v>
      </c>
      <c r="E264" s="2">
        <v>39208</v>
      </c>
      <c r="G264" s="3">
        <v>26944</v>
      </c>
      <c r="H264">
        <v>4</v>
      </c>
    </row>
    <row r="265" spans="1:8" x14ac:dyDescent="0.25">
      <c r="A265" s="1" t="s">
        <v>299</v>
      </c>
      <c r="B265" s="1" t="s">
        <v>6</v>
      </c>
      <c r="C265" s="1" t="s">
        <v>8</v>
      </c>
      <c r="D265" s="1" t="s">
        <v>3</v>
      </c>
      <c r="E265" s="2">
        <v>40710</v>
      </c>
      <c r="F265" s="1" t="s">
        <v>11</v>
      </c>
      <c r="G265" s="3">
        <v>32140</v>
      </c>
      <c r="H265">
        <v>2</v>
      </c>
    </row>
    <row r="266" spans="1:8" x14ac:dyDescent="0.25">
      <c r="A266" s="1" t="s">
        <v>300</v>
      </c>
      <c r="B266" s="1" t="s">
        <v>51</v>
      </c>
      <c r="C266" s="1" t="s">
        <v>23</v>
      </c>
      <c r="D266" s="1" t="s">
        <v>16</v>
      </c>
      <c r="E266" s="2">
        <v>39783</v>
      </c>
      <c r="G266" s="3">
        <v>54000</v>
      </c>
      <c r="H266">
        <v>3</v>
      </c>
    </row>
    <row r="267" spans="1:8" x14ac:dyDescent="0.25">
      <c r="A267" s="1" t="s">
        <v>301</v>
      </c>
      <c r="B267" s="1" t="s">
        <v>27</v>
      </c>
      <c r="C267" s="1" t="s">
        <v>23</v>
      </c>
      <c r="D267" s="1" t="s">
        <v>24</v>
      </c>
      <c r="E267" s="2">
        <v>39299</v>
      </c>
      <c r="F267" s="1" t="s">
        <v>9</v>
      </c>
      <c r="G267" s="3">
        <v>47760</v>
      </c>
      <c r="H267">
        <v>3</v>
      </c>
    </row>
    <row r="268" spans="1:8" x14ac:dyDescent="0.25">
      <c r="A268" s="1" t="s">
        <v>302</v>
      </c>
      <c r="B268" s="1" t="s">
        <v>6</v>
      </c>
      <c r="C268" s="1" t="s">
        <v>30</v>
      </c>
      <c r="D268" s="1" t="s">
        <v>16</v>
      </c>
      <c r="E268" s="2">
        <v>39109</v>
      </c>
      <c r="G268" s="3">
        <v>33120</v>
      </c>
      <c r="H268">
        <v>2</v>
      </c>
    </row>
    <row r="269" spans="1:8" x14ac:dyDescent="0.25">
      <c r="A269" s="1" t="s">
        <v>303</v>
      </c>
      <c r="B269" s="1" t="s">
        <v>6</v>
      </c>
      <c r="C269" s="1" t="s">
        <v>2</v>
      </c>
      <c r="D269" s="1" t="s">
        <v>16</v>
      </c>
      <c r="E269" s="2">
        <v>36642</v>
      </c>
      <c r="G269" s="3">
        <v>77760</v>
      </c>
      <c r="H269">
        <v>3</v>
      </c>
    </row>
    <row r="270" spans="1:8" x14ac:dyDescent="0.25">
      <c r="A270" s="1" t="s">
        <v>304</v>
      </c>
      <c r="B270" s="1" t="s">
        <v>6</v>
      </c>
      <c r="C270" s="1" t="s">
        <v>8</v>
      </c>
      <c r="D270" s="1" t="s">
        <v>32</v>
      </c>
      <c r="E270" s="2">
        <v>39893</v>
      </c>
      <c r="G270" s="3">
        <v>15744</v>
      </c>
      <c r="H270">
        <v>3</v>
      </c>
    </row>
    <row r="271" spans="1:8" x14ac:dyDescent="0.25">
      <c r="A271" s="1" t="s">
        <v>305</v>
      </c>
      <c r="B271" s="1" t="s">
        <v>51</v>
      </c>
      <c r="C271" s="1" t="s">
        <v>35</v>
      </c>
      <c r="D271" s="1" t="s">
        <v>16</v>
      </c>
      <c r="E271" s="2">
        <v>40451</v>
      </c>
      <c r="G271" s="3">
        <v>87830</v>
      </c>
      <c r="H271">
        <v>2</v>
      </c>
    </row>
    <row r="272" spans="1:8" x14ac:dyDescent="0.25">
      <c r="A272" s="1" t="s">
        <v>306</v>
      </c>
      <c r="B272" s="1" t="s">
        <v>27</v>
      </c>
      <c r="C272" s="1" t="s">
        <v>59</v>
      </c>
      <c r="D272" s="1" t="s">
        <v>3</v>
      </c>
      <c r="E272" s="2">
        <v>40712</v>
      </c>
      <c r="F272" s="1" t="s">
        <v>4</v>
      </c>
      <c r="G272" s="3">
        <v>22900</v>
      </c>
      <c r="H272">
        <v>1</v>
      </c>
    </row>
    <row r="273" spans="1:8" x14ac:dyDescent="0.25">
      <c r="A273" s="1" t="s">
        <v>307</v>
      </c>
      <c r="B273" s="1" t="s">
        <v>6</v>
      </c>
      <c r="C273" s="1" t="s">
        <v>75</v>
      </c>
      <c r="D273" s="1" t="s">
        <v>3</v>
      </c>
      <c r="E273" s="2">
        <v>40880</v>
      </c>
      <c r="F273" s="1" t="s">
        <v>25</v>
      </c>
      <c r="G273" s="3">
        <v>61400</v>
      </c>
      <c r="H273">
        <v>5</v>
      </c>
    </row>
    <row r="274" spans="1:8" x14ac:dyDescent="0.25">
      <c r="A274" s="1" t="s">
        <v>308</v>
      </c>
      <c r="B274" s="1" t="s">
        <v>6</v>
      </c>
      <c r="C274" s="1" t="s">
        <v>18</v>
      </c>
      <c r="D274" s="1" t="s">
        <v>3</v>
      </c>
      <c r="E274" s="2">
        <v>39264</v>
      </c>
      <c r="F274" s="1" t="s">
        <v>11</v>
      </c>
      <c r="G274" s="3">
        <v>81980</v>
      </c>
      <c r="H274">
        <v>2</v>
      </c>
    </row>
    <row r="275" spans="1:8" x14ac:dyDescent="0.25">
      <c r="A275" s="1" t="s">
        <v>309</v>
      </c>
      <c r="B275" s="1" t="s">
        <v>1</v>
      </c>
      <c r="C275" s="1" t="s">
        <v>23</v>
      </c>
      <c r="D275" s="1" t="s">
        <v>3</v>
      </c>
      <c r="E275" s="2">
        <v>39120</v>
      </c>
      <c r="F275" s="1" t="s">
        <v>4</v>
      </c>
      <c r="G275" s="3">
        <v>88850</v>
      </c>
      <c r="H275">
        <v>3</v>
      </c>
    </row>
    <row r="276" spans="1:8" x14ac:dyDescent="0.25">
      <c r="A276" s="1" t="s">
        <v>310</v>
      </c>
      <c r="B276" s="1" t="s">
        <v>1</v>
      </c>
      <c r="C276" s="1" t="s">
        <v>35</v>
      </c>
      <c r="D276" s="1" t="s">
        <v>24</v>
      </c>
      <c r="E276" s="2">
        <v>40696</v>
      </c>
      <c r="F276" s="1" t="s">
        <v>11</v>
      </c>
      <c r="G276" s="3">
        <v>13455</v>
      </c>
      <c r="H276">
        <v>2</v>
      </c>
    </row>
    <row r="277" spans="1:8" x14ac:dyDescent="0.25">
      <c r="A277" s="1" t="s">
        <v>311</v>
      </c>
      <c r="B277" s="1" t="s">
        <v>29</v>
      </c>
      <c r="C277" s="1" t="s">
        <v>15</v>
      </c>
      <c r="D277" s="1" t="s">
        <v>16</v>
      </c>
      <c r="E277" s="2">
        <v>40292</v>
      </c>
      <c r="G277" s="3">
        <v>61890</v>
      </c>
      <c r="H277">
        <v>2</v>
      </c>
    </row>
    <row r="278" spans="1:8" x14ac:dyDescent="0.25">
      <c r="A278" s="1" t="s">
        <v>312</v>
      </c>
      <c r="B278" s="1" t="s">
        <v>1</v>
      </c>
      <c r="C278" s="1" t="s">
        <v>166</v>
      </c>
      <c r="D278" s="1" t="s">
        <v>16</v>
      </c>
      <c r="E278" s="2">
        <v>38755</v>
      </c>
      <c r="G278" s="3">
        <v>78860</v>
      </c>
      <c r="H278">
        <v>2</v>
      </c>
    </row>
    <row r="279" spans="1:8" x14ac:dyDescent="0.25">
      <c r="A279" s="1" t="s">
        <v>313</v>
      </c>
      <c r="B279" s="1" t="s">
        <v>13</v>
      </c>
      <c r="C279" s="1" t="s">
        <v>75</v>
      </c>
      <c r="D279" s="1" t="s">
        <v>3</v>
      </c>
      <c r="E279" s="2">
        <v>35965</v>
      </c>
      <c r="F279" s="1" t="s">
        <v>21</v>
      </c>
      <c r="G279" s="3">
        <v>34780</v>
      </c>
      <c r="H279">
        <v>4</v>
      </c>
    </row>
    <row r="280" spans="1:8" x14ac:dyDescent="0.25">
      <c r="A280" s="1" t="s">
        <v>314</v>
      </c>
      <c r="B280" s="1" t="s">
        <v>13</v>
      </c>
      <c r="C280" s="1" t="s">
        <v>8</v>
      </c>
      <c r="D280" s="1" t="s">
        <v>16</v>
      </c>
      <c r="E280" s="2">
        <v>39144</v>
      </c>
      <c r="G280" s="3">
        <v>45040</v>
      </c>
      <c r="H280">
        <v>5</v>
      </c>
    </row>
    <row r="281" spans="1:8" x14ac:dyDescent="0.25">
      <c r="A281" s="1" t="s">
        <v>315</v>
      </c>
      <c r="B281" s="1" t="s">
        <v>1</v>
      </c>
      <c r="C281" s="1" t="s">
        <v>75</v>
      </c>
      <c r="D281" s="1" t="s">
        <v>3</v>
      </c>
      <c r="E281" s="2">
        <v>37348</v>
      </c>
      <c r="F281" s="1" t="s">
        <v>25</v>
      </c>
      <c r="G281" s="3">
        <v>85880</v>
      </c>
      <c r="H281">
        <v>3</v>
      </c>
    </row>
    <row r="282" spans="1:8" x14ac:dyDescent="0.25">
      <c r="A282" s="1" t="s">
        <v>316</v>
      </c>
      <c r="B282" s="1" t="s">
        <v>1</v>
      </c>
      <c r="C282" s="1" t="s">
        <v>30</v>
      </c>
      <c r="D282" s="1" t="s">
        <v>3</v>
      </c>
      <c r="E282" s="2">
        <v>38903</v>
      </c>
      <c r="F282" s="1" t="s">
        <v>11</v>
      </c>
      <c r="G282" s="3">
        <v>34060</v>
      </c>
      <c r="H282">
        <v>2</v>
      </c>
    </row>
    <row r="283" spans="1:8" x14ac:dyDescent="0.25">
      <c r="A283" s="1" t="s">
        <v>317</v>
      </c>
      <c r="B283" s="1" t="s">
        <v>1</v>
      </c>
      <c r="C283" s="1" t="s">
        <v>2</v>
      </c>
      <c r="D283" s="1" t="s">
        <v>3</v>
      </c>
      <c r="E283" s="2">
        <v>40581</v>
      </c>
      <c r="F283" s="1" t="s">
        <v>21</v>
      </c>
      <c r="G283" s="3">
        <v>80260</v>
      </c>
      <c r="H283">
        <v>3</v>
      </c>
    </row>
    <row r="284" spans="1:8" x14ac:dyDescent="0.25">
      <c r="A284" s="1" t="s">
        <v>318</v>
      </c>
      <c r="B284" s="1" t="s">
        <v>29</v>
      </c>
      <c r="C284" s="1" t="s">
        <v>2</v>
      </c>
      <c r="D284" s="1" t="s">
        <v>24</v>
      </c>
      <c r="E284" s="2">
        <v>41195</v>
      </c>
      <c r="F284" s="1" t="s">
        <v>11</v>
      </c>
      <c r="G284" s="3">
        <v>25885</v>
      </c>
      <c r="H284">
        <v>5</v>
      </c>
    </row>
    <row r="285" spans="1:8" x14ac:dyDescent="0.25">
      <c r="A285" s="1" t="s">
        <v>319</v>
      </c>
      <c r="B285" s="1" t="s">
        <v>13</v>
      </c>
      <c r="C285" s="1" t="s">
        <v>18</v>
      </c>
      <c r="D285" s="1" t="s">
        <v>3</v>
      </c>
      <c r="E285" s="2">
        <v>38809</v>
      </c>
      <c r="F285" s="1" t="s">
        <v>25</v>
      </c>
      <c r="G285" s="3">
        <v>76584</v>
      </c>
      <c r="H285">
        <v>1</v>
      </c>
    </row>
    <row r="286" spans="1:8" x14ac:dyDescent="0.25">
      <c r="A286" s="1" t="s">
        <v>320</v>
      </c>
      <c r="B286" s="1" t="s">
        <v>29</v>
      </c>
      <c r="C286" s="1" t="s">
        <v>18</v>
      </c>
      <c r="D286" s="1" t="s">
        <v>32</v>
      </c>
      <c r="E286" s="2">
        <v>39747</v>
      </c>
      <c r="G286" s="3">
        <v>10572</v>
      </c>
      <c r="H286">
        <v>4</v>
      </c>
    </row>
    <row r="287" spans="1:8" x14ac:dyDescent="0.25">
      <c r="A287" s="1" t="s">
        <v>321</v>
      </c>
      <c r="B287" s="1" t="s">
        <v>29</v>
      </c>
      <c r="C287" s="1" t="s">
        <v>35</v>
      </c>
      <c r="D287" s="1" t="s">
        <v>3</v>
      </c>
      <c r="E287" s="2">
        <v>39063</v>
      </c>
      <c r="F287" s="1" t="s">
        <v>4</v>
      </c>
      <c r="G287" s="3">
        <v>86320</v>
      </c>
      <c r="H287">
        <v>4</v>
      </c>
    </row>
    <row r="288" spans="1:8" x14ac:dyDescent="0.25">
      <c r="A288" s="1" t="s">
        <v>322</v>
      </c>
      <c r="B288" s="1" t="s">
        <v>13</v>
      </c>
      <c r="C288" s="1" t="s">
        <v>63</v>
      </c>
      <c r="D288" s="1" t="s">
        <v>3</v>
      </c>
      <c r="E288" s="2">
        <v>40893</v>
      </c>
      <c r="F288" s="1" t="s">
        <v>11</v>
      </c>
      <c r="G288" s="3">
        <v>44620</v>
      </c>
      <c r="H288">
        <v>5</v>
      </c>
    </row>
    <row r="289" spans="1:8" x14ac:dyDescent="0.25">
      <c r="A289" s="1" t="s">
        <v>323</v>
      </c>
      <c r="B289" s="1" t="s">
        <v>1</v>
      </c>
      <c r="C289" s="1" t="s">
        <v>35</v>
      </c>
      <c r="D289" s="1" t="s">
        <v>3</v>
      </c>
      <c r="E289" s="2">
        <v>40389</v>
      </c>
      <c r="F289" s="1" t="s">
        <v>4</v>
      </c>
      <c r="G289" s="3">
        <v>58370</v>
      </c>
      <c r="H289">
        <v>5</v>
      </c>
    </row>
    <row r="290" spans="1:8" x14ac:dyDescent="0.25">
      <c r="A290" s="1" t="s">
        <v>324</v>
      </c>
      <c r="B290" s="1" t="s">
        <v>6</v>
      </c>
      <c r="C290" s="1" t="s">
        <v>2</v>
      </c>
      <c r="D290" s="1" t="s">
        <v>3</v>
      </c>
      <c r="E290" s="2">
        <v>40469</v>
      </c>
      <c r="F290" s="1" t="s">
        <v>25</v>
      </c>
      <c r="G290" s="3">
        <v>63030</v>
      </c>
      <c r="H290">
        <v>1</v>
      </c>
    </row>
    <row r="291" spans="1:8" x14ac:dyDescent="0.25">
      <c r="A291" s="1" t="s">
        <v>325</v>
      </c>
      <c r="B291" s="1" t="s">
        <v>6</v>
      </c>
      <c r="C291" s="1" t="s">
        <v>138</v>
      </c>
      <c r="D291" s="1" t="s">
        <v>24</v>
      </c>
      <c r="E291" s="2">
        <v>40516</v>
      </c>
      <c r="F291" s="1" t="s">
        <v>11</v>
      </c>
      <c r="G291" s="3">
        <v>28625</v>
      </c>
      <c r="H291">
        <v>1</v>
      </c>
    </row>
    <row r="292" spans="1:8" x14ac:dyDescent="0.25">
      <c r="A292" s="1" t="s">
        <v>326</v>
      </c>
      <c r="B292" s="1" t="s">
        <v>6</v>
      </c>
      <c r="C292" s="1" t="s">
        <v>30</v>
      </c>
      <c r="D292" s="1" t="s">
        <v>3</v>
      </c>
      <c r="E292" s="2">
        <v>36536</v>
      </c>
      <c r="F292" s="1" t="s">
        <v>4</v>
      </c>
      <c r="G292" s="3">
        <v>62400</v>
      </c>
      <c r="H292">
        <v>4</v>
      </c>
    </row>
    <row r="293" spans="1:8" x14ac:dyDescent="0.25">
      <c r="A293" s="1" t="s">
        <v>327</v>
      </c>
      <c r="B293" s="1" t="s">
        <v>13</v>
      </c>
      <c r="C293" s="1" t="s">
        <v>18</v>
      </c>
      <c r="D293" s="1" t="s">
        <v>24</v>
      </c>
      <c r="E293" s="2">
        <v>37620</v>
      </c>
      <c r="F293" s="1" t="s">
        <v>4</v>
      </c>
      <c r="G293" s="3">
        <v>24460</v>
      </c>
      <c r="H293">
        <v>1</v>
      </c>
    </row>
    <row r="294" spans="1:8" x14ac:dyDescent="0.25">
      <c r="A294" s="1" t="s">
        <v>328</v>
      </c>
      <c r="B294" s="1" t="s">
        <v>29</v>
      </c>
      <c r="C294" s="1" t="s">
        <v>18</v>
      </c>
      <c r="D294" s="1" t="s">
        <v>3</v>
      </c>
      <c r="E294" s="2">
        <v>37936</v>
      </c>
      <c r="F294" s="1" t="s">
        <v>11</v>
      </c>
      <c r="G294" s="3">
        <v>30920</v>
      </c>
      <c r="H294">
        <v>5</v>
      </c>
    </row>
    <row r="295" spans="1:8" x14ac:dyDescent="0.25">
      <c r="A295" s="1" t="s">
        <v>329</v>
      </c>
      <c r="B295" s="1" t="s">
        <v>51</v>
      </c>
      <c r="C295" s="1" t="s">
        <v>35</v>
      </c>
      <c r="D295" s="1" t="s">
        <v>3</v>
      </c>
      <c r="E295" s="2">
        <v>39441</v>
      </c>
      <c r="F295" s="1" t="s">
        <v>25</v>
      </c>
      <c r="G295" s="3">
        <v>68860</v>
      </c>
      <c r="H295">
        <v>2</v>
      </c>
    </row>
    <row r="296" spans="1:8" x14ac:dyDescent="0.25">
      <c r="A296" s="1" t="s">
        <v>330</v>
      </c>
      <c r="B296" s="1" t="s">
        <v>1</v>
      </c>
      <c r="C296" s="1" t="s">
        <v>2</v>
      </c>
      <c r="D296" s="1" t="s">
        <v>3</v>
      </c>
      <c r="E296" s="2">
        <v>35896</v>
      </c>
      <c r="F296" s="1" t="s">
        <v>11</v>
      </c>
      <c r="G296" s="3">
        <v>70280</v>
      </c>
      <c r="H296">
        <v>3</v>
      </c>
    </row>
    <row r="297" spans="1:8" x14ac:dyDescent="0.25">
      <c r="A297" s="1" t="s">
        <v>331</v>
      </c>
      <c r="B297" s="1" t="s">
        <v>1</v>
      </c>
      <c r="C297" s="1" t="s">
        <v>35</v>
      </c>
      <c r="D297" s="1" t="s">
        <v>24</v>
      </c>
      <c r="E297" s="2">
        <v>38753</v>
      </c>
      <c r="F297" s="1" t="s">
        <v>25</v>
      </c>
      <c r="G297" s="3">
        <v>37660</v>
      </c>
      <c r="H297">
        <v>4</v>
      </c>
    </row>
    <row r="298" spans="1:8" x14ac:dyDescent="0.25">
      <c r="A298" s="1" t="s">
        <v>332</v>
      </c>
      <c r="B298" s="1" t="s">
        <v>1</v>
      </c>
      <c r="C298" s="1" t="s">
        <v>30</v>
      </c>
      <c r="D298" s="1" t="s">
        <v>3</v>
      </c>
      <c r="E298" s="2">
        <v>39864</v>
      </c>
      <c r="F298" s="1" t="s">
        <v>4</v>
      </c>
      <c r="G298" s="3">
        <v>64320</v>
      </c>
      <c r="H298">
        <v>5</v>
      </c>
    </row>
    <row r="299" spans="1:8" x14ac:dyDescent="0.25">
      <c r="A299" s="1" t="s">
        <v>333</v>
      </c>
      <c r="B299" s="1" t="s">
        <v>6</v>
      </c>
      <c r="C299" s="1" t="s">
        <v>18</v>
      </c>
      <c r="D299" s="1" t="s">
        <v>3</v>
      </c>
      <c r="E299" s="2">
        <v>40953</v>
      </c>
      <c r="F299" s="1" t="s">
        <v>9</v>
      </c>
      <c r="G299" s="3">
        <v>60380</v>
      </c>
      <c r="H299">
        <v>4</v>
      </c>
    </row>
    <row r="300" spans="1:8" x14ac:dyDescent="0.25">
      <c r="A300" s="1" t="s">
        <v>334</v>
      </c>
      <c r="B300" s="1" t="s">
        <v>1</v>
      </c>
      <c r="C300" s="1" t="s">
        <v>15</v>
      </c>
      <c r="D300" s="1" t="s">
        <v>3</v>
      </c>
      <c r="E300" s="2">
        <v>37936</v>
      </c>
      <c r="F300" s="1" t="s">
        <v>11</v>
      </c>
      <c r="G300" s="3">
        <v>53870</v>
      </c>
      <c r="H300">
        <v>2</v>
      </c>
    </row>
    <row r="301" spans="1:8" x14ac:dyDescent="0.25">
      <c r="A301" s="1" t="s">
        <v>335</v>
      </c>
      <c r="B301" s="1" t="s">
        <v>6</v>
      </c>
      <c r="C301" s="1" t="s">
        <v>30</v>
      </c>
      <c r="D301" s="1" t="s">
        <v>3</v>
      </c>
      <c r="E301" s="2">
        <v>40831</v>
      </c>
      <c r="F301" s="1" t="s">
        <v>21</v>
      </c>
      <c r="G301" s="3">
        <v>79400</v>
      </c>
      <c r="H301">
        <v>4</v>
      </c>
    </row>
    <row r="302" spans="1:8" x14ac:dyDescent="0.25">
      <c r="A302" s="1" t="s">
        <v>336</v>
      </c>
      <c r="B302" s="1" t="s">
        <v>1</v>
      </c>
      <c r="C302" s="1" t="s">
        <v>18</v>
      </c>
      <c r="D302" s="1" t="s">
        <v>16</v>
      </c>
      <c r="E302" s="2">
        <v>40298</v>
      </c>
      <c r="G302" s="3">
        <v>24410</v>
      </c>
      <c r="H302">
        <v>3</v>
      </c>
    </row>
    <row r="303" spans="1:8" x14ac:dyDescent="0.25">
      <c r="A303" s="1" t="s">
        <v>337</v>
      </c>
      <c r="B303" s="1" t="s">
        <v>1</v>
      </c>
      <c r="C303" s="1" t="s">
        <v>23</v>
      </c>
      <c r="D303" s="1" t="s">
        <v>3</v>
      </c>
      <c r="E303" s="2">
        <v>38916</v>
      </c>
      <c r="F303" s="1" t="s">
        <v>25</v>
      </c>
      <c r="G303" s="3">
        <v>27560</v>
      </c>
      <c r="H303">
        <v>2</v>
      </c>
    </row>
    <row r="304" spans="1:8" x14ac:dyDescent="0.25">
      <c r="A304" s="1" t="s">
        <v>338</v>
      </c>
      <c r="B304" s="1" t="s">
        <v>13</v>
      </c>
      <c r="C304" s="1" t="s">
        <v>75</v>
      </c>
      <c r="D304" s="1" t="s">
        <v>3</v>
      </c>
      <c r="E304" s="2">
        <v>41091</v>
      </c>
      <c r="F304" s="1" t="s">
        <v>4</v>
      </c>
      <c r="G304" s="3">
        <v>71150</v>
      </c>
      <c r="H304">
        <v>2</v>
      </c>
    </row>
    <row r="305" spans="1:8" x14ac:dyDescent="0.25">
      <c r="A305" s="1" t="s">
        <v>339</v>
      </c>
      <c r="B305" s="1" t="s">
        <v>51</v>
      </c>
      <c r="C305" s="1" t="s">
        <v>35</v>
      </c>
      <c r="D305" s="1" t="s">
        <v>16</v>
      </c>
      <c r="E305" s="2">
        <v>39534</v>
      </c>
      <c r="G305" s="3">
        <v>32880</v>
      </c>
      <c r="H305">
        <v>3</v>
      </c>
    </row>
    <row r="306" spans="1:8" x14ac:dyDescent="0.25">
      <c r="A306" s="1" t="s">
        <v>340</v>
      </c>
      <c r="B306" s="1" t="s">
        <v>13</v>
      </c>
      <c r="C306" s="1" t="s">
        <v>30</v>
      </c>
      <c r="D306" s="1" t="s">
        <v>24</v>
      </c>
      <c r="E306" s="2">
        <v>40976</v>
      </c>
      <c r="F306" s="1" t="s">
        <v>4</v>
      </c>
      <c r="G306" s="3">
        <v>46380</v>
      </c>
      <c r="H306">
        <v>3</v>
      </c>
    </row>
    <row r="307" spans="1:8" x14ac:dyDescent="0.25">
      <c r="A307" s="1" t="s">
        <v>341</v>
      </c>
      <c r="B307" s="1" t="s">
        <v>6</v>
      </c>
      <c r="C307" s="1" t="s">
        <v>138</v>
      </c>
      <c r="D307" s="1" t="s">
        <v>32</v>
      </c>
      <c r="E307" s="2">
        <v>40313</v>
      </c>
      <c r="G307" s="3">
        <v>27484</v>
      </c>
      <c r="H307">
        <v>4</v>
      </c>
    </row>
    <row r="308" spans="1:8" x14ac:dyDescent="0.25">
      <c r="A308" s="1" t="s">
        <v>342</v>
      </c>
      <c r="B308" s="1" t="s">
        <v>6</v>
      </c>
      <c r="C308" s="1" t="s">
        <v>23</v>
      </c>
      <c r="D308" s="1" t="s">
        <v>32</v>
      </c>
      <c r="E308" s="2">
        <v>40452</v>
      </c>
      <c r="G308" s="3">
        <v>9180</v>
      </c>
      <c r="H308">
        <v>3</v>
      </c>
    </row>
    <row r="309" spans="1:8" x14ac:dyDescent="0.25">
      <c r="A309" s="1" t="s">
        <v>343</v>
      </c>
      <c r="B309" s="1" t="s">
        <v>1</v>
      </c>
      <c r="C309" s="1" t="s">
        <v>18</v>
      </c>
      <c r="D309" s="1" t="s">
        <v>3</v>
      </c>
      <c r="E309" s="2">
        <v>38832</v>
      </c>
      <c r="F309" s="1" t="s">
        <v>9</v>
      </c>
      <c r="G309" s="3">
        <v>29420</v>
      </c>
      <c r="H309">
        <v>5</v>
      </c>
    </row>
    <row r="310" spans="1:8" x14ac:dyDescent="0.25">
      <c r="A310" s="1" t="s">
        <v>344</v>
      </c>
      <c r="B310" s="1" t="s">
        <v>29</v>
      </c>
      <c r="C310" s="1" t="s">
        <v>2</v>
      </c>
      <c r="D310" s="1" t="s">
        <v>32</v>
      </c>
      <c r="E310" s="2">
        <v>39417</v>
      </c>
      <c r="G310" s="3">
        <v>23692</v>
      </c>
      <c r="H310">
        <v>4</v>
      </c>
    </row>
    <row r="311" spans="1:8" x14ac:dyDescent="0.25">
      <c r="A311" s="1" t="s">
        <v>345</v>
      </c>
      <c r="B311" s="1" t="s">
        <v>1</v>
      </c>
      <c r="C311" s="1" t="s">
        <v>23</v>
      </c>
      <c r="D311" s="1" t="s">
        <v>3</v>
      </c>
      <c r="E311" s="2">
        <v>40762</v>
      </c>
      <c r="F311" s="1" t="s">
        <v>21</v>
      </c>
      <c r="G311" s="3">
        <v>61470</v>
      </c>
      <c r="H311">
        <v>5</v>
      </c>
    </row>
    <row r="312" spans="1:8" x14ac:dyDescent="0.25">
      <c r="A312" s="1" t="s">
        <v>346</v>
      </c>
      <c r="B312" s="1" t="s">
        <v>1</v>
      </c>
      <c r="C312" s="1" t="s">
        <v>2</v>
      </c>
      <c r="D312" s="1" t="s">
        <v>16</v>
      </c>
      <c r="E312" s="2">
        <v>36214</v>
      </c>
      <c r="G312" s="3">
        <v>53310</v>
      </c>
      <c r="H312">
        <v>5</v>
      </c>
    </row>
    <row r="313" spans="1:8" x14ac:dyDescent="0.25">
      <c r="A313" s="1" t="s">
        <v>347</v>
      </c>
      <c r="B313" s="1" t="s">
        <v>1</v>
      </c>
      <c r="C313" s="1" t="s">
        <v>59</v>
      </c>
      <c r="D313" s="1" t="s">
        <v>3</v>
      </c>
      <c r="E313" s="2">
        <v>41000</v>
      </c>
      <c r="F313" s="1" t="s">
        <v>25</v>
      </c>
      <c r="G313" s="3">
        <v>60560</v>
      </c>
      <c r="H313">
        <v>4</v>
      </c>
    </row>
    <row r="314" spans="1:8" x14ac:dyDescent="0.25">
      <c r="A314" s="1" t="s">
        <v>348</v>
      </c>
      <c r="B314" s="1" t="s">
        <v>51</v>
      </c>
      <c r="C314" s="1" t="s">
        <v>106</v>
      </c>
      <c r="D314" s="1" t="s">
        <v>32</v>
      </c>
      <c r="E314" s="2">
        <v>40787</v>
      </c>
      <c r="F314" s="1" t="s">
        <v>4</v>
      </c>
      <c r="G314" s="3">
        <v>29070</v>
      </c>
      <c r="H314">
        <v>3</v>
      </c>
    </row>
    <row r="315" spans="1:8" x14ac:dyDescent="0.25">
      <c r="A315" s="1" t="s">
        <v>349</v>
      </c>
      <c r="B315" s="1" t="s">
        <v>1</v>
      </c>
      <c r="C315" s="1" t="s">
        <v>30</v>
      </c>
      <c r="D315" s="1" t="s">
        <v>16</v>
      </c>
      <c r="E315" s="2">
        <v>39772</v>
      </c>
      <c r="G315" s="3">
        <v>85980</v>
      </c>
      <c r="H315">
        <v>2</v>
      </c>
    </row>
    <row r="316" spans="1:8" x14ac:dyDescent="0.25">
      <c r="A316" s="1" t="s">
        <v>350</v>
      </c>
      <c r="B316" s="1" t="s">
        <v>6</v>
      </c>
      <c r="C316" s="1" t="s">
        <v>59</v>
      </c>
      <c r="D316" s="1" t="s">
        <v>24</v>
      </c>
      <c r="E316" s="2">
        <v>40624</v>
      </c>
      <c r="F316" s="1" t="s">
        <v>21</v>
      </c>
      <c r="G316" s="3">
        <v>13090</v>
      </c>
      <c r="H316">
        <v>4</v>
      </c>
    </row>
    <row r="317" spans="1:8" x14ac:dyDescent="0.25">
      <c r="A317" s="1" t="s">
        <v>351</v>
      </c>
      <c r="B317" s="1" t="s">
        <v>1</v>
      </c>
      <c r="C317" s="1" t="s">
        <v>2</v>
      </c>
      <c r="D317" s="1" t="s">
        <v>3</v>
      </c>
      <c r="E317" s="2">
        <v>39797</v>
      </c>
      <c r="F317" s="1" t="s">
        <v>4</v>
      </c>
      <c r="G317" s="3">
        <v>53900</v>
      </c>
      <c r="H317">
        <v>5</v>
      </c>
    </row>
    <row r="318" spans="1:8" x14ac:dyDescent="0.25">
      <c r="A318" s="1" t="s">
        <v>352</v>
      </c>
      <c r="B318" s="1" t="s">
        <v>1</v>
      </c>
      <c r="C318" s="1" t="s">
        <v>75</v>
      </c>
      <c r="D318" s="1" t="s">
        <v>3</v>
      </c>
      <c r="E318" s="2">
        <v>37785</v>
      </c>
      <c r="F318" s="1" t="s">
        <v>11</v>
      </c>
      <c r="G318" s="3">
        <v>87280</v>
      </c>
      <c r="H318">
        <v>4</v>
      </c>
    </row>
    <row r="319" spans="1:8" x14ac:dyDescent="0.25">
      <c r="A319" s="1" t="s">
        <v>353</v>
      </c>
      <c r="B319" s="1" t="s">
        <v>6</v>
      </c>
      <c r="C319" s="1" t="s">
        <v>2</v>
      </c>
      <c r="D319" s="1" t="s">
        <v>3</v>
      </c>
      <c r="E319" s="2">
        <v>40486</v>
      </c>
      <c r="F319" s="1" t="s">
        <v>11</v>
      </c>
      <c r="G319" s="3">
        <v>66440</v>
      </c>
      <c r="H319">
        <v>3</v>
      </c>
    </row>
    <row r="320" spans="1:8" x14ac:dyDescent="0.25">
      <c r="A320" s="1" t="s">
        <v>354</v>
      </c>
      <c r="B320" s="1" t="s">
        <v>1</v>
      </c>
      <c r="C320" s="1" t="s">
        <v>35</v>
      </c>
      <c r="D320" s="1" t="s">
        <v>16</v>
      </c>
      <c r="E320" s="2">
        <v>40867</v>
      </c>
      <c r="G320" s="3">
        <v>57500</v>
      </c>
      <c r="H320">
        <v>1</v>
      </c>
    </row>
    <row r="321" spans="1:8" x14ac:dyDescent="0.25">
      <c r="A321" s="1" t="s">
        <v>355</v>
      </c>
      <c r="B321" s="1" t="s">
        <v>29</v>
      </c>
      <c r="C321" s="1" t="s">
        <v>30</v>
      </c>
      <c r="D321" s="1" t="s">
        <v>24</v>
      </c>
      <c r="E321" s="2">
        <v>38723</v>
      </c>
      <c r="F321" s="1" t="s">
        <v>11</v>
      </c>
      <c r="G321" s="3">
        <v>10630</v>
      </c>
      <c r="H321">
        <v>3</v>
      </c>
    </row>
    <row r="322" spans="1:8" x14ac:dyDescent="0.25">
      <c r="A322" s="1" t="s">
        <v>356</v>
      </c>
      <c r="B322" s="1" t="s">
        <v>6</v>
      </c>
      <c r="C322" s="1" t="s">
        <v>2</v>
      </c>
      <c r="D322" s="1" t="s">
        <v>16</v>
      </c>
      <c r="E322" s="2">
        <v>40350</v>
      </c>
      <c r="G322" s="3">
        <v>21580</v>
      </c>
      <c r="H322">
        <v>3</v>
      </c>
    </row>
    <row r="323" spans="1:8" x14ac:dyDescent="0.25">
      <c r="A323" s="1" t="s">
        <v>357</v>
      </c>
      <c r="B323" s="1" t="s">
        <v>51</v>
      </c>
      <c r="C323" s="1" t="s">
        <v>18</v>
      </c>
      <c r="D323" s="1" t="s">
        <v>16</v>
      </c>
      <c r="E323" s="2">
        <v>38874</v>
      </c>
      <c r="G323" s="3">
        <v>59330</v>
      </c>
      <c r="H323">
        <v>4</v>
      </c>
    </row>
    <row r="324" spans="1:8" x14ac:dyDescent="0.25">
      <c r="A324" s="1" t="s">
        <v>358</v>
      </c>
      <c r="B324" s="1" t="s">
        <v>51</v>
      </c>
      <c r="C324" s="1" t="s">
        <v>18</v>
      </c>
      <c r="D324" s="1" t="s">
        <v>3</v>
      </c>
      <c r="E324" s="2">
        <v>38816</v>
      </c>
      <c r="F324" s="1" t="s">
        <v>21</v>
      </c>
      <c r="G324" s="3">
        <v>44920</v>
      </c>
      <c r="H324">
        <v>1</v>
      </c>
    </row>
    <row r="325" spans="1:8" x14ac:dyDescent="0.25">
      <c r="A325" s="1" t="s">
        <v>359</v>
      </c>
      <c r="B325" s="1" t="s">
        <v>6</v>
      </c>
      <c r="C325" s="1" t="s">
        <v>59</v>
      </c>
      <c r="D325" s="1" t="s">
        <v>3</v>
      </c>
      <c r="E325" s="2">
        <v>40209</v>
      </c>
      <c r="F325" s="1" t="s">
        <v>11</v>
      </c>
      <c r="G325" s="3">
        <v>45260</v>
      </c>
      <c r="H325">
        <v>4</v>
      </c>
    </row>
    <row r="326" spans="1:8" x14ac:dyDescent="0.25">
      <c r="A326" s="1" t="s">
        <v>360</v>
      </c>
      <c r="B326" s="1" t="s">
        <v>6</v>
      </c>
      <c r="C326" s="1" t="s">
        <v>30</v>
      </c>
      <c r="D326" s="1" t="s">
        <v>32</v>
      </c>
      <c r="E326" s="2">
        <v>36380</v>
      </c>
      <c r="G326" s="3">
        <v>36052</v>
      </c>
      <c r="H326">
        <v>5</v>
      </c>
    </row>
    <row r="327" spans="1:8" x14ac:dyDescent="0.25">
      <c r="A327" s="1" t="s">
        <v>361</v>
      </c>
      <c r="B327" s="1" t="s">
        <v>6</v>
      </c>
      <c r="C327" s="1" t="s">
        <v>35</v>
      </c>
      <c r="D327" s="1" t="s">
        <v>24</v>
      </c>
      <c r="E327" s="2">
        <v>39267</v>
      </c>
      <c r="F327" s="1" t="s">
        <v>4</v>
      </c>
      <c r="G327" s="3">
        <v>49545</v>
      </c>
      <c r="H327">
        <v>2</v>
      </c>
    </row>
    <row r="328" spans="1:8" x14ac:dyDescent="0.25">
      <c r="A328" s="1" t="s">
        <v>362</v>
      </c>
      <c r="B328" s="1" t="s">
        <v>13</v>
      </c>
      <c r="C328" s="1" t="s">
        <v>75</v>
      </c>
      <c r="D328" s="1" t="s">
        <v>16</v>
      </c>
      <c r="E328" s="2">
        <v>36470</v>
      </c>
      <c r="G328" s="3">
        <v>23560</v>
      </c>
      <c r="H328">
        <v>3</v>
      </c>
    </row>
    <row r="329" spans="1:8" x14ac:dyDescent="0.25">
      <c r="A329" s="1" t="s">
        <v>363</v>
      </c>
      <c r="B329" s="1" t="s">
        <v>27</v>
      </c>
      <c r="C329" s="1" t="s">
        <v>75</v>
      </c>
      <c r="D329" s="1" t="s">
        <v>3</v>
      </c>
      <c r="E329" s="2">
        <v>40310</v>
      </c>
      <c r="F329" s="1" t="s">
        <v>9</v>
      </c>
      <c r="G329" s="3">
        <v>82120</v>
      </c>
      <c r="H329">
        <v>5</v>
      </c>
    </row>
    <row r="330" spans="1:8" x14ac:dyDescent="0.25">
      <c r="A330" s="1" t="s">
        <v>364</v>
      </c>
      <c r="B330" s="1" t="s">
        <v>1</v>
      </c>
      <c r="C330" s="1" t="s">
        <v>18</v>
      </c>
      <c r="D330" s="1" t="s">
        <v>16</v>
      </c>
      <c r="E330" s="2">
        <v>36718</v>
      </c>
      <c r="G330" s="3">
        <v>89520</v>
      </c>
      <c r="H330">
        <v>5</v>
      </c>
    </row>
    <row r="331" spans="1:8" x14ac:dyDescent="0.25">
      <c r="A331" s="1" t="s">
        <v>365</v>
      </c>
      <c r="B331" s="1" t="s">
        <v>51</v>
      </c>
      <c r="C331" s="1" t="s">
        <v>2</v>
      </c>
      <c r="D331" s="1" t="s">
        <v>3</v>
      </c>
      <c r="E331" s="2">
        <v>40078</v>
      </c>
      <c r="F331" s="1" t="s">
        <v>11</v>
      </c>
      <c r="G331" s="3">
        <v>23190</v>
      </c>
      <c r="H331">
        <v>5</v>
      </c>
    </row>
    <row r="332" spans="1:8" x14ac:dyDescent="0.25">
      <c r="A332" s="1" t="s">
        <v>366</v>
      </c>
      <c r="B332" s="1" t="s">
        <v>13</v>
      </c>
      <c r="C332" s="1" t="s">
        <v>59</v>
      </c>
      <c r="D332" s="1" t="s">
        <v>3</v>
      </c>
      <c r="E332" s="2">
        <v>39157</v>
      </c>
      <c r="F332" s="1" t="s">
        <v>11</v>
      </c>
      <c r="G332" s="3">
        <v>47610</v>
      </c>
      <c r="H332">
        <v>4</v>
      </c>
    </row>
    <row r="333" spans="1:8" x14ac:dyDescent="0.25">
      <c r="A333" s="1" t="s">
        <v>367</v>
      </c>
      <c r="B333" s="1" t="s">
        <v>13</v>
      </c>
      <c r="C333" s="1" t="s">
        <v>18</v>
      </c>
      <c r="D333" s="1" t="s">
        <v>3</v>
      </c>
      <c r="E333" s="2">
        <v>36698</v>
      </c>
      <c r="F333" s="1" t="s">
        <v>21</v>
      </c>
      <c r="G333" s="3">
        <v>23650</v>
      </c>
      <c r="H333">
        <v>1</v>
      </c>
    </row>
    <row r="334" spans="1:8" x14ac:dyDescent="0.25">
      <c r="A334" s="1" t="s">
        <v>368</v>
      </c>
      <c r="B334" s="1" t="s">
        <v>6</v>
      </c>
      <c r="C334" s="1" t="s">
        <v>35</v>
      </c>
      <c r="D334" s="1" t="s">
        <v>3</v>
      </c>
      <c r="E334" s="2">
        <v>40637</v>
      </c>
      <c r="F334" s="1" t="s">
        <v>4</v>
      </c>
      <c r="G334" s="3">
        <v>86640</v>
      </c>
      <c r="H334">
        <v>3</v>
      </c>
    </row>
    <row r="335" spans="1:8" x14ac:dyDescent="0.25">
      <c r="A335" s="1" t="s">
        <v>369</v>
      </c>
      <c r="B335" s="1" t="s">
        <v>13</v>
      </c>
      <c r="C335" s="1" t="s">
        <v>30</v>
      </c>
      <c r="D335" s="1" t="s">
        <v>3</v>
      </c>
      <c r="E335" s="2">
        <v>39372</v>
      </c>
      <c r="F335" s="1" t="s">
        <v>4</v>
      </c>
      <c r="G335" s="3">
        <v>50570</v>
      </c>
      <c r="H335">
        <v>4</v>
      </c>
    </row>
    <row r="336" spans="1:8" x14ac:dyDescent="0.25">
      <c r="A336" s="1" t="s">
        <v>370</v>
      </c>
      <c r="B336" s="1" t="s">
        <v>6</v>
      </c>
      <c r="C336" s="1" t="s">
        <v>18</v>
      </c>
      <c r="D336" s="1" t="s">
        <v>32</v>
      </c>
      <c r="E336" s="2">
        <v>36305</v>
      </c>
      <c r="G336" s="3">
        <v>9424</v>
      </c>
      <c r="H336">
        <v>4</v>
      </c>
    </row>
    <row r="337" spans="1:8" x14ac:dyDescent="0.25">
      <c r="A337" s="1" t="s">
        <v>371</v>
      </c>
      <c r="B337" s="1" t="s">
        <v>29</v>
      </c>
      <c r="C337" s="1" t="s">
        <v>20</v>
      </c>
      <c r="D337" s="1" t="s">
        <v>3</v>
      </c>
      <c r="E337" s="2">
        <v>37612</v>
      </c>
      <c r="F337" s="1" t="s">
        <v>21</v>
      </c>
      <c r="G337" s="3">
        <v>39740</v>
      </c>
      <c r="H337">
        <v>1</v>
      </c>
    </row>
    <row r="338" spans="1:8" x14ac:dyDescent="0.25">
      <c r="A338" s="1" t="s">
        <v>372</v>
      </c>
      <c r="B338" s="1" t="s">
        <v>13</v>
      </c>
      <c r="C338" s="1" t="s">
        <v>59</v>
      </c>
      <c r="D338" s="1" t="s">
        <v>3</v>
      </c>
      <c r="E338" s="2">
        <v>40367</v>
      </c>
      <c r="F338" s="1" t="s">
        <v>4</v>
      </c>
      <c r="G338" s="3">
        <v>48800</v>
      </c>
      <c r="H338">
        <v>4</v>
      </c>
    </row>
    <row r="339" spans="1:8" x14ac:dyDescent="0.25">
      <c r="A339" s="1" t="s">
        <v>373</v>
      </c>
      <c r="B339" s="1" t="s">
        <v>1</v>
      </c>
      <c r="C339" s="1" t="s">
        <v>30</v>
      </c>
      <c r="D339" s="1" t="s">
        <v>3</v>
      </c>
      <c r="E339" s="2">
        <v>35958</v>
      </c>
      <c r="F339" s="1" t="s">
        <v>11</v>
      </c>
      <c r="G339" s="3">
        <v>61420</v>
      </c>
      <c r="H339">
        <v>4</v>
      </c>
    </row>
    <row r="340" spans="1:8" x14ac:dyDescent="0.25">
      <c r="A340" s="1" t="s">
        <v>374</v>
      </c>
      <c r="B340" s="1" t="s">
        <v>6</v>
      </c>
      <c r="C340" s="1" t="s">
        <v>18</v>
      </c>
      <c r="D340" s="1" t="s">
        <v>3</v>
      </c>
      <c r="E340" s="2">
        <v>35996</v>
      </c>
      <c r="F340" s="1" t="s">
        <v>4</v>
      </c>
      <c r="G340" s="3">
        <v>40340</v>
      </c>
      <c r="H340">
        <v>2</v>
      </c>
    </row>
    <row r="341" spans="1:8" x14ac:dyDescent="0.25">
      <c r="A341" s="1" t="s">
        <v>375</v>
      </c>
      <c r="B341" s="1" t="s">
        <v>13</v>
      </c>
      <c r="C341" s="1" t="s">
        <v>75</v>
      </c>
      <c r="D341" s="1" t="s">
        <v>16</v>
      </c>
      <c r="E341" s="2">
        <v>38970</v>
      </c>
      <c r="G341" s="3">
        <v>83070</v>
      </c>
      <c r="H341">
        <v>3</v>
      </c>
    </row>
    <row r="342" spans="1:8" x14ac:dyDescent="0.25">
      <c r="A342" s="1" t="s">
        <v>376</v>
      </c>
      <c r="B342" s="1" t="s">
        <v>27</v>
      </c>
      <c r="C342" s="1" t="s">
        <v>30</v>
      </c>
      <c r="D342" s="1" t="s">
        <v>3</v>
      </c>
      <c r="E342" s="2">
        <v>35918</v>
      </c>
      <c r="F342" s="1" t="s">
        <v>25</v>
      </c>
      <c r="G342" s="3">
        <v>73740</v>
      </c>
      <c r="H342">
        <v>4</v>
      </c>
    </row>
    <row r="343" spans="1:8" x14ac:dyDescent="0.25">
      <c r="A343" s="1" t="s">
        <v>377</v>
      </c>
      <c r="B343" s="1" t="s">
        <v>6</v>
      </c>
      <c r="C343" s="1" t="s">
        <v>30</v>
      </c>
      <c r="D343" s="1" t="s">
        <v>3</v>
      </c>
      <c r="E343" s="2">
        <v>40137</v>
      </c>
      <c r="F343" s="1" t="s">
        <v>4</v>
      </c>
      <c r="G343" s="3">
        <v>54190</v>
      </c>
      <c r="H343">
        <v>4</v>
      </c>
    </row>
    <row r="344" spans="1:8" x14ac:dyDescent="0.25">
      <c r="A344" s="1" t="s">
        <v>378</v>
      </c>
      <c r="B344" s="1" t="s">
        <v>1</v>
      </c>
      <c r="C344" s="1" t="s">
        <v>30</v>
      </c>
      <c r="D344" s="1" t="s">
        <v>3</v>
      </c>
      <c r="E344" s="2">
        <v>37568</v>
      </c>
      <c r="F344" s="1" t="s">
        <v>25</v>
      </c>
      <c r="G344" s="3">
        <v>45100</v>
      </c>
      <c r="H344">
        <v>2</v>
      </c>
    </row>
    <row r="345" spans="1:8" x14ac:dyDescent="0.25">
      <c r="A345" s="1" t="s">
        <v>379</v>
      </c>
      <c r="B345" s="1" t="s">
        <v>13</v>
      </c>
      <c r="C345" s="1" t="s">
        <v>59</v>
      </c>
      <c r="D345" s="1" t="s">
        <v>24</v>
      </c>
      <c r="E345" s="2">
        <v>36121</v>
      </c>
      <c r="F345" s="1" t="s">
        <v>11</v>
      </c>
      <c r="G345" s="3">
        <v>28880</v>
      </c>
      <c r="H345">
        <v>3</v>
      </c>
    </row>
    <row r="346" spans="1:8" x14ac:dyDescent="0.25">
      <c r="A346" s="1" t="s">
        <v>380</v>
      </c>
      <c r="B346" s="1" t="s">
        <v>29</v>
      </c>
      <c r="C346" s="1" t="s">
        <v>35</v>
      </c>
      <c r="D346" s="1" t="s">
        <v>16</v>
      </c>
      <c r="E346" s="2">
        <v>37141</v>
      </c>
      <c r="G346" s="3">
        <v>25530</v>
      </c>
      <c r="H346">
        <v>3</v>
      </c>
    </row>
    <row r="347" spans="1:8" x14ac:dyDescent="0.25">
      <c r="A347" s="1" t="s">
        <v>381</v>
      </c>
      <c r="B347" s="1" t="s">
        <v>29</v>
      </c>
      <c r="C347" s="1" t="s">
        <v>59</v>
      </c>
      <c r="D347" s="1" t="s">
        <v>3</v>
      </c>
      <c r="E347" s="2">
        <v>40083</v>
      </c>
      <c r="F347" s="1" t="s">
        <v>11</v>
      </c>
      <c r="G347" s="3">
        <v>44150</v>
      </c>
      <c r="H347">
        <v>4</v>
      </c>
    </row>
    <row r="348" spans="1:8" x14ac:dyDescent="0.25">
      <c r="A348" s="1" t="s">
        <v>382</v>
      </c>
      <c r="B348" s="1" t="s">
        <v>51</v>
      </c>
      <c r="C348" s="1" t="s">
        <v>2</v>
      </c>
      <c r="D348" s="1" t="s">
        <v>3</v>
      </c>
      <c r="E348" s="2">
        <v>39448</v>
      </c>
      <c r="F348" s="1" t="s">
        <v>11</v>
      </c>
      <c r="G348" s="3">
        <v>83710</v>
      </c>
      <c r="H348">
        <v>3</v>
      </c>
    </row>
    <row r="349" spans="1:8" x14ac:dyDescent="0.25">
      <c r="A349" s="1" t="s">
        <v>383</v>
      </c>
      <c r="B349" s="1" t="s">
        <v>13</v>
      </c>
      <c r="C349" s="1" t="s">
        <v>59</v>
      </c>
      <c r="D349" s="1" t="s">
        <v>24</v>
      </c>
      <c r="E349" s="2">
        <v>37138</v>
      </c>
      <c r="F349" s="1" t="s">
        <v>25</v>
      </c>
      <c r="G349" s="3">
        <v>31110</v>
      </c>
      <c r="H349">
        <v>1</v>
      </c>
    </row>
    <row r="350" spans="1:8" x14ac:dyDescent="0.25">
      <c r="A350" s="1" t="s">
        <v>384</v>
      </c>
      <c r="B350" s="1" t="s">
        <v>27</v>
      </c>
      <c r="C350" s="1" t="s">
        <v>59</v>
      </c>
      <c r="D350" s="1" t="s">
        <v>3</v>
      </c>
      <c r="E350" s="2">
        <v>36392</v>
      </c>
      <c r="F350" s="1" t="s">
        <v>11</v>
      </c>
      <c r="G350" s="3">
        <v>51410</v>
      </c>
      <c r="H350">
        <v>4</v>
      </c>
    </row>
    <row r="351" spans="1:8" x14ac:dyDescent="0.25">
      <c r="A351" s="1" t="s">
        <v>385</v>
      </c>
      <c r="B351" s="1" t="s">
        <v>1</v>
      </c>
      <c r="C351" s="1" t="s">
        <v>8</v>
      </c>
      <c r="D351" s="1" t="s">
        <v>16</v>
      </c>
      <c r="E351" s="2">
        <v>40729</v>
      </c>
      <c r="G351" s="3">
        <v>22320</v>
      </c>
      <c r="H351">
        <v>2</v>
      </c>
    </row>
    <row r="352" spans="1:8" x14ac:dyDescent="0.25">
      <c r="A352" s="1" t="s">
        <v>386</v>
      </c>
      <c r="B352" s="1" t="s">
        <v>51</v>
      </c>
      <c r="C352" s="1" t="s">
        <v>18</v>
      </c>
      <c r="D352" s="1" t="s">
        <v>32</v>
      </c>
      <c r="E352" s="2">
        <v>41056</v>
      </c>
      <c r="G352" s="3">
        <v>22344</v>
      </c>
      <c r="H352">
        <v>4</v>
      </c>
    </row>
    <row r="353" spans="1:8" x14ac:dyDescent="0.25">
      <c r="A353" s="1" t="s">
        <v>387</v>
      </c>
      <c r="B353" s="1" t="s">
        <v>1</v>
      </c>
      <c r="C353" s="1" t="s">
        <v>166</v>
      </c>
      <c r="D353" s="1" t="s">
        <v>3</v>
      </c>
      <c r="E353" s="2">
        <v>37883</v>
      </c>
      <c r="F353" s="1" t="s">
        <v>4</v>
      </c>
      <c r="G353" s="3">
        <v>86530</v>
      </c>
      <c r="H353">
        <v>1</v>
      </c>
    </row>
    <row r="354" spans="1:8" x14ac:dyDescent="0.25">
      <c r="A354" s="1" t="s">
        <v>388</v>
      </c>
      <c r="B354" s="1" t="s">
        <v>29</v>
      </c>
      <c r="C354" s="1" t="s">
        <v>35</v>
      </c>
      <c r="D354" s="1" t="s">
        <v>16</v>
      </c>
      <c r="E354" s="2">
        <v>37065</v>
      </c>
      <c r="G354" s="3">
        <v>77136</v>
      </c>
      <c r="H354">
        <v>5</v>
      </c>
    </row>
    <row r="355" spans="1:8" x14ac:dyDescent="0.25">
      <c r="A355" s="1" t="s">
        <v>389</v>
      </c>
      <c r="B355" s="1" t="s">
        <v>1</v>
      </c>
      <c r="C355" s="1" t="s">
        <v>35</v>
      </c>
      <c r="D355" s="1" t="s">
        <v>16</v>
      </c>
      <c r="E355" s="2">
        <v>40563</v>
      </c>
      <c r="G355" s="3">
        <v>55510</v>
      </c>
      <c r="H355">
        <v>3</v>
      </c>
    </row>
    <row r="356" spans="1:8" x14ac:dyDescent="0.25">
      <c r="A356" s="1" t="s">
        <v>390</v>
      </c>
      <c r="B356" s="1" t="s">
        <v>6</v>
      </c>
      <c r="C356" s="1" t="s">
        <v>35</v>
      </c>
      <c r="D356" s="1" t="s">
        <v>16</v>
      </c>
      <c r="E356" s="2">
        <v>39106</v>
      </c>
      <c r="G356" s="3">
        <v>64263</v>
      </c>
      <c r="H356">
        <v>3</v>
      </c>
    </row>
    <row r="357" spans="1:8" x14ac:dyDescent="0.25">
      <c r="A357" s="1" t="s">
        <v>391</v>
      </c>
      <c r="B357" s="1" t="s">
        <v>51</v>
      </c>
      <c r="C357" s="1" t="s">
        <v>37</v>
      </c>
      <c r="D357" s="1" t="s">
        <v>3</v>
      </c>
      <c r="E357" s="2">
        <v>36567</v>
      </c>
      <c r="F357" s="1" t="s">
        <v>9</v>
      </c>
      <c r="G357" s="3">
        <v>45450</v>
      </c>
      <c r="H357">
        <v>5</v>
      </c>
    </row>
    <row r="358" spans="1:8" x14ac:dyDescent="0.25">
      <c r="A358" s="1" t="s">
        <v>392</v>
      </c>
      <c r="B358" s="1" t="s">
        <v>29</v>
      </c>
      <c r="C358" s="1" t="s">
        <v>18</v>
      </c>
      <c r="D358" s="1" t="s">
        <v>3</v>
      </c>
      <c r="E358" s="2">
        <v>39312</v>
      </c>
      <c r="F358" s="1" t="s">
        <v>25</v>
      </c>
      <c r="G358" s="3">
        <v>71030</v>
      </c>
      <c r="H358">
        <v>3</v>
      </c>
    </row>
    <row r="359" spans="1:8" x14ac:dyDescent="0.25">
      <c r="A359" s="1" t="s">
        <v>393</v>
      </c>
      <c r="B359" s="1" t="s">
        <v>6</v>
      </c>
      <c r="C359" s="1" t="s">
        <v>35</v>
      </c>
      <c r="D359" s="1" t="s">
        <v>16</v>
      </c>
      <c r="E359" s="2">
        <v>37099</v>
      </c>
      <c r="G359" s="3">
        <v>28270</v>
      </c>
      <c r="H359">
        <v>5</v>
      </c>
    </row>
    <row r="360" spans="1:8" x14ac:dyDescent="0.25">
      <c r="A360" s="1" t="s">
        <v>394</v>
      </c>
      <c r="B360" s="1" t="s">
        <v>1</v>
      </c>
      <c r="C360" s="1" t="s">
        <v>75</v>
      </c>
      <c r="D360" s="1" t="s">
        <v>16</v>
      </c>
      <c r="E360" s="2">
        <v>38856</v>
      </c>
      <c r="G360" s="3">
        <v>84200</v>
      </c>
      <c r="H360">
        <v>2</v>
      </c>
    </row>
    <row r="361" spans="1:8" x14ac:dyDescent="0.25">
      <c r="A361" s="1" t="s">
        <v>395</v>
      </c>
      <c r="B361" s="1" t="s">
        <v>1</v>
      </c>
      <c r="C361" s="1" t="s">
        <v>166</v>
      </c>
      <c r="D361" s="1" t="s">
        <v>3</v>
      </c>
      <c r="E361" s="2">
        <v>39923</v>
      </c>
      <c r="F361" s="1" t="s">
        <v>4</v>
      </c>
      <c r="G361" s="3">
        <v>76440</v>
      </c>
      <c r="H361">
        <v>3</v>
      </c>
    </row>
    <row r="362" spans="1:8" x14ac:dyDescent="0.25">
      <c r="A362" s="1" t="s">
        <v>396</v>
      </c>
      <c r="B362" s="1" t="s">
        <v>29</v>
      </c>
      <c r="C362" s="1" t="s">
        <v>138</v>
      </c>
      <c r="D362" s="1" t="s">
        <v>3</v>
      </c>
      <c r="E362" s="2">
        <v>38801</v>
      </c>
      <c r="F362" s="1" t="s">
        <v>21</v>
      </c>
      <c r="G362" s="3">
        <v>26510</v>
      </c>
      <c r="H362">
        <v>1</v>
      </c>
    </row>
    <row r="363" spans="1:8" x14ac:dyDescent="0.25">
      <c r="A363" s="1" t="s">
        <v>397</v>
      </c>
      <c r="B363" s="1" t="s">
        <v>13</v>
      </c>
      <c r="C363" s="1" t="s">
        <v>2</v>
      </c>
      <c r="D363" s="1" t="s">
        <v>32</v>
      </c>
      <c r="E363" s="2">
        <v>40561</v>
      </c>
      <c r="G363" s="3">
        <v>30468</v>
      </c>
      <c r="H363">
        <v>2</v>
      </c>
    </row>
    <row r="364" spans="1:8" x14ac:dyDescent="0.25">
      <c r="A364" s="1" t="s">
        <v>398</v>
      </c>
      <c r="B364" s="1" t="s">
        <v>51</v>
      </c>
      <c r="C364" s="1" t="s">
        <v>30</v>
      </c>
      <c r="D364" s="1" t="s">
        <v>24</v>
      </c>
      <c r="E364" s="2">
        <v>36217</v>
      </c>
      <c r="F364" s="1" t="s">
        <v>11</v>
      </c>
      <c r="G364" s="3">
        <v>22475</v>
      </c>
      <c r="H364">
        <v>4</v>
      </c>
    </row>
    <row r="365" spans="1:8" x14ac:dyDescent="0.25">
      <c r="A365" s="1" t="s">
        <v>399</v>
      </c>
      <c r="B365" s="1" t="s">
        <v>6</v>
      </c>
      <c r="C365" s="1" t="s">
        <v>2</v>
      </c>
      <c r="D365" s="1" t="s">
        <v>24</v>
      </c>
      <c r="E365" s="2">
        <v>36531</v>
      </c>
      <c r="F365" s="1" t="s">
        <v>21</v>
      </c>
      <c r="G365" s="3">
        <v>20990</v>
      </c>
      <c r="H365">
        <v>4</v>
      </c>
    </row>
    <row r="366" spans="1:8" x14ac:dyDescent="0.25">
      <c r="A366" s="1" t="s">
        <v>400</v>
      </c>
      <c r="B366" s="1" t="s">
        <v>6</v>
      </c>
      <c r="C366" s="1" t="s">
        <v>35</v>
      </c>
      <c r="D366" s="1" t="s">
        <v>3</v>
      </c>
      <c r="E366" s="2">
        <v>39784</v>
      </c>
      <c r="F366" s="1" t="s">
        <v>4</v>
      </c>
      <c r="G366" s="3">
        <v>69510</v>
      </c>
      <c r="H366">
        <v>5</v>
      </c>
    </row>
    <row r="367" spans="1:8" x14ac:dyDescent="0.25">
      <c r="A367" s="1" t="s">
        <v>401</v>
      </c>
      <c r="B367" s="1" t="s">
        <v>13</v>
      </c>
      <c r="C367" s="1" t="s">
        <v>57</v>
      </c>
      <c r="D367" s="1" t="s">
        <v>16</v>
      </c>
      <c r="E367" s="2">
        <v>38738</v>
      </c>
      <c r="G367" s="3">
        <v>25120</v>
      </c>
      <c r="H367">
        <v>2</v>
      </c>
    </row>
    <row r="368" spans="1:8" x14ac:dyDescent="0.25">
      <c r="A368" s="1" t="s">
        <v>402</v>
      </c>
      <c r="B368" s="1" t="s">
        <v>1</v>
      </c>
      <c r="C368" s="1" t="s">
        <v>59</v>
      </c>
      <c r="D368" s="1" t="s">
        <v>3</v>
      </c>
      <c r="E368" s="2">
        <v>40911</v>
      </c>
      <c r="F368" s="1" t="s">
        <v>25</v>
      </c>
      <c r="G368" s="3">
        <v>87120</v>
      </c>
      <c r="H368">
        <v>3</v>
      </c>
    </row>
    <row r="369" spans="1:8" x14ac:dyDescent="0.25">
      <c r="A369" s="1" t="s">
        <v>403</v>
      </c>
      <c r="B369" s="1" t="s">
        <v>29</v>
      </c>
      <c r="C369" s="1" t="s">
        <v>59</v>
      </c>
      <c r="D369" s="1" t="s">
        <v>16</v>
      </c>
      <c r="E369" s="2">
        <v>39167</v>
      </c>
      <c r="G369" s="3">
        <v>29000</v>
      </c>
      <c r="H369">
        <v>5</v>
      </c>
    </row>
    <row r="370" spans="1:8" x14ac:dyDescent="0.25">
      <c r="A370" s="1" t="s">
        <v>404</v>
      </c>
      <c r="B370" s="1" t="s">
        <v>13</v>
      </c>
      <c r="C370" s="1" t="s">
        <v>35</v>
      </c>
      <c r="D370" s="1" t="s">
        <v>24</v>
      </c>
      <c r="E370" s="2">
        <v>38805</v>
      </c>
      <c r="F370" s="1" t="s">
        <v>25</v>
      </c>
      <c r="G370" s="3">
        <v>13690</v>
      </c>
      <c r="H370">
        <v>5</v>
      </c>
    </row>
    <row r="371" spans="1:8" x14ac:dyDescent="0.25">
      <c r="A371" s="1" t="s">
        <v>405</v>
      </c>
      <c r="B371" s="1" t="s">
        <v>6</v>
      </c>
      <c r="C371" s="1" t="s">
        <v>63</v>
      </c>
      <c r="D371" s="1" t="s">
        <v>3</v>
      </c>
      <c r="E371" s="2">
        <v>40625</v>
      </c>
      <c r="F371" s="1" t="s">
        <v>9</v>
      </c>
      <c r="G371" s="3">
        <v>35320</v>
      </c>
      <c r="H371">
        <v>3</v>
      </c>
    </row>
    <row r="372" spans="1:8" x14ac:dyDescent="0.25">
      <c r="A372" s="1" t="s">
        <v>406</v>
      </c>
      <c r="B372" s="1" t="s">
        <v>13</v>
      </c>
      <c r="C372" s="1" t="s">
        <v>59</v>
      </c>
      <c r="D372" s="1" t="s">
        <v>24</v>
      </c>
      <c r="E372" s="2">
        <v>39871</v>
      </c>
      <c r="F372" s="1" t="s">
        <v>21</v>
      </c>
      <c r="G372" s="3">
        <v>38575</v>
      </c>
      <c r="H372">
        <v>2</v>
      </c>
    </row>
    <row r="373" spans="1:8" x14ac:dyDescent="0.25">
      <c r="A373" s="1" t="s">
        <v>407</v>
      </c>
      <c r="B373" s="1" t="s">
        <v>1</v>
      </c>
      <c r="C373" s="1" t="s">
        <v>138</v>
      </c>
      <c r="D373" s="1" t="s">
        <v>3</v>
      </c>
      <c r="E373" s="2">
        <v>39147</v>
      </c>
      <c r="F373" s="1" t="s">
        <v>11</v>
      </c>
      <c r="G373" s="3">
        <v>43680</v>
      </c>
      <c r="H373">
        <v>5</v>
      </c>
    </row>
    <row r="374" spans="1:8" x14ac:dyDescent="0.25">
      <c r="A374" s="1" t="s">
        <v>408</v>
      </c>
      <c r="B374" s="1" t="s">
        <v>6</v>
      </c>
      <c r="C374" s="1" t="s">
        <v>2</v>
      </c>
      <c r="D374" s="1" t="s">
        <v>16</v>
      </c>
      <c r="E374" s="2">
        <v>40726</v>
      </c>
      <c r="G374" s="3">
        <v>46650</v>
      </c>
      <c r="H374">
        <v>2</v>
      </c>
    </row>
    <row r="375" spans="1:8" x14ac:dyDescent="0.25">
      <c r="A375" s="1" t="s">
        <v>409</v>
      </c>
      <c r="B375" s="1" t="s">
        <v>6</v>
      </c>
      <c r="C375" s="1" t="s">
        <v>35</v>
      </c>
      <c r="D375" s="1" t="s">
        <v>3</v>
      </c>
      <c r="E375" s="2">
        <v>40584</v>
      </c>
      <c r="F375" s="1" t="s">
        <v>4</v>
      </c>
      <c r="G375" s="3">
        <v>24200</v>
      </c>
      <c r="H375">
        <v>5</v>
      </c>
    </row>
    <row r="376" spans="1:8" x14ac:dyDescent="0.25">
      <c r="A376" s="1" t="s">
        <v>410</v>
      </c>
      <c r="B376" s="1" t="s">
        <v>13</v>
      </c>
      <c r="C376" s="1" t="s">
        <v>8</v>
      </c>
      <c r="D376" s="1" t="s">
        <v>24</v>
      </c>
      <c r="E376" s="2">
        <v>41014</v>
      </c>
      <c r="F376" s="1" t="s">
        <v>4</v>
      </c>
      <c r="G376" s="3">
        <v>34110</v>
      </c>
      <c r="H376">
        <v>4</v>
      </c>
    </row>
    <row r="377" spans="1:8" x14ac:dyDescent="0.25">
      <c r="A377" s="1" t="s">
        <v>411</v>
      </c>
      <c r="B377" s="1" t="s">
        <v>29</v>
      </c>
      <c r="C377" s="1" t="s">
        <v>35</v>
      </c>
      <c r="D377" s="1" t="s">
        <v>32</v>
      </c>
      <c r="E377" s="2">
        <v>36458</v>
      </c>
      <c r="G377" s="3">
        <v>32536</v>
      </c>
      <c r="H377">
        <v>2</v>
      </c>
    </row>
    <row r="378" spans="1:8" x14ac:dyDescent="0.25">
      <c r="A378" s="1" t="s">
        <v>412</v>
      </c>
      <c r="B378" s="1" t="s">
        <v>1</v>
      </c>
      <c r="C378" s="1" t="s">
        <v>18</v>
      </c>
      <c r="D378" s="1" t="s">
        <v>16</v>
      </c>
      <c r="E378" s="2">
        <v>36977</v>
      </c>
      <c r="G378" s="3">
        <v>68510</v>
      </c>
      <c r="H378">
        <v>5</v>
      </c>
    </row>
    <row r="379" spans="1:8" x14ac:dyDescent="0.25">
      <c r="A379" s="1" t="s">
        <v>413</v>
      </c>
      <c r="B379" s="1" t="s">
        <v>6</v>
      </c>
      <c r="C379" s="1" t="s">
        <v>75</v>
      </c>
      <c r="D379" s="1" t="s">
        <v>16</v>
      </c>
      <c r="E379" s="2">
        <v>35902</v>
      </c>
      <c r="G379" s="3">
        <v>63340</v>
      </c>
      <c r="H379">
        <v>3</v>
      </c>
    </row>
    <row r="380" spans="1:8" x14ac:dyDescent="0.25">
      <c r="A380" s="1" t="s">
        <v>414</v>
      </c>
      <c r="B380" s="1" t="s">
        <v>6</v>
      </c>
      <c r="C380" s="1" t="s">
        <v>30</v>
      </c>
      <c r="D380" s="1" t="s">
        <v>3</v>
      </c>
      <c r="E380" s="2">
        <v>39282</v>
      </c>
      <c r="F380" s="1" t="s">
        <v>21</v>
      </c>
      <c r="G380" s="3">
        <v>69420</v>
      </c>
      <c r="H380">
        <v>2</v>
      </c>
    </row>
    <row r="381" spans="1:8" x14ac:dyDescent="0.25">
      <c r="A381" s="1" t="s">
        <v>415</v>
      </c>
      <c r="B381" s="1" t="s">
        <v>1</v>
      </c>
      <c r="C381" s="1" t="s">
        <v>59</v>
      </c>
      <c r="D381" s="1" t="s">
        <v>32</v>
      </c>
      <c r="E381" s="2">
        <v>40610</v>
      </c>
      <c r="G381" s="3">
        <v>36844</v>
      </c>
      <c r="H381">
        <v>4</v>
      </c>
    </row>
    <row r="382" spans="1:8" x14ac:dyDescent="0.25">
      <c r="A382" s="1" t="s">
        <v>416</v>
      </c>
      <c r="B382" s="1" t="s">
        <v>13</v>
      </c>
      <c r="C382" s="1" t="s">
        <v>46</v>
      </c>
      <c r="D382" s="1" t="s">
        <v>3</v>
      </c>
      <c r="E382" s="2">
        <v>37073</v>
      </c>
      <c r="F382" s="1" t="s">
        <v>9</v>
      </c>
      <c r="G382" s="3">
        <v>40680</v>
      </c>
      <c r="H382">
        <v>5</v>
      </c>
    </row>
    <row r="383" spans="1:8" x14ac:dyDescent="0.25">
      <c r="A383" s="1" t="s">
        <v>417</v>
      </c>
      <c r="B383" s="1" t="s">
        <v>13</v>
      </c>
      <c r="C383" s="1" t="s">
        <v>8</v>
      </c>
      <c r="D383" s="1" t="s">
        <v>3</v>
      </c>
      <c r="E383" s="2">
        <v>36643</v>
      </c>
      <c r="F383" s="1" t="s">
        <v>11</v>
      </c>
      <c r="G383" s="3">
        <v>71380</v>
      </c>
      <c r="H383">
        <v>2</v>
      </c>
    </row>
    <row r="384" spans="1:8" x14ac:dyDescent="0.25">
      <c r="A384" s="1" t="s">
        <v>418</v>
      </c>
      <c r="B384" s="1" t="s">
        <v>6</v>
      </c>
      <c r="C384" s="1" t="s">
        <v>37</v>
      </c>
      <c r="D384" s="1" t="s">
        <v>3</v>
      </c>
      <c r="E384" s="2">
        <v>36175</v>
      </c>
      <c r="F384" s="1" t="s">
        <v>11</v>
      </c>
      <c r="G384" s="3">
        <v>23520</v>
      </c>
      <c r="H384">
        <v>2</v>
      </c>
    </row>
    <row r="385" spans="1:8" x14ac:dyDescent="0.25">
      <c r="A385" s="1" t="s">
        <v>419</v>
      </c>
      <c r="B385" s="1" t="s">
        <v>1</v>
      </c>
      <c r="C385" s="1" t="s">
        <v>35</v>
      </c>
      <c r="D385" s="1" t="s">
        <v>3</v>
      </c>
      <c r="E385" s="2">
        <v>40986</v>
      </c>
      <c r="F385" s="1" t="s">
        <v>25</v>
      </c>
      <c r="G385" s="3">
        <v>46550</v>
      </c>
      <c r="H385">
        <v>4</v>
      </c>
    </row>
    <row r="386" spans="1:8" x14ac:dyDescent="0.25">
      <c r="A386" s="1" t="s">
        <v>420</v>
      </c>
      <c r="B386" s="1" t="s">
        <v>1</v>
      </c>
      <c r="C386" s="1" t="s">
        <v>35</v>
      </c>
      <c r="D386" s="1" t="s">
        <v>16</v>
      </c>
      <c r="E386" s="2">
        <v>40523</v>
      </c>
      <c r="G386" s="3">
        <v>46570</v>
      </c>
      <c r="H386">
        <v>4</v>
      </c>
    </row>
    <row r="387" spans="1:8" x14ac:dyDescent="0.25">
      <c r="A387" s="1" t="s">
        <v>421</v>
      </c>
      <c r="B387" s="1" t="s">
        <v>13</v>
      </c>
      <c r="C387" s="1" t="s">
        <v>35</v>
      </c>
      <c r="D387" s="1" t="s">
        <v>3</v>
      </c>
      <c r="E387" s="2">
        <v>38347</v>
      </c>
      <c r="F387" s="1" t="s">
        <v>11</v>
      </c>
      <c r="G387" s="3">
        <v>81340</v>
      </c>
      <c r="H387">
        <v>2</v>
      </c>
    </row>
    <row r="388" spans="1:8" x14ac:dyDescent="0.25">
      <c r="A388" s="1" t="s">
        <v>422</v>
      </c>
      <c r="B388" s="1" t="s">
        <v>1</v>
      </c>
      <c r="C388" s="1" t="s">
        <v>30</v>
      </c>
      <c r="D388" s="1" t="s">
        <v>32</v>
      </c>
      <c r="E388" s="2">
        <v>36340</v>
      </c>
      <c r="G388" s="3">
        <v>37016</v>
      </c>
      <c r="H388">
        <v>4</v>
      </c>
    </row>
    <row r="389" spans="1:8" x14ac:dyDescent="0.25">
      <c r="A389" s="1" t="s">
        <v>423</v>
      </c>
      <c r="B389" s="1" t="s">
        <v>6</v>
      </c>
      <c r="C389" s="1" t="s">
        <v>18</v>
      </c>
      <c r="D389" s="1" t="s">
        <v>3</v>
      </c>
      <c r="E389" s="2">
        <v>37436</v>
      </c>
      <c r="F389" s="1" t="s">
        <v>21</v>
      </c>
      <c r="G389" s="3">
        <v>64130</v>
      </c>
      <c r="H389">
        <v>1</v>
      </c>
    </row>
    <row r="390" spans="1:8" x14ac:dyDescent="0.25">
      <c r="A390" s="1" t="s">
        <v>424</v>
      </c>
      <c r="B390" s="1" t="s">
        <v>27</v>
      </c>
      <c r="C390" s="1" t="s">
        <v>37</v>
      </c>
      <c r="D390" s="1" t="s">
        <v>16</v>
      </c>
      <c r="E390" s="2">
        <v>40333</v>
      </c>
      <c r="G390" s="3">
        <v>74020</v>
      </c>
      <c r="H390">
        <v>2</v>
      </c>
    </row>
    <row r="391" spans="1:8" x14ac:dyDescent="0.25">
      <c r="A391" s="1" t="s">
        <v>425</v>
      </c>
      <c r="B391" s="1" t="s">
        <v>1</v>
      </c>
      <c r="C391" s="1" t="s">
        <v>20</v>
      </c>
      <c r="D391" s="1" t="s">
        <v>3</v>
      </c>
      <c r="E391" s="2">
        <v>41128</v>
      </c>
      <c r="F391" s="1" t="s">
        <v>11</v>
      </c>
      <c r="G391" s="3">
        <v>82760</v>
      </c>
      <c r="H391">
        <v>4</v>
      </c>
    </row>
    <row r="392" spans="1:8" x14ac:dyDescent="0.25">
      <c r="A392" s="1" t="s">
        <v>426</v>
      </c>
      <c r="B392" s="1" t="s">
        <v>6</v>
      </c>
      <c r="C392" s="1" t="s">
        <v>18</v>
      </c>
      <c r="D392" s="1" t="s">
        <v>16</v>
      </c>
      <c r="E392" s="2">
        <v>38738</v>
      </c>
      <c r="G392" s="3">
        <v>42150</v>
      </c>
      <c r="H392">
        <v>5</v>
      </c>
    </row>
    <row r="393" spans="1:8" x14ac:dyDescent="0.25">
      <c r="A393" s="1" t="s">
        <v>427</v>
      </c>
      <c r="B393" s="1" t="s">
        <v>51</v>
      </c>
      <c r="C393" s="1" t="s">
        <v>30</v>
      </c>
      <c r="D393" s="1" t="s">
        <v>3</v>
      </c>
      <c r="E393" s="2">
        <v>37848</v>
      </c>
      <c r="F393" s="1" t="s">
        <v>25</v>
      </c>
      <c r="G393" s="3">
        <v>76910</v>
      </c>
      <c r="H393">
        <v>2</v>
      </c>
    </row>
    <row r="394" spans="1:8" x14ac:dyDescent="0.25">
      <c r="A394" s="1" t="s">
        <v>428</v>
      </c>
      <c r="B394" s="1" t="s">
        <v>6</v>
      </c>
      <c r="C394" s="1" t="s">
        <v>35</v>
      </c>
      <c r="D394" s="1" t="s">
        <v>16</v>
      </c>
      <c r="E394" s="2">
        <v>40811</v>
      </c>
      <c r="G394" s="3">
        <v>61134</v>
      </c>
      <c r="H394">
        <v>4</v>
      </c>
    </row>
    <row r="395" spans="1:8" x14ac:dyDescent="0.25">
      <c r="A395" s="1" t="s">
        <v>429</v>
      </c>
      <c r="B395" s="1" t="s">
        <v>29</v>
      </c>
      <c r="C395" s="1" t="s">
        <v>59</v>
      </c>
      <c r="D395" s="1" t="s">
        <v>3</v>
      </c>
      <c r="E395" s="2">
        <v>36297</v>
      </c>
      <c r="F395" s="1" t="s">
        <v>4</v>
      </c>
      <c r="G395" s="3">
        <v>46030</v>
      </c>
      <c r="H395">
        <v>2</v>
      </c>
    </row>
    <row r="396" spans="1:8" x14ac:dyDescent="0.25">
      <c r="A396" s="1" t="s">
        <v>430</v>
      </c>
      <c r="B396" s="1" t="s">
        <v>27</v>
      </c>
      <c r="C396" s="1" t="s">
        <v>8</v>
      </c>
      <c r="D396" s="1" t="s">
        <v>3</v>
      </c>
      <c r="E396" s="2">
        <v>41228</v>
      </c>
      <c r="F396" s="1" t="s">
        <v>11</v>
      </c>
      <c r="G396" s="3">
        <v>46340</v>
      </c>
      <c r="H396">
        <v>5</v>
      </c>
    </row>
    <row r="397" spans="1:8" x14ac:dyDescent="0.25">
      <c r="A397" s="1" t="s">
        <v>431</v>
      </c>
      <c r="B397" s="1" t="s">
        <v>6</v>
      </c>
      <c r="C397" s="1" t="s">
        <v>59</v>
      </c>
      <c r="D397" s="1" t="s">
        <v>16</v>
      </c>
      <c r="E397" s="2">
        <v>39283</v>
      </c>
      <c r="G397" s="3">
        <v>74470</v>
      </c>
      <c r="H397">
        <v>3</v>
      </c>
    </row>
    <row r="398" spans="1:8" x14ac:dyDescent="0.25">
      <c r="A398" s="1" t="s">
        <v>432</v>
      </c>
      <c r="B398" s="1" t="s">
        <v>1</v>
      </c>
      <c r="C398" s="1" t="s">
        <v>37</v>
      </c>
      <c r="D398" s="1" t="s">
        <v>16</v>
      </c>
      <c r="E398" s="2">
        <v>37803</v>
      </c>
      <c r="G398" s="3">
        <v>78100</v>
      </c>
      <c r="H398">
        <v>3</v>
      </c>
    </row>
    <row r="399" spans="1:8" x14ac:dyDescent="0.25">
      <c r="A399" s="1" t="s">
        <v>433</v>
      </c>
      <c r="B399" s="1" t="s">
        <v>1</v>
      </c>
      <c r="C399" s="1" t="s">
        <v>23</v>
      </c>
      <c r="D399" s="1" t="s">
        <v>3</v>
      </c>
      <c r="E399" s="2">
        <v>39404</v>
      </c>
      <c r="F399" s="1" t="s">
        <v>21</v>
      </c>
      <c r="G399" s="3">
        <v>50990</v>
      </c>
      <c r="H399">
        <v>4</v>
      </c>
    </row>
    <row r="400" spans="1:8" x14ac:dyDescent="0.25">
      <c r="A400" s="1" t="s">
        <v>434</v>
      </c>
      <c r="B400" s="1" t="s">
        <v>6</v>
      </c>
      <c r="C400" s="1" t="s">
        <v>30</v>
      </c>
      <c r="D400" s="1" t="s">
        <v>3</v>
      </c>
      <c r="E400" s="2">
        <v>40666</v>
      </c>
      <c r="F400" s="1" t="s">
        <v>4</v>
      </c>
      <c r="G400" s="3">
        <v>24090</v>
      </c>
      <c r="H400">
        <v>4</v>
      </c>
    </row>
    <row r="401" spans="1:8" x14ac:dyDescent="0.25">
      <c r="A401" s="1" t="s">
        <v>435</v>
      </c>
      <c r="B401" s="1" t="s">
        <v>27</v>
      </c>
      <c r="C401" s="1" t="s">
        <v>18</v>
      </c>
      <c r="D401" s="1" t="s">
        <v>24</v>
      </c>
      <c r="E401" s="2">
        <v>40456</v>
      </c>
      <c r="F401" s="1" t="s">
        <v>4</v>
      </c>
      <c r="G401" s="3">
        <v>46645</v>
      </c>
      <c r="H401">
        <v>5</v>
      </c>
    </row>
    <row r="402" spans="1:8" x14ac:dyDescent="0.25">
      <c r="A402" s="1" t="s">
        <v>436</v>
      </c>
      <c r="B402" s="1" t="s">
        <v>6</v>
      </c>
      <c r="C402" s="1" t="s">
        <v>23</v>
      </c>
      <c r="D402" s="1" t="s">
        <v>3</v>
      </c>
      <c r="E402" s="2">
        <v>40525</v>
      </c>
      <c r="F402" s="1" t="s">
        <v>25</v>
      </c>
      <c r="G402" s="3">
        <v>77950</v>
      </c>
      <c r="H402">
        <v>4</v>
      </c>
    </row>
    <row r="403" spans="1:8" x14ac:dyDescent="0.25">
      <c r="A403" s="1" t="s">
        <v>437</v>
      </c>
      <c r="B403" s="1" t="s">
        <v>29</v>
      </c>
      <c r="C403" s="1" t="s">
        <v>63</v>
      </c>
      <c r="D403" s="1" t="s">
        <v>3</v>
      </c>
      <c r="E403" s="2">
        <v>39754</v>
      </c>
      <c r="F403" s="1" t="s">
        <v>11</v>
      </c>
      <c r="G403" s="3">
        <v>43110</v>
      </c>
      <c r="H403">
        <v>2</v>
      </c>
    </row>
    <row r="404" spans="1:8" x14ac:dyDescent="0.25">
      <c r="A404" s="1" t="s">
        <v>438</v>
      </c>
      <c r="B404" s="1" t="s">
        <v>1</v>
      </c>
      <c r="C404" s="1" t="s">
        <v>138</v>
      </c>
      <c r="D404" s="1" t="s">
        <v>3</v>
      </c>
      <c r="E404" s="2">
        <v>39646</v>
      </c>
      <c r="F404" s="1" t="s">
        <v>11</v>
      </c>
      <c r="G404" s="3">
        <v>69060</v>
      </c>
      <c r="H404">
        <v>1</v>
      </c>
    </row>
    <row r="405" spans="1:8" x14ac:dyDescent="0.25">
      <c r="A405" s="1" t="s">
        <v>439</v>
      </c>
      <c r="B405" s="1" t="s">
        <v>6</v>
      </c>
      <c r="C405" s="1" t="s">
        <v>30</v>
      </c>
      <c r="D405" s="1" t="s">
        <v>16</v>
      </c>
      <c r="E405" s="2">
        <v>40820</v>
      </c>
      <c r="G405" s="3">
        <v>52750</v>
      </c>
      <c r="H405">
        <v>1</v>
      </c>
    </row>
    <row r="406" spans="1:8" x14ac:dyDescent="0.25">
      <c r="A406" s="1" t="s">
        <v>440</v>
      </c>
      <c r="B406" s="1" t="s">
        <v>13</v>
      </c>
      <c r="C406" s="1" t="s">
        <v>18</v>
      </c>
      <c r="D406" s="1" t="s">
        <v>16</v>
      </c>
      <c r="E406" s="2">
        <v>38289</v>
      </c>
      <c r="G406" s="3">
        <v>71830</v>
      </c>
      <c r="H406">
        <v>3</v>
      </c>
    </row>
    <row r="407" spans="1:8" x14ac:dyDescent="0.25">
      <c r="A407" s="1" t="s">
        <v>441</v>
      </c>
      <c r="B407" s="1" t="s">
        <v>1</v>
      </c>
      <c r="C407" s="1" t="s">
        <v>2</v>
      </c>
      <c r="D407" s="1" t="s">
        <v>3</v>
      </c>
      <c r="E407" s="2">
        <v>38856</v>
      </c>
      <c r="F407" s="1" t="s">
        <v>11</v>
      </c>
      <c r="G407" s="3">
        <v>37770</v>
      </c>
      <c r="H407">
        <v>5</v>
      </c>
    </row>
    <row r="408" spans="1:8" x14ac:dyDescent="0.25">
      <c r="A408" s="1" t="s">
        <v>442</v>
      </c>
      <c r="B408" s="1" t="s">
        <v>13</v>
      </c>
      <c r="C408" s="1" t="s">
        <v>59</v>
      </c>
      <c r="D408" s="1" t="s">
        <v>16</v>
      </c>
      <c r="E408" s="2">
        <v>36192</v>
      </c>
      <c r="G408" s="3">
        <v>47620</v>
      </c>
      <c r="H408">
        <v>5</v>
      </c>
    </row>
    <row r="409" spans="1:8" x14ac:dyDescent="0.25">
      <c r="A409" s="1" t="s">
        <v>443</v>
      </c>
      <c r="B409" s="1" t="s">
        <v>1</v>
      </c>
      <c r="C409" s="1" t="s">
        <v>35</v>
      </c>
      <c r="D409" s="1" t="s">
        <v>3</v>
      </c>
      <c r="E409" s="2">
        <v>39728</v>
      </c>
      <c r="F409" s="1" t="s">
        <v>4</v>
      </c>
      <c r="G409" s="3">
        <v>82370</v>
      </c>
      <c r="H409">
        <v>5</v>
      </c>
    </row>
    <row r="410" spans="1:8" x14ac:dyDescent="0.25">
      <c r="A410" s="1" t="s">
        <v>444</v>
      </c>
      <c r="B410" s="1" t="s">
        <v>1</v>
      </c>
      <c r="C410" s="1" t="s">
        <v>18</v>
      </c>
      <c r="D410" s="1" t="s">
        <v>16</v>
      </c>
      <c r="E410" s="2">
        <v>36729</v>
      </c>
      <c r="G410" s="3">
        <v>45420</v>
      </c>
      <c r="H410">
        <v>1</v>
      </c>
    </row>
    <row r="411" spans="1:8" x14ac:dyDescent="0.25">
      <c r="A411" s="1" t="s">
        <v>445</v>
      </c>
      <c r="B411" s="1" t="s">
        <v>13</v>
      </c>
      <c r="C411" s="1" t="s">
        <v>35</v>
      </c>
      <c r="D411" s="1" t="s">
        <v>16</v>
      </c>
      <c r="E411" s="2">
        <v>39728</v>
      </c>
      <c r="G411" s="3">
        <v>86040</v>
      </c>
      <c r="H411">
        <v>5</v>
      </c>
    </row>
    <row r="412" spans="1:8" x14ac:dyDescent="0.25">
      <c r="A412" s="1" t="s">
        <v>446</v>
      </c>
      <c r="B412" s="1" t="s">
        <v>6</v>
      </c>
      <c r="C412" s="1" t="s">
        <v>75</v>
      </c>
      <c r="D412" s="1" t="s">
        <v>3</v>
      </c>
      <c r="E412" s="2">
        <v>37241</v>
      </c>
      <c r="F412" s="1" t="s">
        <v>4</v>
      </c>
      <c r="G412" s="3">
        <v>71950</v>
      </c>
      <c r="H412">
        <v>5</v>
      </c>
    </row>
    <row r="413" spans="1:8" x14ac:dyDescent="0.25">
      <c r="A413" s="1" t="s">
        <v>447</v>
      </c>
      <c r="B413" s="1" t="s">
        <v>6</v>
      </c>
      <c r="C413" s="1" t="s">
        <v>2</v>
      </c>
      <c r="D413" s="1" t="s">
        <v>3</v>
      </c>
      <c r="E413" s="2">
        <v>39141</v>
      </c>
      <c r="F413" s="1" t="s">
        <v>11</v>
      </c>
      <c r="G413" s="3">
        <v>66824</v>
      </c>
      <c r="H413">
        <v>2</v>
      </c>
    </row>
    <row r="414" spans="1:8" x14ac:dyDescent="0.25">
      <c r="A414" s="1" t="s">
        <v>448</v>
      </c>
      <c r="B414" s="1" t="s">
        <v>13</v>
      </c>
      <c r="C414" s="1" t="s">
        <v>2</v>
      </c>
      <c r="D414" s="1" t="s">
        <v>3</v>
      </c>
      <c r="E414" s="2">
        <v>36081</v>
      </c>
      <c r="F414" s="1" t="s">
        <v>11</v>
      </c>
      <c r="G414" s="3">
        <v>67407</v>
      </c>
      <c r="H414">
        <v>5</v>
      </c>
    </row>
    <row r="415" spans="1:8" x14ac:dyDescent="0.25">
      <c r="A415" s="1" t="s">
        <v>449</v>
      </c>
      <c r="B415" s="1" t="s">
        <v>29</v>
      </c>
      <c r="C415" s="1" t="s">
        <v>23</v>
      </c>
      <c r="D415" s="1" t="s">
        <v>3</v>
      </c>
      <c r="E415" s="2">
        <v>39123</v>
      </c>
      <c r="F415" s="1" t="s">
        <v>21</v>
      </c>
      <c r="G415" s="3">
        <v>77840</v>
      </c>
      <c r="H415">
        <v>2</v>
      </c>
    </row>
    <row r="416" spans="1:8" x14ac:dyDescent="0.25">
      <c r="A416" s="1" t="s">
        <v>450</v>
      </c>
      <c r="B416" s="1" t="s">
        <v>51</v>
      </c>
      <c r="C416" s="1" t="s">
        <v>8</v>
      </c>
      <c r="D416" s="1" t="s">
        <v>3</v>
      </c>
      <c r="E416" s="2">
        <v>36414</v>
      </c>
      <c r="F416" s="1" t="s">
        <v>9</v>
      </c>
      <c r="G416" s="3">
        <v>39680</v>
      </c>
      <c r="H416">
        <v>5</v>
      </c>
    </row>
    <row r="417" spans="1:8" x14ac:dyDescent="0.25">
      <c r="A417" s="1" t="s">
        <v>451</v>
      </c>
      <c r="B417" s="1" t="s">
        <v>1</v>
      </c>
      <c r="C417" s="1" t="s">
        <v>75</v>
      </c>
      <c r="D417" s="1" t="s">
        <v>32</v>
      </c>
      <c r="E417" s="2">
        <v>36602</v>
      </c>
      <c r="G417" s="3">
        <v>30080</v>
      </c>
      <c r="H417">
        <v>3</v>
      </c>
    </row>
    <row r="418" spans="1:8" x14ac:dyDescent="0.25">
      <c r="A418" s="1" t="s">
        <v>452</v>
      </c>
      <c r="B418" s="1" t="s">
        <v>27</v>
      </c>
      <c r="C418" s="1" t="s">
        <v>20</v>
      </c>
      <c r="D418" s="1" t="s">
        <v>16</v>
      </c>
      <c r="E418" s="2">
        <v>36176</v>
      </c>
      <c r="G418" s="3">
        <v>32940</v>
      </c>
      <c r="H418">
        <v>5</v>
      </c>
    </row>
    <row r="419" spans="1:8" x14ac:dyDescent="0.25">
      <c r="A419" s="1" t="s">
        <v>453</v>
      </c>
      <c r="B419" s="1" t="s">
        <v>13</v>
      </c>
      <c r="C419" s="1" t="s">
        <v>75</v>
      </c>
      <c r="D419" s="1" t="s">
        <v>32</v>
      </c>
      <c r="E419" s="2">
        <v>36487</v>
      </c>
      <c r="G419" s="3">
        <v>33056</v>
      </c>
      <c r="H419">
        <v>5</v>
      </c>
    </row>
    <row r="420" spans="1:8" x14ac:dyDescent="0.25">
      <c r="A420" s="1" t="s">
        <v>454</v>
      </c>
      <c r="B420" s="1" t="s">
        <v>51</v>
      </c>
      <c r="C420" s="1" t="s">
        <v>37</v>
      </c>
      <c r="D420" s="1" t="s">
        <v>3</v>
      </c>
      <c r="E420" s="2">
        <v>40922</v>
      </c>
      <c r="F420" s="1" t="s">
        <v>4</v>
      </c>
      <c r="G420" s="3">
        <v>39110</v>
      </c>
      <c r="H420">
        <v>5</v>
      </c>
    </row>
    <row r="421" spans="1:8" x14ac:dyDescent="0.25">
      <c r="A421" s="1" t="s">
        <v>455</v>
      </c>
      <c r="B421" s="1" t="s">
        <v>1</v>
      </c>
      <c r="C421" s="1" t="s">
        <v>18</v>
      </c>
      <c r="D421" s="1" t="s">
        <v>3</v>
      </c>
      <c r="E421" s="2">
        <v>40312</v>
      </c>
      <c r="F421" s="1" t="s">
        <v>4</v>
      </c>
      <c r="G421" s="3">
        <v>73450</v>
      </c>
      <c r="H421">
        <v>3</v>
      </c>
    </row>
    <row r="422" spans="1:8" x14ac:dyDescent="0.25">
      <c r="A422" s="1" t="s">
        <v>456</v>
      </c>
      <c r="B422" s="1" t="s">
        <v>1</v>
      </c>
      <c r="C422" s="1" t="s">
        <v>18</v>
      </c>
      <c r="D422" s="1" t="s">
        <v>3</v>
      </c>
      <c r="E422" s="2">
        <v>40203</v>
      </c>
      <c r="F422" s="1" t="s">
        <v>4</v>
      </c>
      <c r="G422" s="3">
        <v>35600</v>
      </c>
      <c r="H422">
        <v>5</v>
      </c>
    </row>
    <row r="423" spans="1:8" x14ac:dyDescent="0.25">
      <c r="A423" s="1" t="s">
        <v>457</v>
      </c>
      <c r="B423" s="1" t="s">
        <v>13</v>
      </c>
      <c r="C423" s="1" t="s">
        <v>37</v>
      </c>
      <c r="D423" s="1" t="s">
        <v>16</v>
      </c>
      <c r="E423" s="2">
        <v>36047</v>
      </c>
      <c r="G423" s="3">
        <v>72480</v>
      </c>
      <c r="H423">
        <v>2</v>
      </c>
    </row>
    <row r="424" spans="1:8" x14ac:dyDescent="0.25">
      <c r="A424" s="1" t="s">
        <v>458</v>
      </c>
      <c r="B424" s="1" t="s">
        <v>13</v>
      </c>
      <c r="C424" s="1" t="s">
        <v>23</v>
      </c>
      <c r="D424" s="1" t="s">
        <v>3</v>
      </c>
      <c r="E424" s="2">
        <v>39657</v>
      </c>
      <c r="F424" s="1" t="s">
        <v>9</v>
      </c>
      <c r="G424" s="3">
        <v>80880</v>
      </c>
      <c r="H424">
        <v>1</v>
      </c>
    </row>
    <row r="425" spans="1:8" x14ac:dyDescent="0.25">
      <c r="A425" s="1" t="s">
        <v>459</v>
      </c>
      <c r="B425" s="1" t="s">
        <v>1</v>
      </c>
      <c r="C425" s="1" t="s">
        <v>35</v>
      </c>
      <c r="D425" s="1" t="s">
        <v>3</v>
      </c>
      <c r="E425" s="2">
        <v>38328</v>
      </c>
      <c r="F425" s="1" t="s">
        <v>25</v>
      </c>
      <c r="G425" s="3">
        <v>48280</v>
      </c>
      <c r="H425">
        <v>4</v>
      </c>
    </row>
    <row r="426" spans="1:8" x14ac:dyDescent="0.25">
      <c r="A426" s="1" t="s">
        <v>460</v>
      </c>
      <c r="B426" s="1" t="s">
        <v>6</v>
      </c>
      <c r="C426" s="1" t="s">
        <v>18</v>
      </c>
      <c r="D426" s="1" t="s">
        <v>16</v>
      </c>
      <c r="E426" s="2">
        <v>39539</v>
      </c>
      <c r="G426" s="3">
        <v>63310</v>
      </c>
      <c r="H426">
        <v>3</v>
      </c>
    </row>
    <row r="427" spans="1:8" x14ac:dyDescent="0.25">
      <c r="A427" s="1" t="s">
        <v>461</v>
      </c>
      <c r="B427" s="1" t="s">
        <v>13</v>
      </c>
      <c r="C427" s="1" t="s">
        <v>2</v>
      </c>
      <c r="D427" s="1" t="s">
        <v>16</v>
      </c>
      <c r="E427" s="2">
        <v>36070</v>
      </c>
      <c r="G427" s="3">
        <v>59050</v>
      </c>
      <c r="H427">
        <v>4</v>
      </c>
    </row>
    <row r="428" spans="1:8" x14ac:dyDescent="0.25">
      <c r="A428" s="1" t="s">
        <v>462</v>
      </c>
      <c r="B428" s="1" t="s">
        <v>1</v>
      </c>
      <c r="C428" s="1" t="s">
        <v>20</v>
      </c>
      <c r="D428" s="1" t="s">
        <v>24</v>
      </c>
      <c r="E428" s="2">
        <v>39107</v>
      </c>
      <c r="F428" s="1" t="s">
        <v>9</v>
      </c>
      <c r="G428" s="3">
        <v>18655</v>
      </c>
      <c r="H428">
        <v>4</v>
      </c>
    </row>
    <row r="429" spans="1:8" x14ac:dyDescent="0.25">
      <c r="A429" s="1" t="s">
        <v>463</v>
      </c>
      <c r="B429" s="1" t="s">
        <v>1</v>
      </c>
      <c r="C429" s="1" t="s">
        <v>37</v>
      </c>
      <c r="D429" s="1" t="s">
        <v>3</v>
      </c>
      <c r="E429" s="2">
        <v>41046</v>
      </c>
      <c r="F429" s="1" t="s">
        <v>4</v>
      </c>
      <c r="G429" s="3">
        <v>48550</v>
      </c>
      <c r="H429">
        <v>5</v>
      </c>
    </row>
    <row r="430" spans="1:8" x14ac:dyDescent="0.25">
      <c r="A430" s="1" t="s">
        <v>464</v>
      </c>
      <c r="B430" s="1" t="s">
        <v>6</v>
      </c>
      <c r="C430" s="1" t="s">
        <v>2</v>
      </c>
      <c r="D430" s="1" t="s">
        <v>24</v>
      </c>
      <c r="E430" s="2">
        <v>36196</v>
      </c>
      <c r="F430" s="1" t="s">
        <v>4</v>
      </c>
      <c r="G430" s="3">
        <v>34980</v>
      </c>
      <c r="H430">
        <v>2</v>
      </c>
    </row>
    <row r="431" spans="1:8" x14ac:dyDescent="0.25">
      <c r="A431" s="1" t="s">
        <v>465</v>
      </c>
      <c r="B431" s="1" t="s">
        <v>1</v>
      </c>
      <c r="C431" s="1" t="s">
        <v>75</v>
      </c>
      <c r="D431" s="1" t="s">
        <v>3</v>
      </c>
      <c r="E431" s="2">
        <v>40596</v>
      </c>
      <c r="F431" s="1" t="s">
        <v>21</v>
      </c>
      <c r="G431" s="3">
        <v>68910</v>
      </c>
      <c r="H431">
        <v>5</v>
      </c>
    </row>
    <row r="432" spans="1:8" x14ac:dyDescent="0.25">
      <c r="A432" s="1" t="s">
        <v>466</v>
      </c>
      <c r="B432" s="1" t="s">
        <v>6</v>
      </c>
      <c r="C432" s="1" t="s">
        <v>20</v>
      </c>
      <c r="D432" s="1" t="s">
        <v>3</v>
      </c>
      <c r="E432" s="2">
        <v>36077</v>
      </c>
      <c r="F432" s="1" t="s">
        <v>11</v>
      </c>
      <c r="G432" s="3">
        <v>50110</v>
      </c>
      <c r="H432">
        <v>1</v>
      </c>
    </row>
    <row r="433" spans="1:8" x14ac:dyDescent="0.25">
      <c r="A433" s="1" t="s">
        <v>467</v>
      </c>
      <c r="B433" s="1" t="s">
        <v>1</v>
      </c>
      <c r="C433" s="1" t="s">
        <v>18</v>
      </c>
      <c r="D433" s="1" t="s">
        <v>3</v>
      </c>
      <c r="E433" s="2">
        <v>38821</v>
      </c>
      <c r="F433" s="1" t="s">
        <v>11</v>
      </c>
      <c r="G433" s="3">
        <v>65720</v>
      </c>
      <c r="H433">
        <v>1</v>
      </c>
    </row>
    <row r="434" spans="1:8" x14ac:dyDescent="0.25">
      <c r="A434" s="1" t="s">
        <v>468</v>
      </c>
      <c r="B434" s="1" t="s">
        <v>29</v>
      </c>
      <c r="C434" s="1" t="s">
        <v>18</v>
      </c>
      <c r="D434" s="1" t="s">
        <v>3</v>
      </c>
      <c r="E434" s="2">
        <v>40474</v>
      </c>
      <c r="F434" s="1" t="s">
        <v>4</v>
      </c>
      <c r="G434" s="3">
        <v>59320</v>
      </c>
      <c r="H434">
        <v>4</v>
      </c>
    </row>
    <row r="435" spans="1:8" x14ac:dyDescent="0.25">
      <c r="A435" s="1" t="s">
        <v>469</v>
      </c>
      <c r="B435" s="1" t="s">
        <v>6</v>
      </c>
      <c r="C435" s="1" t="s">
        <v>35</v>
      </c>
      <c r="D435" s="1" t="s">
        <v>24</v>
      </c>
      <c r="E435" s="2">
        <v>39155</v>
      </c>
      <c r="F435" s="1" t="s">
        <v>21</v>
      </c>
      <c r="G435" s="3">
        <v>27710</v>
      </c>
      <c r="H435">
        <v>3</v>
      </c>
    </row>
    <row r="436" spans="1:8" x14ac:dyDescent="0.25">
      <c r="A436" s="1" t="s">
        <v>470</v>
      </c>
      <c r="B436" s="1" t="s">
        <v>51</v>
      </c>
      <c r="C436" s="1" t="s">
        <v>18</v>
      </c>
      <c r="D436" s="1" t="s">
        <v>32</v>
      </c>
      <c r="E436" s="2">
        <v>39278</v>
      </c>
      <c r="G436" s="3">
        <v>30416</v>
      </c>
      <c r="H436">
        <v>1</v>
      </c>
    </row>
    <row r="437" spans="1:8" x14ac:dyDescent="0.25">
      <c r="A437" s="1" t="s">
        <v>471</v>
      </c>
      <c r="B437" s="1" t="s">
        <v>6</v>
      </c>
      <c r="C437" s="1" t="s">
        <v>73</v>
      </c>
      <c r="D437" s="1" t="s">
        <v>3</v>
      </c>
      <c r="E437" s="2">
        <v>38746</v>
      </c>
      <c r="F437" s="1" t="s">
        <v>11</v>
      </c>
      <c r="G437" s="3">
        <v>49360</v>
      </c>
      <c r="H437">
        <v>2</v>
      </c>
    </row>
    <row r="438" spans="1:8" x14ac:dyDescent="0.25">
      <c r="A438" s="1" t="s">
        <v>472</v>
      </c>
      <c r="B438" s="1" t="s">
        <v>1</v>
      </c>
      <c r="C438" s="1" t="s">
        <v>18</v>
      </c>
      <c r="D438" s="1" t="s">
        <v>3</v>
      </c>
      <c r="E438" s="2">
        <v>36431</v>
      </c>
      <c r="F438" s="1" t="s">
        <v>4</v>
      </c>
      <c r="G438" s="3">
        <v>35820</v>
      </c>
      <c r="H438">
        <v>2</v>
      </c>
    </row>
    <row r="439" spans="1:8" x14ac:dyDescent="0.25">
      <c r="A439" s="1" t="s">
        <v>473</v>
      </c>
      <c r="B439" s="1" t="s">
        <v>13</v>
      </c>
      <c r="C439" s="1" t="s">
        <v>18</v>
      </c>
      <c r="D439" s="1" t="s">
        <v>3</v>
      </c>
      <c r="E439" s="2">
        <v>36444</v>
      </c>
      <c r="F439" s="1" t="s">
        <v>4</v>
      </c>
      <c r="G439" s="3">
        <v>67280</v>
      </c>
      <c r="H439">
        <v>3</v>
      </c>
    </row>
    <row r="440" spans="1:8" x14ac:dyDescent="0.25">
      <c r="A440" s="1" t="s">
        <v>474</v>
      </c>
      <c r="B440" s="1" t="s">
        <v>1</v>
      </c>
      <c r="C440" s="1" t="s">
        <v>59</v>
      </c>
      <c r="D440" s="1" t="s">
        <v>16</v>
      </c>
      <c r="E440" s="2">
        <v>36703</v>
      </c>
      <c r="G440" s="3">
        <v>50200</v>
      </c>
      <c r="H440">
        <v>4</v>
      </c>
    </row>
    <row r="441" spans="1:8" x14ac:dyDescent="0.25">
      <c r="A441" s="1" t="s">
        <v>475</v>
      </c>
      <c r="B441" s="1" t="s">
        <v>1</v>
      </c>
      <c r="C441" s="1" t="s">
        <v>57</v>
      </c>
      <c r="D441" s="1" t="s">
        <v>3</v>
      </c>
      <c r="E441" s="2">
        <v>39197</v>
      </c>
      <c r="F441" s="1" t="s">
        <v>4</v>
      </c>
      <c r="G441" s="3">
        <v>63190</v>
      </c>
      <c r="H441">
        <v>1</v>
      </c>
    </row>
    <row r="442" spans="1:8" x14ac:dyDescent="0.25">
      <c r="A442" s="1" t="s">
        <v>476</v>
      </c>
      <c r="B442" s="1" t="s">
        <v>13</v>
      </c>
      <c r="C442" s="1" t="s">
        <v>18</v>
      </c>
      <c r="D442" s="1" t="s">
        <v>3</v>
      </c>
      <c r="E442" s="2">
        <v>35938</v>
      </c>
      <c r="F442" s="1" t="s">
        <v>21</v>
      </c>
      <c r="G442" s="3">
        <v>55450</v>
      </c>
      <c r="H442">
        <v>5</v>
      </c>
    </row>
    <row r="443" spans="1:8" x14ac:dyDescent="0.25">
      <c r="A443" s="1" t="s">
        <v>477</v>
      </c>
      <c r="B443" s="1" t="s">
        <v>1</v>
      </c>
      <c r="C443" s="1" t="s">
        <v>18</v>
      </c>
      <c r="D443" s="1" t="s">
        <v>3</v>
      </c>
      <c r="E443" s="2">
        <v>39354</v>
      </c>
      <c r="F443" s="1" t="s">
        <v>11</v>
      </c>
      <c r="G443" s="3">
        <v>67050</v>
      </c>
      <c r="H443">
        <v>4</v>
      </c>
    </row>
    <row r="444" spans="1:8" x14ac:dyDescent="0.25">
      <c r="A444" s="1" t="s">
        <v>478</v>
      </c>
      <c r="B444" s="1" t="s">
        <v>13</v>
      </c>
      <c r="C444" s="1" t="s">
        <v>75</v>
      </c>
      <c r="D444" s="1" t="s">
        <v>32</v>
      </c>
      <c r="E444" s="2">
        <v>36059</v>
      </c>
      <c r="G444" s="3">
        <v>18500</v>
      </c>
      <c r="H444">
        <v>5</v>
      </c>
    </row>
    <row r="445" spans="1:8" x14ac:dyDescent="0.25">
      <c r="A445" s="1" t="s">
        <v>479</v>
      </c>
      <c r="B445" s="1" t="s">
        <v>6</v>
      </c>
      <c r="C445" s="1" t="s">
        <v>18</v>
      </c>
      <c r="D445" s="1" t="s">
        <v>24</v>
      </c>
      <c r="E445" s="2">
        <v>36177</v>
      </c>
      <c r="F445" s="1" t="s">
        <v>21</v>
      </c>
      <c r="G445" s="3">
        <v>21670</v>
      </c>
      <c r="H445">
        <v>2</v>
      </c>
    </row>
    <row r="446" spans="1:8" x14ac:dyDescent="0.25">
      <c r="A446" s="1" t="s">
        <v>480</v>
      </c>
      <c r="B446" s="1" t="s">
        <v>1</v>
      </c>
      <c r="C446" s="1" t="s">
        <v>18</v>
      </c>
      <c r="D446" s="1" t="s">
        <v>16</v>
      </c>
      <c r="E446" s="2">
        <v>39189</v>
      </c>
      <c r="G446" s="3">
        <v>63850</v>
      </c>
      <c r="H446">
        <v>2</v>
      </c>
    </row>
    <row r="447" spans="1:8" x14ac:dyDescent="0.25">
      <c r="A447" s="1" t="s">
        <v>481</v>
      </c>
      <c r="B447" s="1" t="s">
        <v>51</v>
      </c>
      <c r="C447" s="1" t="s">
        <v>18</v>
      </c>
      <c r="D447" s="1" t="s">
        <v>3</v>
      </c>
      <c r="E447" s="2">
        <v>37229</v>
      </c>
      <c r="F447" s="1" t="s">
        <v>11</v>
      </c>
      <c r="G447" s="3">
        <v>25310</v>
      </c>
      <c r="H447">
        <v>4</v>
      </c>
    </row>
    <row r="448" spans="1:8" x14ac:dyDescent="0.25">
      <c r="A448" s="1" t="s">
        <v>482</v>
      </c>
      <c r="B448" s="1" t="s">
        <v>13</v>
      </c>
      <c r="C448" s="1" t="s">
        <v>18</v>
      </c>
      <c r="D448" s="1" t="s">
        <v>32</v>
      </c>
      <c r="E448" s="2">
        <v>35829</v>
      </c>
      <c r="G448" s="3">
        <v>29176</v>
      </c>
      <c r="H448">
        <v>3</v>
      </c>
    </row>
    <row r="449" spans="1:8" x14ac:dyDescent="0.25">
      <c r="A449" s="1" t="s">
        <v>483</v>
      </c>
      <c r="B449" s="1" t="s">
        <v>6</v>
      </c>
      <c r="C449" s="1" t="s">
        <v>2</v>
      </c>
      <c r="D449" s="1" t="s">
        <v>3</v>
      </c>
      <c r="E449" s="2">
        <v>36012</v>
      </c>
      <c r="F449" s="1" t="s">
        <v>25</v>
      </c>
      <c r="G449" s="3">
        <v>78950</v>
      </c>
      <c r="H449">
        <v>1</v>
      </c>
    </row>
    <row r="450" spans="1:8" x14ac:dyDescent="0.25">
      <c r="A450" s="1" t="s">
        <v>484</v>
      </c>
      <c r="B450" s="1" t="s">
        <v>6</v>
      </c>
      <c r="C450" s="1" t="s">
        <v>2</v>
      </c>
      <c r="D450" s="1" t="s">
        <v>3</v>
      </c>
      <c r="E450" s="2">
        <v>36078</v>
      </c>
      <c r="F450" s="1" t="s">
        <v>9</v>
      </c>
      <c r="G450" s="3">
        <v>79610</v>
      </c>
      <c r="H450">
        <v>2</v>
      </c>
    </row>
    <row r="451" spans="1:8" x14ac:dyDescent="0.25">
      <c r="A451" s="1" t="s">
        <v>485</v>
      </c>
      <c r="B451" s="1" t="s">
        <v>13</v>
      </c>
      <c r="C451" s="1" t="s">
        <v>18</v>
      </c>
      <c r="D451" s="1" t="s">
        <v>24</v>
      </c>
      <c r="E451" s="2">
        <v>39276</v>
      </c>
      <c r="F451" s="1" t="s">
        <v>25</v>
      </c>
      <c r="G451" s="3">
        <v>18895</v>
      </c>
      <c r="H451">
        <v>4</v>
      </c>
    </row>
    <row r="452" spans="1:8" x14ac:dyDescent="0.25">
      <c r="A452" s="1" t="s">
        <v>486</v>
      </c>
      <c r="B452" s="1" t="s">
        <v>1</v>
      </c>
      <c r="C452" s="1" t="s">
        <v>35</v>
      </c>
      <c r="D452" s="1" t="s">
        <v>16</v>
      </c>
      <c r="E452" s="2">
        <v>39239</v>
      </c>
      <c r="G452" s="3">
        <v>75550</v>
      </c>
      <c r="H452">
        <v>3</v>
      </c>
    </row>
    <row r="453" spans="1:8" x14ac:dyDescent="0.25">
      <c r="A453" s="1" t="s">
        <v>487</v>
      </c>
      <c r="B453" s="1" t="s">
        <v>51</v>
      </c>
      <c r="C453" s="1" t="s">
        <v>92</v>
      </c>
      <c r="D453" s="1" t="s">
        <v>3</v>
      </c>
      <c r="E453" s="2">
        <v>37043</v>
      </c>
      <c r="F453" s="1" t="s">
        <v>25</v>
      </c>
      <c r="G453" s="3">
        <v>45150</v>
      </c>
      <c r="H453">
        <v>1</v>
      </c>
    </row>
    <row r="454" spans="1:8" x14ac:dyDescent="0.25">
      <c r="A454" s="1" t="s">
        <v>488</v>
      </c>
      <c r="B454" s="1" t="s">
        <v>6</v>
      </c>
      <c r="C454" s="1" t="s">
        <v>18</v>
      </c>
      <c r="D454" s="1" t="s">
        <v>16</v>
      </c>
      <c r="E454" s="2">
        <v>41124</v>
      </c>
      <c r="G454" s="3">
        <v>49530</v>
      </c>
      <c r="H454">
        <v>2</v>
      </c>
    </row>
    <row r="455" spans="1:8" x14ac:dyDescent="0.25">
      <c r="A455" s="1" t="s">
        <v>489</v>
      </c>
      <c r="B455" s="1" t="s">
        <v>6</v>
      </c>
      <c r="C455" s="1" t="s">
        <v>20</v>
      </c>
      <c r="D455" s="1" t="s">
        <v>3</v>
      </c>
      <c r="E455" s="2">
        <v>37113</v>
      </c>
      <c r="F455" s="1" t="s">
        <v>21</v>
      </c>
      <c r="G455" s="3">
        <v>61150</v>
      </c>
      <c r="H455">
        <v>4</v>
      </c>
    </row>
    <row r="456" spans="1:8" x14ac:dyDescent="0.25">
      <c r="A456" s="1" t="s">
        <v>490</v>
      </c>
      <c r="B456" s="1" t="s">
        <v>29</v>
      </c>
      <c r="C456" s="1" t="s">
        <v>2</v>
      </c>
      <c r="D456" s="1" t="s">
        <v>3</v>
      </c>
      <c r="E456" s="2">
        <v>40853</v>
      </c>
      <c r="F456" s="1" t="s">
        <v>11</v>
      </c>
      <c r="G456" s="3">
        <v>63050</v>
      </c>
      <c r="H456">
        <v>3</v>
      </c>
    </row>
    <row r="457" spans="1:8" x14ac:dyDescent="0.25">
      <c r="A457" s="1" t="s">
        <v>491</v>
      </c>
      <c r="B457" s="1" t="s">
        <v>51</v>
      </c>
      <c r="C457" s="1" t="s">
        <v>8</v>
      </c>
      <c r="D457" s="1" t="s">
        <v>32</v>
      </c>
      <c r="E457" s="2">
        <v>36263</v>
      </c>
      <c r="G457" s="3">
        <v>38768</v>
      </c>
      <c r="H457">
        <v>4</v>
      </c>
    </row>
    <row r="458" spans="1:8" x14ac:dyDescent="0.25">
      <c r="A458" s="1" t="s">
        <v>492</v>
      </c>
      <c r="B458" s="1" t="s">
        <v>6</v>
      </c>
      <c r="C458" s="1" t="s">
        <v>46</v>
      </c>
      <c r="D458" s="1" t="s">
        <v>3</v>
      </c>
      <c r="E458" s="2">
        <v>36991</v>
      </c>
      <c r="F458" s="1" t="s">
        <v>4</v>
      </c>
      <c r="G458" s="3">
        <v>63670</v>
      </c>
      <c r="H458">
        <v>5</v>
      </c>
    </row>
    <row r="459" spans="1:8" x14ac:dyDescent="0.25">
      <c r="A459" s="1" t="s">
        <v>493</v>
      </c>
      <c r="B459" s="1" t="s">
        <v>13</v>
      </c>
      <c r="C459" s="1" t="s">
        <v>37</v>
      </c>
      <c r="D459" s="1" t="s">
        <v>16</v>
      </c>
      <c r="E459" s="2">
        <v>37236</v>
      </c>
      <c r="G459" s="3">
        <v>29540</v>
      </c>
      <c r="H459">
        <v>3</v>
      </c>
    </row>
    <row r="460" spans="1:8" x14ac:dyDescent="0.25">
      <c r="A460" s="1" t="s">
        <v>494</v>
      </c>
      <c r="B460" s="1" t="s">
        <v>13</v>
      </c>
      <c r="C460" s="1" t="s">
        <v>59</v>
      </c>
      <c r="D460" s="1" t="s">
        <v>3</v>
      </c>
      <c r="E460" s="2">
        <v>36145</v>
      </c>
      <c r="F460" s="1" t="s">
        <v>25</v>
      </c>
      <c r="G460" s="3">
        <v>31260</v>
      </c>
      <c r="H460">
        <v>5</v>
      </c>
    </row>
    <row r="461" spans="1:8" x14ac:dyDescent="0.25">
      <c r="A461" s="1" t="s">
        <v>495</v>
      </c>
      <c r="B461" s="1" t="s">
        <v>13</v>
      </c>
      <c r="C461" s="1" t="s">
        <v>35</v>
      </c>
      <c r="D461" s="1" t="s">
        <v>16</v>
      </c>
      <c r="E461" s="2">
        <v>40706</v>
      </c>
      <c r="G461" s="3">
        <v>34680</v>
      </c>
      <c r="H461">
        <v>5</v>
      </c>
    </row>
    <row r="462" spans="1:8" x14ac:dyDescent="0.25">
      <c r="A462" s="1" t="s">
        <v>496</v>
      </c>
      <c r="B462" s="1" t="s">
        <v>1</v>
      </c>
      <c r="C462" s="1" t="s">
        <v>18</v>
      </c>
      <c r="D462" s="1" t="s">
        <v>24</v>
      </c>
      <c r="E462" s="2">
        <v>36360</v>
      </c>
      <c r="F462" s="1" t="s">
        <v>11</v>
      </c>
      <c r="G462" s="3">
        <v>11065</v>
      </c>
      <c r="H462">
        <v>1</v>
      </c>
    </row>
    <row r="463" spans="1:8" x14ac:dyDescent="0.25">
      <c r="A463" s="1" t="s">
        <v>497</v>
      </c>
      <c r="B463" s="1" t="s">
        <v>13</v>
      </c>
      <c r="C463" s="1" t="s">
        <v>2</v>
      </c>
      <c r="D463" s="1" t="s">
        <v>3</v>
      </c>
      <c r="E463" s="2">
        <v>39815</v>
      </c>
      <c r="F463" s="1" t="s">
        <v>11</v>
      </c>
      <c r="G463" s="3">
        <v>72060</v>
      </c>
      <c r="H463">
        <v>2</v>
      </c>
    </row>
    <row r="464" spans="1:8" x14ac:dyDescent="0.25">
      <c r="A464" s="1" t="s">
        <v>498</v>
      </c>
      <c r="B464" s="1" t="s">
        <v>1</v>
      </c>
      <c r="C464" s="1" t="s">
        <v>75</v>
      </c>
      <c r="D464" s="1" t="s">
        <v>16</v>
      </c>
      <c r="E464" s="2">
        <v>39959</v>
      </c>
      <c r="G464" s="3">
        <v>79460</v>
      </c>
      <c r="H464">
        <v>5</v>
      </c>
    </row>
    <row r="465" spans="1:8" x14ac:dyDescent="0.25">
      <c r="A465" s="1" t="s">
        <v>499</v>
      </c>
      <c r="B465" s="1" t="s">
        <v>6</v>
      </c>
      <c r="C465" s="1" t="s">
        <v>23</v>
      </c>
      <c r="D465" s="1" t="s">
        <v>3</v>
      </c>
      <c r="E465" s="2">
        <v>39284</v>
      </c>
      <c r="F465" s="1" t="s">
        <v>4</v>
      </c>
      <c r="G465" s="3">
        <v>25830</v>
      </c>
      <c r="H465">
        <v>5</v>
      </c>
    </row>
    <row r="466" spans="1:8" x14ac:dyDescent="0.25">
      <c r="A466" s="1" t="s">
        <v>500</v>
      </c>
      <c r="B466" s="1" t="s">
        <v>6</v>
      </c>
      <c r="C466" s="1" t="s">
        <v>35</v>
      </c>
      <c r="D466" s="1" t="s">
        <v>3</v>
      </c>
      <c r="E466" s="2">
        <v>40680</v>
      </c>
      <c r="F466" s="1" t="s">
        <v>4</v>
      </c>
      <c r="G466" s="3">
        <v>23030</v>
      </c>
      <c r="H466">
        <v>4</v>
      </c>
    </row>
    <row r="467" spans="1:8" x14ac:dyDescent="0.25">
      <c r="A467" s="1" t="s">
        <v>501</v>
      </c>
      <c r="B467" s="1" t="s">
        <v>1</v>
      </c>
      <c r="C467" s="1" t="s">
        <v>30</v>
      </c>
      <c r="D467" s="1" t="s">
        <v>16</v>
      </c>
      <c r="E467" s="2">
        <v>40414</v>
      </c>
      <c r="G467" s="3">
        <v>60070</v>
      </c>
      <c r="H467">
        <v>2</v>
      </c>
    </row>
    <row r="468" spans="1:8" x14ac:dyDescent="0.25">
      <c r="A468" s="1" t="s">
        <v>502</v>
      </c>
      <c r="B468" s="1" t="s">
        <v>1</v>
      </c>
      <c r="C468" s="1" t="s">
        <v>8</v>
      </c>
      <c r="D468" s="1" t="s">
        <v>3</v>
      </c>
      <c r="E468" s="2">
        <v>38135</v>
      </c>
      <c r="F468" s="1" t="s">
        <v>21</v>
      </c>
      <c r="G468" s="3">
        <v>65560</v>
      </c>
      <c r="H468">
        <v>1</v>
      </c>
    </row>
    <row r="469" spans="1:8" x14ac:dyDescent="0.25">
      <c r="A469" s="1" t="s">
        <v>503</v>
      </c>
      <c r="B469" s="1" t="s">
        <v>1</v>
      </c>
      <c r="C469" s="1" t="s">
        <v>30</v>
      </c>
      <c r="D469" s="1" t="s">
        <v>16</v>
      </c>
      <c r="E469" s="2">
        <v>37526</v>
      </c>
      <c r="G469" s="3">
        <v>61580</v>
      </c>
      <c r="H469">
        <v>3</v>
      </c>
    </row>
    <row r="470" spans="1:8" x14ac:dyDescent="0.25">
      <c r="A470" s="1" t="s">
        <v>504</v>
      </c>
      <c r="B470" s="1" t="s">
        <v>6</v>
      </c>
      <c r="C470" s="1" t="s">
        <v>30</v>
      </c>
      <c r="D470" s="1" t="s">
        <v>3</v>
      </c>
      <c r="E470" s="2">
        <v>36088</v>
      </c>
      <c r="F470" s="1" t="s">
        <v>21</v>
      </c>
      <c r="G470" s="3">
        <v>54580</v>
      </c>
      <c r="H470">
        <v>4</v>
      </c>
    </row>
    <row r="471" spans="1:8" x14ac:dyDescent="0.25">
      <c r="A471" s="1" t="s">
        <v>505</v>
      </c>
      <c r="B471" s="1" t="s">
        <v>1</v>
      </c>
      <c r="C471" s="1" t="s">
        <v>23</v>
      </c>
      <c r="D471" s="1" t="s">
        <v>24</v>
      </c>
      <c r="E471" s="2">
        <v>36695</v>
      </c>
      <c r="F471" s="1" t="s">
        <v>11</v>
      </c>
      <c r="G471" s="3">
        <v>29005</v>
      </c>
      <c r="H471">
        <v>1</v>
      </c>
    </row>
    <row r="472" spans="1:8" x14ac:dyDescent="0.25">
      <c r="A472" s="1" t="s">
        <v>506</v>
      </c>
      <c r="B472" s="1" t="s">
        <v>6</v>
      </c>
      <c r="C472" s="1" t="s">
        <v>18</v>
      </c>
      <c r="D472" s="1" t="s">
        <v>16</v>
      </c>
      <c r="E472" s="2">
        <v>40470</v>
      </c>
      <c r="G472" s="3">
        <v>37840</v>
      </c>
      <c r="H472">
        <v>1</v>
      </c>
    </row>
    <row r="473" spans="1:8" x14ac:dyDescent="0.25">
      <c r="A473" s="1" t="s">
        <v>507</v>
      </c>
      <c r="B473" s="1" t="s">
        <v>27</v>
      </c>
      <c r="C473" s="1" t="s">
        <v>35</v>
      </c>
      <c r="D473" s="1" t="s">
        <v>3</v>
      </c>
      <c r="E473" s="2">
        <v>37495</v>
      </c>
      <c r="F473" s="1" t="s">
        <v>9</v>
      </c>
      <c r="G473" s="3">
        <v>60300</v>
      </c>
      <c r="H473">
        <v>2</v>
      </c>
    </row>
    <row r="474" spans="1:8" x14ac:dyDescent="0.25">
      <c r="A474" s="1" t="s">
        <v>508</v>
      </c>
      <c r="B474" s="1" t="s">
        <v>6</v>
      </c>
      <c r="C474" s="1" t="s">
        <v>75</v>
      </c>
      <c r="D474" s="1" t="s">
        <v>3</v>
      </c>
      <c r="E474" s="2">
        <v>40832</v>
      </c>
      <c r="F474" s="1" t="s">
        <v>11</v>
      </c>
      <c r="G474" s="3">
        <v>85920</v>
      </c>
      <c r="H474">
        <v>4</v>
      </c>
    </row>
    <row r="475" spans="1:8" x14ac:dyDescent="0.25">
      <c r="A475" s="1" t="s">
        <v>509</v>
      </c>
      <c r="B475" s="1" t="s">
        <v>51</v>
      </c>
      <c r="C475" s="1" t="s">
        <v>2</v>
      </c>
      <c r="D475" s="1" t="s">
        <v>3</v>
      </c>
      <c r="E475" s="2">
        <v>37793</v>
      </c>
      <c r="F475" s="1" t="s">
        <v>4</v>
      </c>
      <c r="G475" s="3">
        <v>29210</v>
      </c>
      <c r="H475">
        <v>5</v>
      </c>
    </row>
    <row r="476" spans="1:8" x14ac:dyDescent="0.25">
      <c r="A476" s="1" t="s">
        <v>510</v>
      </c>
      <c r="B476" s="1" t="s">
        <v>27</v>
      </c>
      <c r="C476" s="1" t="s">
        <v>2</v>
      </c>
      <c r="D476" s="1" t="s">
        <v>3</v>
      </c>
      <c r="E476" s="2">
        <v>40759</v>
      </c>
      <c r="F476" s="1" t="s">
        <v>4</v>
      </c>
      <c r="G476" s="3">
        <v>67920</v>
      </c>
      <c r="H476">
        <v>4</v>
      </c>
    </row>
    <row r="477" spans="1:8" x14ac:dyDescent="0.25">
      <c r="A477" s="1" t="s">
        <v>511</v>
      </c>
      <c r="B477" s="1" t="s">
        <v>29</v>
      </c>
      <c r="C477" s="1" t="s">
        <v>23</v>
      </c>
      <c r="D477" s="1" t="s">
        <v>3</v>
      </c>
      <c r="E477" s="2">
        <v>39678</v>
      </c>
      <c r="F477" s="1" t="s">
        <v>11</v>
      </c>
      <c r="G477" s="3">
        <v>80090</v>
      </c>
      <c r="H477">
        <v>2</v>
      </c>
    </row>
    <row r="478" spans="1:8" x14ac:dyDescent="0.25">
      <c r="A478" s="1" t="s">
        <v>512</v>
      </c>
      <c r="B478" s="1" t="s">
        <v>51</v>
      </c>
      <c r="C478" s="1" t="s">
        <v>35</v>
      </c>
      <c r="D478" s="1" t="s">
        <v>16</v>
      </c>
      <c r="E478" s="2">
        <v>40393</v>
      </c>
      <c r="G478" s="3">
        <v>41770</v>
      </c>
      <c r="H478">
        <v>5</v>
      </c>
    </row>
    <row r="479" spans="1:8" x14ac:dyDescent="0.25">
      <c r="A479" s="1" t="s">
        <v>513</v>
      </c>
      <c r="B479" s="1" t="s">
        <v>6</v>
      </c>
      <c r="C479" s="1" t="s">
        <v>18</v>
      </c>
      <c r="D479" s="1" t="s">
        <v>3</v>
      </c>
      <c r="E479" s="2">
        <v>39390</v>
      </c>
      <c r="F479" s="1" t="s">
        <v>21</v>
      </c>
      <c r="G479" s="3">
        <v>71490</v>
      </c>
      <c r="H479">
        <v>5</v>
      </c>
    </row>
    <row r="480" spans="1:8" x14ac:dyDescent="0.25">
      <c r="A480" s="1" t="s">
        <v>514</v>
      </c>
      <c r="B480" s="1" t="s">
        <v>6</v>
      </c>
      <c r="C480" s="1" t="s">
        <v>75</v>
      </c>
      <c r="D480" s="1" t="s">
        <v>24</v>
      </c>
      <c r="E480" s="2">
        <v>35842</v>
      </c>
      <c r="F480" s="1" t="s">
        <v>9</v>
      </c>
      <c r="G480" s="3">
        <v>23380</v>
      </c>
      <c r="H480">
        <v>4</v>
      </c>
    </row>
    <row r="481" spans="1:8" x14ac:dyDescent="0.25">
      <c r="A481" s="1" t="s">
        <v>515</v>
      </c>
      <c r="B481" s="1" t="s">
        <v>1</v>
      </c>
      <c r="C481" s="1" t="s">
        <v>30</v>
      </c>
      <c r="D481" s="1" t="s">
        <v>3</v>
      </c>
      <c r="E481" s="2">
        <v>40282</v>
      </c>
      <c r="F481" s="1" t="s">
        <v>9</v>
      </c>
      <c r="G481" s="3">
        <v>72640</v>
      </c>
      <c r="H481">
        <v>3</v>
      </c>
    </row>
    <row r="482" spans="1:8" x14ac:dyDescent="0.25">
      <c r="A482" s="1" t="s">
        <v>516</v>
      </c>
      <c r="B482" s="1" t="s">
        <v>13</v>
      </c>
      <c r="C482" s="1" t="s">
        <v>57</v>
      </c>
      <c r="D482" s="1" t="s">
        <v>3</v>
      </c>
      <c r="E482" s="2">
        <v>36569</v>
      </c>
      <c r="F482" s="1" t="s">
        <v>11</v>
      </c>
      <c r="G482" s="3">
        <v>75060</v>
      </c>
      <c r="H482">
        <v>5</v>
      </c>
    </row>
    <row r="483" spans="1:8" x14ac:dyDescent="0.25">
      <c r="A483" s="1" t="s">
        <v>517</v>
      </c>
      <c r="B483" s="1" t="s">
        <v>51</v>
      </c>
      <c r="C483" s="1" t="s">
        <v>35</v>
      </c>
      <c r="D483" s="1" t="s">
        <v>3</v>
      </c>
      <c r="E483" s="2">
        <v>39171</v>
      </c>
      <c r="F483" s="1" t="s">
        <v>21</v>
      </c>
      <c r="G483" s="3">
        <v>25690</v>
      </c>
      <c r="H483">
        <v>2</v>
      </c>
    </row>
    <row r="484" spans="1:8" x14ac:dyDescent="0.25">
      <c r="A484" s="1" t="s">
        <v>518</v>
      </c>
      <c r="B484" s="1" t="s">
        <v>6</v>
      </c>
      <c r="C484" s="1" t="s">
        <v>8</v>
      </c>
      <c r="D484" s="1" t="s">
        <v>3</v>
      </c>
      <c r="E484" s="2">
        <v>38892</v>
      </c>
      <c r="F484" s="1" t="s">
        <v>11</v>
      </c>
      <c r="G484" s="3">
        <v>56870</v>
      </c>
      <c r="H484">
        <v>1</v>
      </c>
    </row>
    <row r="485" spans="1:8" x14ac:dyDescent="0.25">
      <c r="A485" s="1" t="s">
        <v>519</v>
      </c>
      <c r="B485" s="1" t="s">
        <v>6</v>
      </c>
      <c r="C485" s="1" t="s">
        <v>73</v>
      </c>
      <c r="D485" s="1" t="s">
        <v>32</v>
      </c>
      <c r="E485" s="2">
        <v>38961</v>
      </c>
      <c r="G485" s="3">
        <v>20028</v>
      </c>
      <c r="H485">
        <v>4</v>
      </c>
    </row>
    <row r="486" spans="1:8" x14ac:dyDescent="0.25">
      <c r="A486" s="1" t="s">
        <v>520</v>
      </c>
      <c r="B486" s="1" t="s">
        <v>1</v>
      </c>
      <c r="C486" s="1" t="s">
        <v>75</v>
      </c>
      <c r="D486" s="1" t="s">
        <v>3</v>
      </c>
      <c r="E486" s="2">
        <v>37018</v>
      </c>
      <c r="F486" s="1" t="s">
        <v>11</v>
      </c>
      <c r="G486" s="3">
        <v>28650</v>
      </c>
      <c r="H486">
        <v>4</v>
      </c>
    </row>
    <row r="487" spans="1:8" x14ac:dyDescent="0.25">
      <c r="A487" s="1" t="s">
        <v>521</v>
      </c>
      <c r="B487" s="1" t="s">
        <v>13</v>
      </c>
      <c r="C487" s="1" t="s">
        <v>75</v>
      </c>
      <c r="D487" s="1" t="s">
        <v>24</v>
      </c>
      <c r="E487" s="2">
        <v>38804</v>
      </c>
      <c r="F487" s="1" t="s">
        <v>21</v>
      </c>
      <c r="G487" s="3">
        <v>48415</v>
      </c>
      <c r="H487">
        <v>4</v>
      </c>
    </row>
    <row r="488" spans="1:8" x14ac:dyDescent="0.25">
      <c r="A488" s="1" t="s">
        <v>522</v>
      </c>
      <c r="B488" s="1" t="s">
        <v>1</v>
      </c>
      <c r="C488" s="1" t="s">
        <v>20</v>
      </c>
      <c r="D488" s="1" t="s">
        <v>32</v>
      </c>
      <c r="E488" s="2">
        <v>39758</v>
      </c>
      <c r="G488" s="3">
        <v>14712</v>
      </c>
      <c r="H488">
        <v>5</v>
      </c>
    </row>
    <row r="489" spans="1:8" x14ac:dyDescent="0.25">
      <c r="A489" s="1" t="s">
        <v>523</v>
      </c>
      <c r="B489" s="1" t="s">
        <v>51</v>
      </c>
      <c r="C489" s="1" t="s">
        <v>8</v>
      </c>
      <c r="D489" s="1" t="s">
        <v>3</v>
      </c>
      <c r="E489" s="2">
        <v>39654</v>
      </c>
      <c r="F489" s="1" t="s">
        <v>9</v>
      </c>
      <c r="G489" s="3">
        <v>32360</v>
      </c>
      <c r="H489">
        <v>4</v>
      </c>
    </row>
    <row r="490" spans="1:8" x14ac:dyDescent="0.25">
      <c r="A490" s="1" t="s">
        <v>524</v>
      </c>
      <c r="B490" s="1" t="s">
        <v>1</v>
      </c>
      <c r="C490" s="1" t="s">
        <v>37</v>
      </c>
      <c r="D490" s="1" t="s">
        <v>16</v>
      </c>
      <c r="E490" s="2">
        <v>38734</v>
      </c>
      <c r="G490" s="3">
        <v>54190</v>
      </c>
      <c r="H490">
        <v>4</v>
      </c>
    </row>
    <row r="491" spans="1:8" x14ac:dyDescent="0.25">
      <c r="A491" s="1" t="s">
        <v>525</v>
      </c>
      <c r="B491" s="1" t="s">
        <v>13</v>
      </c>
      <c r="C491" s="1" t="s">
        <v>75</v>
      </c>
      <c r="D491" s="1" t="s">
        <v>3</v>
      </c>
      <c r="E491" s="2">
        <v>40653</v>
      </c>
      <c r="F491" s="1" t="s">
        <v>9</v>
      </c>
      <c r="G491" s="3">
        <v>49810</v>
      </c>
      <c r="H491">
        <v>2</v>
      </c>
    </row>
    <row r="492" spans="1:8" x14ac:dyDescent="0.25">
      <c r="A492" s="1" t="s">
        <v>526</v>
      </c>
      <c r="B492" s="1" t="s">
        <v>6</v>
      </c>
      <c r="C492" s="1" t="s">
        <v>138</v>
      </c>
      <c r="D492" s="1" t="s">
        <v>3</v>
      </c>
      <c r="E492" s="2">
        <v>38736</v>
      </c>
      <c r="F492" s="1" t="s">
        <v>11</v>
      </c>
      <c r="G492" s="3">
        <v>22920</v>
      </c>
      <c r="H492">
        <v>3</v>
      </c>
    </row>
    <row r="493" spans="1:8" x14ac:dyDescent="0.25">
      <c r="A493" s="1" t="s">
        <v>527</v>
      </c>
      <c r="B493" s="1" t="s">
        <v>1</v>
      </c>
      <c r="C493" s="1" t="s">
        <v>8</v>
      </c>
      <c r="D493" s="1" t="s">
        <v>3</v>
      </c>
      <c r="E493" s="2">
        <v>38753</v>
      </c>
      <c r="F493" s="1" t="s">
        <v>4</v>
      </c>
      <c r="G493" s="3">
        <v>22410</v>
      </c>
      <c r="H493">
        <v>4</v>
      </c>
    </row>
    <row r="494" spans="1:8" x14ac:dyDescent="0.25">
      <c r="A494" s="1" t="s">
        <v>528</v>
      </c>
      <c r="B494" s="1" t="s">
        <v>1</v>
      </c>
      <c r="C494" s="1" t="s">
        <v>2</v>
      </c>
      <c r="D494" s="1" t="s">
        <v>16</v>
      </c>
      <c r="E494" s="2">
        <v>41219</v>
      </c>
      <c r="G494" s="3">
        <v>55690</v>
      </c>
      <c r="H494">
        <v>2</v>
      </c>
    </row>
    <row r="495" spans="1:8" x14ac:dyDescent="0.25">
      <c r="A495" s="1" t="s">
        <v>529</v>
      </c>
      <c r="B495" s="1" t="s">
        <v>27</v>
      </c>
      <c r="C495" s="1" t="s">
        <v>106</v>
      </c>
      <c r="D495" s="1" t="s">
        <v>24</v>
      </c>
      <c r="E495" s="2">
        <v>36217</v>
      </c>
      <c r="F495" s="1" t="s">
        <v>4</v>
      </c>
      <c r="G495" s="3">
        <v>15240</v>
      </c>
      <c r="H495">
        <v>1</v>
      </c>
    </row>
    <row r="496" spans="1:8" x14ac:dyDescent="0.25">
      <c r="A496" s="1" t="s">
        <v>530</v>
      </c>
      <c r="B496" s="1" t="s">
        <v>6</v>
      </c>
      <c r="C496" s="1" t="s">
        <v>8</v>
      </c>
      <c r="D496" s="1" t="s">
        <v>3</v>
      </c>
      <c r="E496" s="2">
        <v>39692</v>
      </c>
      <c r="F496" s="1" t="s">
        <v>21</v>
      </c>
      <c r="G496" s="3">
        <v>35360</v>
      </c>
      <c r="H496">
        <v>5</v>
      </c>
    </row>
    <row r="497" spans="1:8" x14ac:dyDescent="0.25">
      <c r="A497" s="1" t="s">
        <v>531</v>
      </c>
      <c r="B497" s="1" t="s">
        <v>1</v>
      </c>
      <c r="C497" s="1" t="s">
        <v>102</v>
      </c>
      <c r="D497" s="1" t="s">
        <v>16</v>
      </c>
      <c r="E497" s="2">
        <v>39116</v>
      </c>
      <c r="G497" s="3">
        <v>60760</v>
      </c>
      <c r="H497">
        <v>2</v>
      </c>
    </row>
    <row r="498" spans="1:8" x14ac:dyDescent="0.25">
      <c r="A498" s="1" t="s">
        <v>532</v>
      </c>
      <c r="B498" s="1" t="s">
        <v>1</v>
      </c>
      <c r="C498" s="1" t="s">
        <v>23</v>
      </c>
      <c r="D498" s="1" t="s">
        <v>3</v>
      </c>
      <c r="E498" s="2">
        <v>41183</v>
      </c>
      <c r="F498" s="1" t="s">
        <v>9</v>
      </c>
      <c r="G498" s="3">
        <v>75370</v>
      </c>
      <c r="H498">
        <v>2</v>
      </c>
    </row>
    <row r="499" spans="1:8" x14ac:dyDescent="0.25">
      <c r="A499" s="1" t="s">
        <v>533</v>
      </c>
      <c r="B499" s="1" t="s">
        <v>13</v>
      </c>
      <c r="C499" s="1" t="s">
        <v>18</v>
      </c>
      <c r="D499" s="1" t="s">
        <v>16</v>
      </c>
      <c r="E499" s="2">
        <v>39166</v>
      </c>
      <c r="G499" s="3">
        <v>79220</v>
      </c>
      <c r="H499">
        <v>4</v>
      </c>
    </row>
    <row r="500" spans="1:8" x14ac:dyDescent="0.25">
      <c r="A500" s="1" t="s">
        <v>534</v>
      </c>
      <c r="B500" s="1" t="s">
        <v>27</v>
      </c>
      <c r="C500" s="1" t="s">
        <v>23</v>
      </c>
      <c r="D500" s="1" t="s">
        <v>24</v>
      </c>
      <c r="E500" s="2">
        <v>39731</v>
      </c>
      <c r="F500" s="1" t="s">
        <v>4</v>
      </c>
      <c r="G500" s="3">
        <v>13435</v>
      </c>
      <c r="H500">
        <v>1</v>
      </c>
    </row>
    <row r="501" spans="1:8" x14ac:dyDescent="0.25">
      <c r="A501" s="1" t="s">
        <v>535</v>
      </c>
      <c r="B501" s="1" t="s">
        <v>51</v>
      </c>
      <c r="C501" s="1" t="s">
        <v>35</v>
      </c>
      <c r="D501" s="1" t="s">
        <v>16</v>
      </c>
      <c r="E501" s="2">
        <v>40718</v>
      </c>
      <c r="G501" s="3">
        <v>26020</v>
      </c>
      <c r="H501">
        <v>5</v>
      </c>
    </row>
    <row r="502" spans="1:8" x14ac:dyDescent="0.25">
      <c r="A502" s="1" t="s">
        <v>536</v>
      </c>
      <c r="B502" s="1" t="s">
        <v>13</v>
      </c>
      <c r="C502" s="1" t="s">
        <v>35</v>
      </c>
      <c r="D502" s="1" t="s">
        <v>24</v>
      </c>
      <c r="E502" s="2">
        <v>39343</v>
      </c>
      <c r="F502" s="1" t="s">
        <v>9</v>
      </c>
      <c r="G502" s="3">
        <v>23000</v>
      </c>
      <c r="H502">
        <v>4</v>
      </c>
    </row>
    <row r="503" spans="1:8" x14ac:dyDescent="0.25">
      <c r="A503" s="1" t="s">
        <v>537</v>
      </c>
      <c r="B503" s="1" t="s">
        <v>6</v>
      </c>
      <c r="C503" s="1" t="s">
        <v>18</v>
      </c>
      <c r="D503" s="1" t="s">
        <v>3</v>
      </c>
      <c r="E503" s="2">
        <v>38876</v>
      </c>
      <c r="F503" s="1" t="s">
        <v>4</v>
      </c>
      <c r="G503" s="3">
        <v>60280</v>
      </c>
      <c r="H503">
        <v>1</v>
      </c>
    </row>
    <row r="504" spans="1:8" x14ac:dyDescent="0.25">
      <c r="A504" s="1" t="s">
        <v>538</v>
      </c>
      <c r="B504" s="1" t="s">
        <v>6</v>
      </c>
      <c r="C504" s="1" t="s">
        <v>37</v>
      </c>
      <c r="D504" s="1" t="s">
        <v>24</v>
      </c>
      <c r="E504" s="2">
        <v>35961</v>
      </c>
      <c r="F504" s="1" t="s">
        <v>4</v>
      </c>
      <c r="G504" s="3">
        <v>20500</v>
      </c>
      <c r="H504">
        <v>3</v>
      </c>
    </row>
    <row r="505" spans="1:8" x14ac:dyDescent="0.25">
      <c r="A505" s="1" t="s">
        <v>539</v>
      </c>
      <c r="B505" s="1" t="s">
        <v>1</v>
      </c>
      <c r="C505" s="1" t="s">
        <v>2</v>
      </c>
      <c r="D505" s="1" t="s">
        <v>3</v>
      </c>
      <c r="E505" s="2">
        <v>41016</v>
      </c>
      <c r="F505" s="1" t="s">
        <v>4</v>
      </c>
      <c r="G505" s="3">
        <v>68470</v>
      </c>
      <c r="H505">
        <v>4</v>
      </c>
    </row>
    <row r="506" spans="1:8" x14ac:dyDescent="0.25">
      <c r="A506" s="1" t="s">
        <v>540</v>
      </c>
      <c r="B506" s="1" t="s">
        <v>6</v>
      </c>
      <c r="C506" s="1" t="s">
        <v>23</v>
      </c>
      <c r="D506" s="1" t="s">
        <v>16</v>
      </c>
      <c r="E506" s="2">
        <v>36623</v>
      </c>
      <c r="G506" s="3">
        <v>30300</v>
      </c>
      <c r="H506">
        <v>1</v>
      </c>
    </row>
    <row r="507" spans="1:8" x14ac:dyDescent="0.25">
      <c r="A507" s="1" t="s">
        <v>541</v>
      </c>
      <c r="B507" s="1" t="s">
        <v>6</v>
      </c>
      <c r="C507" s="1" t="s">
        <v>166</v>
      </c>
      <c r="D507" s="1" t="s">
        <v>16</v>
      </c>
      <c r="E507" s="2">
        <v>39529</v>
      </c>
      <c r="G507" s="3">
        <v>35620</v>
      </c>
      <c r="H507">
        <v>4</v>
      </c>
    </row>
    <row r="508" spans="1:8" x14ac:dyDescent="0.25">
      <c r="A508" s="1" t="s">
        <v>542</v>
      </c>
      <c r="B508" s="1" t="s">
        <v>6</v>
      </c>
      <c r="C508" s="1" t="s">
        <v>8</v>
      </c>
      <c r="D508" s="1" t="s">
        <v>16</v>
      </c>
      <c r="E508" s="2">
        <v>41254</v>
      </c>
      <c r="G508" s="3">
        <v>81070</v>
      </c>
      <c r="H508">
        <v>5</v>
      </c>
    </row>
    <row r="509" spans="1:8" x14ac:dyDescent="0.25">
      <c r="A509" s="1" t="s">
        <v>543</v>
      </c>
      <c r="B509" s="1" t="s">
        <v>13</v>
      </c>
      <c r="C509" s="1" t="s">
        <v>197</v>
      </c>
      <c r="D509" s="1" t="s">
        <v>3</v>
      </c>
      <c r="E509" s="2">
        <v>36171</v>
      </c>
      <c r="F509" s="1" t="s">
        <v>4</v>
      </c>
      <c r="G509" s="3">
        <v>54550</v>
      </c>
      <c r="H509">
        <v>1</v>
      </c>
    </row>
    <row r="510" spans="1:8" x14ac:dyDescent="0.25">
      <c r="A510" s="1" t="s">
        <v>544</v>
      </c>
      <c r="B510" s="1" t="s">
        <v>51</v>
      </c>
      <c r="C510" s="1" t="s">
        <v>35</v>
      </c>
      <c r="D510" s="1" t="s">
        <v>3</v>
      </c>
      <c r="E510" s="2">
        <v>36243</v>
      </c>
      <c r="F510" s="1" t="s">
        <v>9</v>
      </c>
      <c r="G510" s="3">
        <v>77680</v>
      </c>
      <c r="H510">
        <v>3</v>
      </c>
    </row>
    <row r="511" spans="1:8" x14ac:dyDescent="0.25">
      <c r="A511" s="1" t="s">
        <v>545</v>
      </c>
      <c r="B511" s="1" t="s">
        <v>1</v>
      </c>
      <c r="C511" s="1" t="s">
        <v>20</v>
      </c>
      <c r="D511" s="1" t="s">
        <v>32</v>
      </c>
      <c r="E511" s="2">
        <v>38960</v>
      </c>
      <c r="G511" s="3">
        <v>12676</v>
      </c>
      <c r="H511">
        <v>2</v>
      </c>
    </row>
    <row r="512" spans="1:8" x14ac:dyDescent="0.25">
      <c r="A512" s="1" t="s">
        <v>546</v>
      </c>
      <c r="B512" s="1" t="s">
        <v>51</v>
      </c>
      <c r="C512" s="1" t="s">
        <v>18</v>
      </c>
      <c r="D512" s="1" t="s">
        <v>16</v>
      </c>
      <c r="E512" s="2">
        <v>36011</v>
      </c>
      <c r="G512" s="3">
        <v>45050</v>
      </c>
      <c r="H512">
        <v>1</v>
      </c>
    </row>
    <row r="513" spans="1:8" x14ac:dyDescent="0.25">
      <c r="A513" s="1" t="s">
        <v>547</v>
      </c>
      <c r="B513" s="1" t="s">
        <v>27</v>
      </c>
      <c r="C513" s="1" t="s">
        <v>35</v>
      </c>
      <c r="D513" s="1" t="s">
        <v>24</v>
      </c>
      <c r="E513" s="2">
        <v>36365</v>
      </c>
      <c r="F513" s="1" t="s">
        <v>21</v>
      </c>
      <c r="G513" s="3">
        <v>19825</v>
      </c>
      <c r="H513">
        <v>2</v>
      </c>
    </row>
    <row r="514" spans="1:8" x14ac:dyDescent="0.25">
      <c r="A514" s="1" t="s">
        <v>548</v>
      </c>
      <c r="B514" s="1" t="s">
        <v>6</v>
      </c>
      <c r="C514" s="1" t="s">
        <v>18</v>
      </c>
      <c r="D514" s="1" t="s">
        <v>3</v>
      </c>
      <c r="E514" s="2">
        <v>36101</v>
      </c>
      <c r="F514" s="1" t="s">
        <v>4</v>
      </c>
      <c r="G514" s="3">
        <v>88240</v>
      </c>
      <c r="H514">
        <v>5</v>
      </c>
    </row>
    <row r="515" spans="1:8" x14ac:dyDescent="0.25">
      <c r="A515" s="1" t="s">
        <v>549</v>
      </c>
      <c r="B515" s="1" t="s">
        <v>1</v>
      </c>
      <c r="C515" s="1" t="s">
        <v>63</v>
      </c>
      <c r="D515" s="1" t="s">
        <v>24</v>
      </c>
      <c r="E515" s="2">
        <v>40654</v>
      </c>
      <c r="F515" s="1" t="s">
        <v>9</v>
      </c>
      <c r="G515" s="3">
        <v>16015</v>
      </c>
      <c r="H515">
        <v>3</v>
      </c>
    </row>
    <row r="516" spans="1:8" x14ac:dyDescent="0.25">
      <c r="A516" s="1" t="s">
        <v>550</v>
      </c>
      <c r="B516" s="1" t="s">
        <v>6</v>
      </c>
      <c r="C516" s="1" t="s">
        <v>18</v>
      </c>
      <c r="D516" s="1" t="s">
        <v>3</v>
      </c>
      <c r="E516" s="2">
        <v>36535</v>
      </c>
      <c r="F516" s="1" t="s">
        <v>4</v>
      </c>
      <c r="G516" s="3">
        <v>76192</v>
      </c>
      <c r="H516">
        <v>4</v>
      </c>
    </row>
    <row r="517" spans="1:8" x14ac:dyDescent="0.25">
      <c r="A517" s="1" t="s">
        <v>551</v>
      </c>
      <c r="B517" s="1" t="s">
        <v>6</v>
      </c>
      <c r="C517" s="1" t="s">
        <v>18</v>
      </c>
      <c r="D517" s="1" t="s">
        <v>16</v>
      </c>
      <c r="E517" s="2">
        <v>40492</v>
      </c>
      <c r="G517" s="3">
        <v>66010</v>
      </c>
      <c r="H517">
        <v>2</v>
      </c>
    </row>
    <row r="518" spans="1:8" x14ac:dyDescent="0.25">
      <c r="A518" s="1" t="s">
        <v>552</v>
      </c>
      <c r="B518" s="1" t="s">
        <v>6</v>
      </c>
      <c r="C518" s="1" t="s">
        <v>46</v>
      </c>
      <c r="D518" s="1" t="s">
        <v>16</v>
      </c>
      <c r="E518" s="2">
        <v>40719</v>
      </c>
      <c r="G518" s="3">
        <v>66132</v>
      </c>
      <c r="H518">
        <v>4</v>
      </c>
    </row>
    <row r="519" spans="1:8" x14ac:dyDescent="0.25">
      <c r="A519" s="1" t="s">
        <v>553</v>
      </c>
      <c r="B519" s="1" t="s">
        <v>13</v>
      </c>
      <c r="C519" s="1" t="s">
        <v>59</v>
      </c>
      <c r="D519" s="1" t="s">
        <v>3</v>
      </c>
      <c r="E519" s="2">
        <v>35856</v>
      </c>
      <c r="F519" s="1" t="s">
        <v>9</v>
      </c>
      <c r="G519" s="3">
        <v>86830</v>
      </c>
      <c r="H519">
        <v>3</v>
      </c>
    </row>
    <row r="520" spans="1:8" x14ac:dyDescent="0.25">
      <c r="A520" s="1" t="s">
        <v>554</v>
      </c>
      <c r="B520" s="1" t="s">
        <v>13</v>
      </c>
      <c r="C520" s="1" t="s">
        <v>2</v>
      </c>
      <c r="D520" s="1" t="s">
        <v>3</v>
      </c>
      <c r="E520" s="2">
        <v>38237</v>
      </c>
      <c r="F520" s="1" t="s">
        <v>11</v>
      </c>
      <c r="G520" s="3">
        <v>31910</v>
      </c>
      <c r="H520">
        <v>5</v>
      </c>
    </row>
    <row r="521" spans="1:8" x14ac:dyDescent="0.25">
      <c r="A521" s="1" t="s">
        <v>555</v>
      </c>
      <c r="B521" s="1" t="s">
        <v>1</v>
      </c>
      <c r="C521" s="1" t="s">
        <v>18</v>
      </c>
      <c r="D521" s="1" t="s">
        <v>24</v>
      </c>
      <c r="E521" s="2">
        <v>36422</v>
      </c>
      <c r="F521" s="1" t="s">
        <v>11</v>
      </c>
      <c r="G521" s="3">
        <v>17270</v>
      </c>
      <c r="H521">
        <v>5</v>
      </c>
    </row>
    <row r="522" spans="1:8" x14ac:dyDescent="0.25">
      <c r="A522" s="1" t="s">
        <v>556</v>
      </c>
      <c r="B522" s="1" t="s">
        <v>29</v>
      </c>
      <c r="C522" s="1" t="s">
        <v>18</v>
      </c>
      <c r="D522" s="1" t="s">
        <v>16</v>
      </c>
      <c r="E522" s="2">
        <v>36350</v>
      </c>
      <c r="G522" s="3">
        <v>27380</v>
      </c>
      <c r="H522">
        <v>3</v>
      </c>
    </row>
    <row r="523" spans="1:8" x14ac:dyDescent="0.25">
      <c r="A523" s="1" t="s">
        <v>557</v>
      </c>
      <c r="B523" s="1" t="s">
        <v>51</v>
      </c>
      <c r="C523" s="1" t="s">
        <v>18</v>
      </c>
      <c r="D523" s="1" t="s">
        <v>32</v>
      </c>
      <c r="E523" s="2">
        <v>36067</v>
      </c>
      <c r="G523" s="3">
        <v>37612</v>
      </c>
      <c r="H523">
        <v>4</v>
      </c>
    </row>
    <row r="524" spans="1:8" x14ac:dyDescent="0.25">
      <c r="A524" s="1" t="s">
        <v>558</v>
      </c>
      <c r="B524" s="1" t="s">
        <v>27</v>
      </c>
      <c r="C524" s="1" t="s">
        <v>35</v>
      </c>
      <c r="D524" s="1" t="s">
        <v>3</v>
      </c>
      <c r="E524" s="2">
        <v>37009</v>
      </c>
      <c r="F524" s="1" t="s">
        <v>11</v>
      </c>
      <c r="G524" s="3">
        <v>78710</v>
      </c>
      <c r="H524">
        <v>2</v>
      </c>
    </row>
    <row r="525" spans="1:8" x14ac:dyDescent="0.25">
      <c r="A525" s="1" t="s">
        <v>559</v>
      </c>
      <c r="B525" s="1" t="s">
        <v>6</v>
      </c>
      <c r="C525" s="1" t="s">
        <v>18</v>
      </c>
      <c r="D525" s="1" t="s">
        <v>16</v>
      </c>
      <c r="E525" s="2">
        <v>39545</v>
      </c>
      <c r="G525" s="3">
        <v>84170</v>
      </c>
      <c r="H525">
        <v>2</v>
      </c>
    </row>
    <row r="526" spans="1:8" x14ac:dyDescent="0.25">
      <c r="A526" s="1" t="s">
        <v>560</v>
      </c>
      <c r="B526" s="1" t="s">
        <v>13</v>
      </c>
      <c r="C526" s="1" t="s">
        <v>20</v>
      </c>
      <c r="D526" s="1" t="s">
        <v>3</v>
      </c>
      <c r="E526" s="2">
        <v>40752</v>
      </c>
      <c r="F526" s="1" t="s">
        <v>11</v>
      </c>
      <c r="G526" s="3">
        <v>37620</v>
      </c>
      <c r="H526">
        <v>5</v>
      </c>
    </row>
    <row r="527" spans="1:8" x14ac:dyDescent="0.25">
      <c r="A527" s="1" t="s">
        <v>561</v>
      </c>
      <c r="B527" s="1" t="s">
        <v>13</v>
      </c>
      <c r="C527" s="1" t="s">
        <v>75</v>
      </c>
      <c r="D527" s="1" t="s">
        <v>16</v>
      </c>
      <c r="E527" s="2">
        <v>36087</v>
      </c>
      <c r="G527" s="3">
        <v>76930</v>
      </c>
      <c r="H527">
        <v>1</v>
      </c>
    </row>
    <row r="528" spans="1:8" x14ac:dyDescent="0.25">
      <c r="A528" s="1" t="s">
        <v>562</v>
      </c>
      <c r="B528" s="1" t="s">
        <v>6</v>
      </c>
      <c r="C528" s="1" t="s">
        <v>18</v>
      </c>
      <c r="D528" s="1" t="s">
        <v>3</v>
      </c>
      <c r="E528" s="2">
        <v>40469</v>
      </c>
      <c r="F528" s="1" t="s">
        <v>25</v>
      </c>
      <c r="G528" s="3">
        <v>45480</v>
      </c>
      <c r="H528">
        <v>4</v>
      </c>
    </row>
    <row r="529" spans="1:8" x14ac:dyDescent="0.25">
      <c r="A529" s="1" t="s">
        <v>563</v>
      </c>
      <c r="B529" s="1" t="s">
        <v>51</v>
      </c>
      <c r="C529" s="1" t="s">
        <v>18</v>
      </c>
      <c r="D529" s="1" t="s">
        <v>3</v>
      </c>
      <c r="E529" s="2">
        <v>39972</v>
      </c>
      <c r="F529" s="1" t="s">
        <v>4</v>
      </c>
      <c r="G529" s="3">
        <v>78170</v>
      </c>
      <c r="H529">
        <v>5</v>
      </c>
    </row>
    <row r="530" spans="1:8" x14ac:dyDescent="0.25">
      <c r="A530" s="1" t="s">
        <v>564</v>
      </c>
      <c r="B530" s="1" t="s">
        <v>6</v>
      </c>
      <c r="C530" s="1" t="s">
        <v>23</v>
      </c>
      <c r="D530" s="1" t="s">
        <v>3</v>
      </c>
      <c r="E530" s="2">
        <v>41186</v>
      </c>
      <c r="F530" s="1" t="s">
        <v>9</v>
      </c>
      <c r="G530" s="3">
        <v>46910</v>
      </c>
      <c r="H530">
        <v>3</v>
      </c>
    </row>
    <row r="531" spans="1:8" x14ac:dyDescent="0.25">
      <c r="A531" s="1" t="s">
        <v>565</v>
      </c>
      <c r="B531" s="1" t="s">
        <v>51</v>
      </c>
      <c r="C531" s="1" t="s">
        <v>73</v>
      </c>
      <c r="D531" s="1" t="s">
        <v>16</v>
      </c>
      <c r="E531" s="2">
        <v>40508</v>
      </c>
      <c r="G531" s="3">
        <v>58130</v>
      </c>
      <c r="H531">
        <v>2</v>
      </c>
    </row>
    <row r="532" spans="1:8" x14ac:dyDescent="0.25">
      <c r="A532" s="1" t="s">
        <v>566</v>
      </c>
      <c r="B532" s="1" t="s">
        <v>51</v>
      </c>
      <c r="C532" s="1" t="s">
        <v>106</v>
      </c>
      <c r="D532" s="1" t="s">
        <v>3</v>
      </c>
      <c r="E532" s="2">
        <v>39029</v>
      </c>
      <c r="F532" s="1" t="s">
        <v>11</v>
      </c>
      <c r="G532" s="3">
        <v>85300</v>
      </c>
      <c r="H532">
        <v>2</v>
      </c>
    </row>
    <row r="533" spans="1:8" x14ac:dyDescent="0.25">
      <c r="A533" s="1" t="s">
        <v>567</v>
      </c>
      <c r="B533" s="1" t="s">
        <v>6</v>
      </c>
      <c r="C533" s="1" t="s">
        <v>18</v>
      </c>
      <c r="D533" s="1" t="s">
        <v>16</v>
      </c>
      <c r="E533" s="2">
        <v>39092</v>
      </c>
      <c r="G533" s="3">
        <v>73990</v>
      </c>
      <c r="H533">
        <v>3</v>
      </c>
    </row>
    <row r="534" spans="1:8" x14ac:dyDescent="0.25">
      <c r="A534" s="1" t="s">
        <v>568</v>
      </c>
      <c r="B534" s="1" t="s">
        <v>51</v>
      </c>
      <c r="C534" s="1" t="s">
        <v>18</v>
      </c>
      <c r="D534" s="1" t="s">
        <v>16</v>
      </c>
      <c r="E534" s="2">
        <v>36283</v>
      </c>
      <c r="G534" s="3">
        <v>25130</v>
      </c>
      <c r="H534">
        <v>5</v>
      </c>
    </row>
    <row r="535" spans="1:8" x14ac:dyDescent="0.25">
      <c r="A535" s="1" t="s">
        <v>569</v>
      </c>
      <c r="B535" s="1" t="s">
        <v>27</v>
      </c>
      <c r="C535" s="1" t="s">
        <v>75</v>
      </c>
      <c r="D535" s="1" t="s">
        <v>16</v>
      </c>
      <c r="E535" s="2">
        <v>40983</v>
      </c>
      <c r="G535" s="3">
        <v>64460</v>
      </c>
      <c r="H535">
        <v>1</v>
      </c>
    </row>
    <row r="536" spans="1:8" x14ac:dyDescent="0.25">
      <c r="A536" s="1" t="s">
        <v>570</v>
      </c>
      <c r="B536" s="1" t="s">
        <v>1</v>
      </c>
      <c r="C536" s="1" t="s">
        <v>75</v>
      </c>
      <c r="D536" s="1" t="s">
        <v>3</v>
      </c>
      <c r="E536" s="2">
        <v>41200</v>
      </c>
      <c r="F536" s="1" t="s">
        <v>11</v>
      </c>
      <c r="G536" s="3">
        <v>71670</v>
      </c>
      <c r="H536">
        <v>4</v>
      </c>
    </row>
    <row r="537" spans="1:8" x14ac:dyDescent="0.25">
      <c r="A537" s="1" t="s">
        <v>571</v>
      </c>
      <c r="B537" s="1" t="s">
        <v>6</v>
      </c>
      <c r="C537" s="1" t="s">
        <v>37</v>
      </c>
      <c r="D537" s="1" t="s">
        <v>32</v>
      </c>
      <c r="E537" s="2">
        <v>36084</v>
      </c>
      <c r="G537" s="3">
        <v>21668</v>
      </c>
      <c r="H537">
        <v>4</v>
      </c>
    </row>
    <row r="538" spans="1:8" x14ac:dyDescent="0.25">
      <c r="A538" s="1" t="s">
        <v>572</v>
      </c>
      <c r="B538" s="1" t="s">
        <v>6</v>
      </c>
      <c r="C538" s="1" t="s">
        <v>75</v>
      </c>
      <c r="D538" s="1" t="s">
        <v>3</v>
      </c>
      <c r="E538" s="2">
        <v>40085</v>
      </c>
      <c r="F538" s="1" t="s">
        <v>4</v>
      </c>
      <c r="G538" s="3">
        <v>41490</v>
      </c>
      <c r="H538">
        <v>5</v>
      </c>
    </row>
    <row r="539" spans="1:8" x14ac:dyDescent="0.25">
      <c r="A539" s="1" t="s">
        <v>573</v>
      </c>
      <c r="B539" s="1" t="s">
        <v>27</v>
      </c>
      <c r="C539" s="1" t="s">
        <v>73</v>
      </c>
      <c r="D539" s="1" t="s">
        <v>3</v>
      </c>
      <c r="E539" s="2">
        <v>38051</v>
      </c>
      <c r="F539" s="1" t="s">
        <v>4</v>
      </c>
      <c r="G539" s="3">
        <v>30350</v>
      </c>
      <c r="H539">
        <v>1</v>
      </c>
    </row>
    <row r="540" spans="1:8" x14ac:dyDescent="0.25">
      <c r="A540" s="1" t="s">
        <v>574</v>
      </c>
      <c r="B540" s="1" t="s">
        <v>1</v>
      </c>
      <c r="C540" s="1" t="s">
        <v>18</v>
      </c>
      <c r="D540" s="1" t="s">
        <v>24</v>
      </c>
      <c r="E540" s="2">
        <v>40302</v>
      </c>
      <c r="F540" s="1" t="s">
        <v>4</v>
      </c>
      <c r="G540" s="3">
        <v>46285</v>
      </c>
      <c r="H540">
        <v>5</v>
      </c>
    </row>
    <row r="541" spans="1:8" x14ac:dyDescent="0.25">
      <c r="A541" s="1" t="s">
        <v>575</v>
      </c>
      <c r="B541" s="1" t="s">
        <v>1</v>
      </c>
      <c r="C541" s="1" t="s">
        <v>75</v>
      </c>
      <c r="D541" s="1" t="s">
        <v>3</v>
      </c>
      <c r="E541" s="2">
        <v>35829</v>
      </c>
      <c r="F541" s="1" t="s">
        <v>4</v>
      </c>
      <c r="G541" s="3">
        <v>61030</v>
      </c>
      <c r="H541">
        <v>3</v>
      </c>
    </row>
    <row r="542" spans="1:8" x14ac:dyDescent="0.25">
      <c r="A542" s="1" t="s">
        <v>576</v>
      </c>
      <c r="B542" s="1" t="s">
        <v>1</v>
      </c>
      <c r="C542" s="1" t="s">
        <v>106</v>
      </c>
      <c r="D542" s="1" t="s">
        <v>3</v>
      </c>
      <c r="E542" s="2">
        <v>38751</v>
      </c>
      <c r="F542" s="1" t="s">
        <v>4</v>
      </c>
      <c r="G542" s="3">
        <v>60830</v>
      </c>
      <c r="H542">
        <v>2</v>
      </c>
    </row>
    <row r="543" spans="1:8" x14ac:dyDescent="0.25">
      <c r="A543" s="1" t="s">
        <v>577</v>
      </c>
      <c r="B543" s="1" t="s">
        <v>6</v>
      </c>
      <c r="C543" s="1" t="s">
        <v>30</v>
      </c>
      <c r="D543" s="1" t="s">
        <v>3</v>
      </c>
      <c r="E543" s="2">
        <v>35990</v>
      </c>
      <c r="F543" s="1" t="s">
        <v>9</v>
      </c>
      <c r="G543" s="3">
        <v>36890</v>
      </c>
      <c r="H543">
        <v>1</v>
      </c>
    </row>
    <row r="544" spans="1:8" x14ac:dyDescent="0.25">
      <c r="A544" s="1" t="s">
        <v>578</v>
      </c>
      <c r="B544" s="1" t="s">
        <v>13</v>
      </c>
      <c r="C544" s="1" t="s">
        <v>18</v>
      </c>
      <c r="D544" s="1" t="s">
        <v>3</v>
      </c>
      <c r="E544" s="2">
        <v>39001</v>
      </c>
      <c r="F544" s="1" t="s">
        <v>25</v>
      </c>
      <c r="G544" s="3">
        <v>70020</v>
      </c>
      <c r="H544">
        <v>3</v>
      </c>
    </row>
    <row r="545" spans="1:8" x14ac:dyDescent="0.25">
      <c r="A545" s="1" t="s">
        <v>579</v>
      </c>
      <c r="B545" s="1" t="s">
        <v>13</v>
      </c>
      <c r="C545" s="1" t="s">
        <v>59</v>
      </c>
      <c r="D545" s="1" t="s">
        <v>3</v>
      </c>
      <c r="E545" s="2">
        <v>41007</v>
      </c>
      <c r="F545" s="1" t="s">
        <v>4</v>
      </c>
      <c r="G545" s="3">
        <v>37020</v>
      </c>
      <c r="H545">
        <v>2</v>
      </c>
    </row>
    <row r="546" spans="1:8" x14ac:dyDescent="0.25">
      <c r="A546" s="1" t="s">
        <v>580</v>
      </c>
      <c r="B546" s="1" t="s">
        <v>6</v>
      </c>
      <c r="C546" s="1" t="s">
        <v>75</v>
      </c>
      <c r="D546" s="1" t="s">
        <v>16</v>
      </c>
      <c r="E546" s="2">
        <v>38792</v>
      </c>
      <c r="G546" s="3">
        <v>74740</v>
      </c>
      <c r="H546">
        <v>5</v>
      </c>
    </row>
    <row r="547" spans="1:8" x14ac:dyDescent="0.25">
      <c r="A547" s="1" t="s">
        <v>581</v>
      </c>
      <c r="B547" s="1" t="s">
        <v>51</v>
      </c>
      <c r="C547" s="1" t="s">
        <v>2</v>
      </c>
      <c r="D547" s="1" t="s">
        <v>24</v>
      </c>
      <c r="E547" s="2">
        <v>35842</v>
      </c>
      <c r="F547" s="1" t="s">
        <v>21</v>
      </c>
      <c r="G547" s="3">
        <v>39530</v>
      </c>
      <c r="H547">
        <v>5</v>
      </c>
    </row>
    <row r="548" spans="1:8" x14ac:dyDescent="0.25">
      <c r="A548" s="1" t="s">
        <v>582</v>
      </c>
      <c r="B548" s="1" t="s">
        <v>1</v>
      </c>
      <c r="C548" s="1" t="s">
        <v>35</v>
      </c>
      <c r="D548" s="1" t="s">
        <v>24</v>
      </c>
      <c r="E548" s="2">
        <v>36918</v>
      </c>
      <c r="F548" s="1" t="s">
        <v>4</v>
      </c>
      <c r="G548" s="3">
        <v>17205</v>
      </c>
      <c r="H548">
        <v>5</v>
      </c>
    </row>
    <row r="549" spans="1:8" x14ac:dyDescent="0.25">
      <c r="A549" s="1" t="s">
        <v>583</v>
      </c>
      <c r="B549" s="1" t="s">
        <v>1</v>
      </c>
      <c r="C549" s="1" t="s">
        <v>35</v>
      </c>
      <c r="D549" s="1" t="s">
        <v>3</v>
      </c>
      <c r="E549" s="2">
        <v>40250</v>
      </c>
      <c r="F549" s="1" t="s">
        <v>11</v>
      </c>
      <c r="G549" s="3">
        <v>33590</v>
      </c>
      <c r="H549">
        <v>5</v>
      </c>
    </row>
    <row r="550" spans="1:8" x14ac:dyDescent="0.25">
      <c r="A550" s="1" t="s">
        <v>584</v>
      </c>
      <c r="B550" s="1" t="s">
        <v>6</v>
      </c>
      <c r="C550" s="1" t="s">
        <v>57</v>
      </c>
      <c r="D550" s="1" t="s">
        <v>3</v>
      </c>
      <c r="E550" s="2">
        <v>40442</v>
      </c>
      <c r="F550" s="1" t="s">
        <v>4</v>
      </c>
      <c r="G550" s="3">
        <v>66740</v>
      </c>
      <c r="H550">
        <v>2</v>
      </c>
    </row>
    <row r="551" spans="1:8" x14ac:dyDescent="0.25">
      <c r="A551" s="1" t="s">
        <v>585</v>
      </c>
      <c r="B551" s="1" t="s">
        <v>13</v>
      </c>
      <c r="C551" s="1" t="s">
        <v>30</v>
      </c>
      <c r="D551" s="1" t="s">
        <v>3</v>
      </c>
      <c r="E551" s="2">
        <v>40399</v>
      </c>
      <c r="F551" s="1" t="s">
        <v>25</v>
      </c>
      <c r="G551" s="3">
        <v>72700</v>
      </c>
      <c r="H551">
        <v>5</v>
      </c>
    </row>
    <row r="552" spans="1:8" x14ac:dyDescent="0.25">
      <c r="A552" s="1" t="s">
        <v>586</v>
      </c>
      <c r="B552" s="1" t="s">
        <v>1</v>
      </c>
      <c r="C552" s="1" t="s">
        <v>59</v>
      </c>
      <c r="D552" s="1" t="s">
        <v>3</v>
      </c>
      <c r="E552" s="2">
        <v>39180</v>
      </c>
      <c r="F552" s="1" t="s">
        <v>21</v>
      </c>
      <c r="G552" s="3">
        <v>86540</v>
      </c>
      <c r="H552">
        <v>4</v>
      </c>
    </row>
    <row r="553" spans="1:8" x14ac:dyDescent="0.25">
      <c r="A553" s="1" t="s">
        <v>587</v>
      </c>
      <c r="B553" s="1" t="s">
        <v>51</v>
      </c>
      <c r="C553" s="1" t="s">
        <v>92</v>
      </c>
      <c r="D553" s="1" t="s">
        <v>16</v>
      </c>
      <c r="E553" s="2">
        <v>36673</v>
      </c>
      <c r="F553" s="1" t="s">
        <v>11</v>
      </c>
      <c r="G553" s="3">
        <v>69410</v>
      </c>
      <c r="H553">
        <v>4</v>
      </c>
    </row>
    <row r="554" spans="1:8" x14ac:dyDescent="0.25">
      <c r="A554" s="1" t="s">
        <v>588</v>
      </c>
      <c r="B554" s="1" t="s">
        <v>13</v>
      </c>
      <c r="C554" s="1" t="s">
        <v>20</v>
      </c>
      <c r="D554" s="1" t="s">
        <v>16</v>
      </c>
      <c r="E554" s="2">
        <v>40263</v>
      </c>
      <c r="G554" s="3">
        <v>35260</v>
      </c>
      <c r="H554">
        <v>2</v>
      </c>
    </row>
    <row r="555" spans="1:8" x14ac:dyDescent="0.25">
      <c r="A555" s="1" t="s">
        <v>589</v>
      </c>
      <c r="B555" s="1" t="s">
        <v>1</v>
      </c>
      <c r="C555" s="1" t="s">
        <v>59</v>
      </c>
      <c r="D555" s="1" t="s">
        <v>3</v>
      </c>
      <c r="E555" s="2">
        <v>38834</v>
      </c>
      <c r="F555" s="1" t="s">
        <v>4</v>
      </c>
      <c r="G555" s="3">
        <v>81640</v>
      </c>
      <c r="H555">
        <v>4</v>
      </c>
    </row>
    <row r="556" spans="1:8" x14ac:dyDescent="0.25">
      <c r="A556" s="1" t="s">
        <v>590</v>
      </c>
      <c r="B556" s="1" t="s">
        <v>1</v>
      </c>
      <c r="C556" s="1" t="s">
        <v>8</v>
      </c>
      <c r="D556" s="1" t="s">
        <v>3</v>
      </c>
      <c r="E556" s="2">
        <v>40470</v>
      </c>
      <c r="F556" s="1" t="s">
        <v>11</v>
      </c>
      <c r="G556" s="3">
        <v>42620</v>
      </c>
      <c r="H556">
        <v>3</v>
      </c>
    </row>
    <row r="557" spans="1:8" x14ac:dyDescent="0.25">
      <c r="A557" s="1" t="s">
        <v>591</v>
      </c>
      <c r="B557" s="1" t="s">
        <v>13</v>
      </c>
      <c r="C557" s="1" t="s">
        <v>23</v>
      </c>
      <c r="D557" s="1" t="s">
        <v>3</v>
      </c>
      <c r="E557" s="2">
        <v>40941</v>
      </c>
      <c r="F557" s="1" t="s">
        <v>4</v>
      </c>
      <c r="G557" s="3">
        <v>26360</v>
      </c>
      <c r="H557">
        <v>1</v>
      </c>
    </row>
    <row r="558" spans="1:8" x14ac:dyDescent="0.25">
      <c r="A558" s="1" t="s">
        <v>592</v>
      </c>
      <c r="B558" s="1" t="s">
        <v>6</v>
      </c>
      <c r="C558" s="1" t="s">
        <v>30</v>
      </c>
      <c r="D558" s="1" t="s">
        <v>3</v>
      </c>
      <c r="E558" s="2">
        <v>39047</v>
      </c>
      <c r="F558" s="1" t="s">
        <v>11</v>
      </c>
      <c r="G558" s="3">
        <v>65880</v>
      </c>
      <c r="H558">
        <v>5</v>
      </c>
    </row>
    <row r="559" spans="1:8" x14ac:dyDescent="0.25">
      <c r="A559" s="1" t="s">
        <v>593</v>
      </c>
      <c r="B559" s="1" t="s">
        <v>27</v>
      </c>
      <c r="C559" s="1" t="s">
        <v>59</v>
      </c>
      <c r="D559" s="1" t="s">
        <v>16</v>
      </c>
      <c r="E559" s="2">
        <v>36199</v>
      </c>
      <c r="G559" s="3">
        <v>31270</v>
      </c>
      <c r="H559">
        <v>5</v>
      </c>
    </row>
    <row r="560" spans="1:8" x14ac:dyDescent="0.25">
      <c r="A560" s="1" t="s">
        <v>594</v>
      </c>
      <c r="B560" s="1" t="s">
        <v>13</v>
      </c>
      <c r="C560" s="1" t="s">
        <v>59</v>
      </c>
      <c r="D560" s="1" t="s">
        <v>3</v>
      </c>
      <c r="E560" s="2">
        <v>36940</v>
      </c>
      <c r="F560" s="1" t="s">
        <v>4</v>
      </c>
      <c r="G560" s="3">
        <v>48990</v>
      </c>
      <c r="H560">
        <v>5</v>
      </c>
    </row>
    <row r="561" spans="1:8" x14ac:dyDescent="0.25">
      <c r="A561" s="1" t="s">
        <v>595</v>
      </c>
      <c r="B561" s="1" t="s">
        <v>29</v>
      </c>
      <c r="C561" s="1" t="s">
        <v>18</v>
      </c>
      <c r="D561" s="1" t="s">
        <v>3</v>
      </c>
      <c r="E561" s="2">
        <v>40175</v>
      </c>
      <c r="F561" s="1" t="s">
        <v>21</v>
      </c>
      <c r="G561" s="3">
        <v>34690</v>
      </c>
      <c r="H561">
        <v>2</v>
      </c>
    </row>
    <row r="562" spans="1:8" x14ac:dyDescent="0.25">
      <c r="A562" s="1" t="s">
        <v>596</v>
      </c>
      <c r="B562" s="1" t="s">
        <v>27</v>
      </c>
      <c r="C562" s="1" t="s">
        <v>18</v>
      </c>
      <c r="D562" s="1" t="s">
        <v>3</v>
      </c>
      <c r="E562" s="2">
        <v>39168</v>
      </c>
      <c r="F562" s="1" t="s">
        <v>4</v>
      </c>
      <c r="G562" s="3">
        <v>24300</v>
      </c>
      <c r="H562">
        <v>3</v>
      </c>
    </row>
    <row r="563" spans="1:8" x14ac:dyDescent="0.25">
      <c r="A563" s="1" t="s">
        <v>597</v>
      </c>
      <c r="B563" s="1" t="s">
        <v>13</v>
      </c>
      <c r="C563" s="1" t="s">
        <v>8</v>
      </c>
      <c r="D563" s="1" t="s">
        <v>16</v>
      </c>
      <c r="E563" s="2">
        <v>39274</v>
      </c>
      <c r="G563" s="3">
        <v>64090</v>
      </c>
      <c r="H563">
        <v>2</v>
      </c>
    </row>
    <row r="564" spans="1:8" x14ac:dyDescent="0.25">
      <c r="A564" s="1" t="s">
        <v>598</v>
      </c>
      <c r="B564" s="1" t="s">
        <v>1</v>
      </c>
      <c r="C564" s="1" t="s">
        <v>18</v>
      </c>
      <c r="D564" s="1" t="s">
        <v>3</v>
      </c>
      <c r="E564" s="2">
        <v>39760</v>
      </c>
      <c r="F564" s="1" t="s">
        <v>4</v>
      </c>
      <c r="G564" s="3">
        <v>61060</v>
      </c>
      <c r="H564">
        <v>5</v>
      </c>
    </row>
    <row r="565" spans="1:8" x14ac:dyDescent="0.25">
      <c r="A565" s="1" t="s">
        <v>599</v>
      </c>
      <c r="B565" s="1" t="s">
        <v>27</v>
      </c>
      <c r="C565" s="1" t="s">
        <v>18</v>
      </c>
      <c r="D565" s="1" t="s">
        <v>24</v>
      </c>
      <c r="E565" s="2">
        <v>39697</v>
      </c>
      <c r="F565" s="1" t="s">
        <v>25</v>
      </c>
      <c r="G565" s="3">
        <v>15260</v>
      </c>
      <c r="H565">
        <v>2</v>
      </c>
    </row>
    <row r="566" spans="1:8" x14ac:dyDescent="0.25">
      <c r="A566" s="1" t="s">
        <v>600</v>
      </c>
      <c r="B566" s="1" t="s">
        <v>1</v>
      </c>
      <c r="C566" s="1" t="s">
        <v>75</v>
      </c>
      <c r="D566" s="1" t="s">
        <v>3</v>
      </c>
      <c r="E566" s="2">
        <v>41051</v>
      </c>
      <c r="F566" s="1" t="s">
        <v>25</v>
      </c>
      <c r="G566" s="3">
        <v>31830</v>
      </c>
      <c r="H566">
        <v>3</v>
      </c>
    </row>
    <row r="567" spans="1:8" x14ac:dyDescent="0.25">
      <c r="A567" s="1" t="s">
        <v>601</v>
      </c>
      <c r="B567" s="1" t="s">
        <v>27</v>
      </c>
      <c r="C567" s="1" t="s">
        <v>102</v>
      </c>
      <c r="D567" s="1" t="s">
        <v>3</v>
      </c>
      <c r="E567" s="2">
        <v>40384</v>
      </c>
      <c r="F567" s="1" t="s">
        <v>4</v>
      </c>
      <c r="G567" s="3">
        <v>46680</v>
      </c>
      <c r="H567">
        <v>1</v>
      </c>
    </row>
    <row r="568" spans="1:8" x14ac:dyDescent="0.25">
      <c r="A568" s="1" t="s">
        <v>602</v>
      </c>
      <c r="B568" s="1" t="s">
        <v>1</v>
      </c>
      <c r="C568" s="1" t="s">
        <v>18</v>
      </c>
      <c r="D568" s="1" t="s">
        <v>3</v>
      </c>
      <c r="E568" s="2">
        <v>40918</v>
      </c>
      <c r="F568" s="1" t="s">
        <v>603</v>
      </c>
      <c r="G568" s="3">
        <v>56900</v>
      </c>
      <c r="H568">
        <v>5</v>
      </c>
    </row>
    <row r="569" spans="1:8" x14ac:dyDescent="0.25">
      <c r="A569" s="1" t="s">
        <v>604</v>
      </c>
      <c r="B569" s="1" t="s">
        <v>51</v>
      </c>
      <c r="C569" s="1" t="s">
        <v>35</v>
      </c>
      <c r="D569" s="1" t="s">
        <v>3</v>
      </c>
      <c r="E569" s="2">
        <v>39679</v>
      </c>
      <c r="F569" s="1" t="s">
        <v>4</v>
      </c>
      <c r="G569" s="3">
        <v>22820</v>
      </c>
      <c r="H569">
        <v>5</v>
      </c>
    </row>
    <row r="570" spans="1:8" x14ac:dyDescent="0.25">
      <c r="A570" s="1" t="s">
        <v>605</v>
      </c>
      <c r="B570" s="1" t="s">
        <v>13</v>
      </c>
      <c r="C570" s="1" t="s">
        <v>30</v>
      </c>
      <c r="D570" s="1" t="s">
        <v>24</v>
      </c>
      <c r="E570" s="2">
        <v>39176</v>
      </c>
      <c r="F570" s="1" t="s">
        <v>11</v>
      </c>
      <c r="G570" s="3">
        <v>10700</v>
      </c>
      <c r="H570">
        <v>4</v>
      </c>
    </row>
    <row r="571" spans="1:8" x14ac:dyDescent="0.25">
      <c r="A571" s="1" t="s">
        <v>606</v>
      </c>
      <c r="B571" s="1" t="s">
        <v>1</v>
      </c>
      <c r="C571" s="1" t="s">
        <v>23</v>
      </c>
      <c r="D571" s="1" t="s">
        <v>32</v>
      </c>
      <c r="E571" s="2">
        <v>38144</v>
      </c>
      <c r="G571" s="3">
        <v>33512</v>
      </c>
      <c r="H571">
        <v>4</v>
      </c>
    </row>
    <row r="572" spans="1:8" x14ac:dyDescent="0.25">
      <c r="A572" s="1" t="s">
        <v>607</v>
      </c>
      <c r="B572" s="1" t="s">
        <v>6</v>
      </c>
      <c r="C572" s="1" t="s">
        <v>20</v>
      </c>
      <c r="D572" s="1" t="s">
        <v>16</v>
      </c>
      <c r="E572" s="2">
        <v>35959</v>
      </c>
      <c r="G572" s="3">
        <v>64470</v>
      </c>
      <c r="H572">
        <v>3</v>
      </c>
    </row>
    <row r="573" spans="1:8" x14ac:dyDescent="0.25">
      <c r="A573" s="1" t="s">
        <v>608</v>
      </c>
      <c r="B573" s="1" t="s">
        <v>13</v>
      </c>
      <c r="C573" s="1" t="s">
        <v>15</v>
      </c>
      <c r="D573" s="1" t="s">
        <v>3</v>
      </c>
      <c r="E573" s="2">
        <v>39038</v>
      </c>
      <c r="F573" s="1" t="s">
        <v>9</v>
      </c>
      <c r="G573" s="3">
        <v>71400</v>
      </c>
      <c r="H573">
        <v>4</v>
      </c>
    </row>
    <row r="574" spans="1:8" x14ac:dyDescent="0.25">
      <c r="A574" s="1" t="s">
        <v>609</v>
      </c>
      <c r="B574" s="1" t="s">
        <v>1</v>
      </c>
      <c r="C574" s="1" t="s">
        <v>8</v>
      </c>
      <c r="D574" s="1" t="s">
        <v>24</v>
      </c>
      <c r="E574" s="2">
        <v>39138</v>
      </c>
      <c r="F574" s="1" t="s">
        <v>21</v>
      </c>
      <c r="G574" s="3">
        <v>15005</v>
      </c>
      <c r="H574">
        <v>4</v>
      </c>
    </row>
    <row r="575" spans="1:8" x14ac:dyDescent="0.25">
      <c r="A575" s="1" t="s">
        <v>610</v>
      </c>
      <c r="B575" s="1" t="s">
        <v>1</v>
      </c>
      <c r="C575" s="1" t="s">
        <v>18</v>
      </c>
      <c r="D575" s="1" t="s">
        <v>16</v>
      </c>
      <c r="E575" s="2">
        <v>38073</v>
      </c>
      <c r="G575" s="3">
        <v>39300</v>
      </c>
      <c r="H575">
        <v>2</v>
      </c>
    </row>
    <row r="576" spans="1:8" x14ac:dyDescent="0.25">
      <c r="A576" s="1" t="s">
        <v>611</v>
      </c>
      <c r="B576" s="1" t="s">
        <v>1</v>
      </c>
      <c r="C576" s="1" t="s">
        <v>59</v>
      </c>
      <c r="D576" s="1" t="s">
        <v>3</v>
      </c>
      <c r="E576" s="2">
        <v>39290</v>
      </c>
      <c r="F576" s="1" t="s">
        <v>11</v>
      </c>
      <c r="G576" s="3">
        <v>65250</v>
      </c>
      <c r="H576">
        <v>2</v>
      </c>
    </row>
    <row r="577" spans="1:8" x14ac:dyDescent="0.25">
      <c r="A577" s="1" t="s">
        <v>612</v>
      </c>
      <c r="B577" s="1" t="s">
        <v>6</v>
      </c>
      <c r="C577" s="1" t="s">
        <v>35</v>
      </c>
      <c r="D577" s="1" t="s">
        <v>16</v>
      </c>
      <c r="E577" s="2">
        <v>39090</v>
      </c>
      <c r="G577" s="3">
        <v>63290</v>
      </c>
      <c r="H577">
        <v>5</v>
      </c>
    </row>
    <row r="578" spans="1:8" x14ac:dyDescent="0.25">
      <c r="A578" s="1" t="s">
        <v>613</v>
      </c>
      <c r="B578" s="1" t="s">
        <v>1</v>
      </c>
      <c r="C578" s="1" t="s">
        <v>18</v>
      </c>
      <c r="D578" s="1" t="s">
        <v>16</v>
      </c>
      <c r="E578" s="2">
        <v>37634</v>
      </c>
      <c r="G578" s="3">
        <v>61370</v>
      </c>
      <c r="H578">
        <v>3</v>
      </c>
    </row>
    <row r="579" spans="1:8" x14ac:dyDescent="0.25">
      <c r="A579" s="1" t="s">
        <v>614</v>
      </c>
      <c r="B579" s="1" t="s">
        <v>6</v>
      </c>
      <c r="C579" s="1" t="s">
        <v>63</v>
      </c>
      <c r="D579" s="1" t="s">
        <v>3</v>
      </c>
      <c r="E579" s="2">
        <v>39688</v>
      </c>
      <c r="F579" s="1" t="s">
        <v>4</v>
      </c>
      <c r="G579" s="3">
        <v>32600</v>
      </c>
      <c r="H579">
        <v>5</v>
      </c>
    </row>
    <row r="580" spans="1:8" x14ac:dyDescent="0.25">
      <c r="A580" s="1" t="s">
        <v>615</v>
      </c>
      <c r="B580" s="1" t="s">
        <v>13</v>
      </c>
      <c r="C580" s="1" t="s">
        <v>2</v>
      </c>
      <c r="D580" s="1" t="s">
        <v>3</v>
      </c>
      <c r="E580" s="2">
        <v>38738</v>
      </c>
      <c r="F580" s="1" t="s">
        <v>9</v>
      </c>
      <c r="G580" s="3">
        <v>62965</v>
      </c>
      <c r="H580">
        <v>1</v>
      </c>
    </row>
    <row r="581" spans="1:8" x14ac:dyDescent="0.25">
      <c r="A581" s="1" t="s">
        <v>616</v>
      </c>
      <c r="B581" s="1" t="s">
        <v>13</v>
      </c>
      <c r="C581" s="1" t="s">
        <v>18</v>
      </c>
      <c r="D581" s="1" t="s">
        <v>16</v>
      </c>
      <c r="E581" s="2">
        <v>39830</v>
      </c>
      <c r="G581" s="3">
        <v>78520</v>
      </c>
      <c r="H581">
        <v>4</v>
      </c>
    </row>
    <row r="582" spans="1:8" x14ac:dyDescent="0.25">
      <c r="A582" s="1" t="s">
        <v>617</v>
      </c>
      <c r="B582" s="1" t="s">
        <v>6</v>
      </c>
      <c r="C582" s="1" t="s">
        <v>30</v>
      </c>
      <c r="D582" s="1" t="s">
        <v>16</v>
      </c>
      <c r="E582" s="2">
        <v>40707</v>
      </c>
      <c r="G582" s="3">
        <v>79380</v>
      </c>
      <c r="H582">
        <v>1</v>
      </c>
    </row>
    <row r="583" spans="1:8" x14ac:dyDescent="0.25">
      <c r="A583" s="1" t="s">
        <v>618</v>
      </c>
      <c r="B583" s="1" t="s">
        <v>6</v>
      </c>
      <c r="C583" s="1" t="s">
        <v>92</v>
      </c>
      <c r="D583" s="1" t="s">
        <v>3</v>
      </c>
      <c r="E583" s="2">
        <v>40690</v>
      </c>
      <c r="F583" s="1" t="s">
        <v>4</v>
      </c>
      <c r="G583" s="3">
        <v>89140</v>
      </c>
      <c r="H583">
        <v>1</v>
      </c>
    </row>
    <row r="584" spans="1:8" x14ac:dyDescent="0.25">
      <c r="A584" s="1" t="s">
        <v>619</v>
      </c>
      <c r="B584" s="1" t="s">
        <v>29</v>
      </c>
      <c r="C584" s="1" t="s">
        <v>35</v>
      </c>
      <c r="D584" s="1" t="s">
        <v>3</v>
      </c>
      <c r="E584" s="2">
        <v>41226</v>
      </c>
      <c r="F584" s="1" t="s">
        <v>21</v>
      </c>
      <c r="G584" s="3">
        <v>32160</v>
      </c>
      <c r="H584">
        <v>3</v>
      </c>
    </row>
    <row r="585" spans="1:8" x14ac:dyDescent="0.25">
      <c r="A585" s="1" t="s">
        <v>620</v>
      </c>
      <c r="B585" s="1" t="s">
        <v>51</v>
      </c>
      <c r="C585" s="1" t="s">
        <v>59</v>
      </c>
      <c r="D585" s="1" t="s">
        <v>24</v>
      </c>
      <c r="E585" s="2">
        <v>36371</v>
      </c>
      <c r="F585" s="1" t="s">
        <v>11</v>
      </c>
      <c r="G585" s="3">
        <v>26790</v>
      </c>
      <c r="H585">
        <v>2</v>
      </c>
    </row>
    <row r="586" spans="1:8" x14ac:dyDescent="0.25">
      <c r="A586" s="1" t="s">
        <v>621</v>
      </c>
      <c r="B586" s="1" t="s">
        <v>27</v>
      </c>
      <c r="C586" s="1" t="s">
        <v>18</v>
      </c>
      <c r="D586" s="1" t="s">
        <v>16</v>
      </c>
      <c r="E586" s="2">
        <v>37326</v>
      </c>
      <c r="G586" s="3">
        <v>52770</v>
      </c>
      <c r="H586">
        <v>2</v>
      </c>
    </row>
    <row r="587" spans="1:8" x14ac:dyDescent="0.25">
      <c r="A587" s="1" t="s">
        <v>622</v>
      </c>
      <c r="B587" s="1" t="s">
        <v>13</v>
      </c>
      <c r="C587" s="1" t="s">
        <v>106</v>
      </c>
      <c r="D587" s="1" t="s">
        <v>16</v>
      </c>
      <c r="E587" s="2">
        <v>36777</v>
      </c>
      <c r="G587" s="3">
        <v>76690</v>
      </c>
      <c r="H587">
        <v>3</v>
      </c>
    </row>
    <row r="588" spans="1:8" x14ac:dyDescent="0.25">
      <c r="A588" s="1" t="s">
        <v>623</v>
      </c>
      <c r="B588" s="1" t="s">
        <v>6</v>
      </c>
      <c r="C588" s="1" t="s">
        <v>35</v>
      </c>
      <c r="D588" s="1" t="s">
        <v>3</v>
      </c>
      <c r="E588" s="2">
        <v>39539</v>
      </c>
      <c r="F588" s="1" t="s">
        <v>11</v>
      </c>
      <c r="G588" s="3">
        <v>73850</v>
      </c>
      <c r="H588">
        <v>2</v>
      </c>
    </row>
    <row r="589" spans="1:8" x14ac:dyDescent="0.25">
      <c r="A589" s="1" t="s">
        <v>624</v>
      </c>
      <c r="B589" s="1" t="s">
        <v>13</v>
      </c>
      <c r="C589" s="1" t="s">
        <v>2</v>
      </c>
      <c r="D589" s="1" t="s">
        <v>3</v>
      </c>
      <c r="E589" s="2">
        <v>36360</v>
      </c>
      <c r="F589" s="1" t="s">
        <v>11</v>
      </c>
      <c r="G589" s="3">
        <v>67020</v>
      </c>
      <c r="H589">
        <v>1</v>
      </c>
    </row>
    <row r="590" spans="1:8" x14ac:dyDescent="0.25">
      <c r="A590" s="1" t="s">
        <v>625</v>
      </c>
      <c r="B590" s="1" t="s">
        <v>13</v>
      </c>
      <c r="C590" s="1" t="s">
        <v>2</v>
      </c>
      <c r="D590" s="1" t="s">
        <v>24</v>
      </c>
      <c r="E590" s="2">
        <v>37775</v>
      </c>
      <c r="F590" s="1" t="s">
        <v>25</v>
      </c>
      <c r="G590" s="3">
        <v>28525</v>
      </c>
      <c r="H590">
        <v>4</v>
      </c>
    </row>
    <row r="591" spans="1:8" x14ac:dyDescent="0.25">
      <c r="A591" s="1" t="s">
        <v>626</v>
      </c>
      <c r="B591" s="1" t="s">
        <v>6</v>
      </c>
      <c r="C591" s="1" t="s">
        <v>23</v>
      </c>
      <c r="D591" s="1" t="s">
        <v>3</v>
      </c>
      <c r="E591" s="2">
        <v>35969</v>
      </c>
      <c r="F591" s="1" t="s">
        <v>4</v>
      </c>
      <c r="G591" s="3">
        <v>74530</v>
      </c>
      <c r="H591">
        <v>5</v>
      </c>
    </row>
    <row r="592" spans="1:8" x14ac:dyDescent="0.25">
      <c r="A592" s="1" t="s">
        <v>627</v>
      </c>
      <c r="B592" s="1" t="s">
        <v>1</v>
      </c>
      <c r="C592" s="1" t="s">
        <v>18</v>
      </c>
      <c r="D592" s="1" t="s">
        <v>16</v>
      </c>
      <c r="E592" s="2">
        <v>39603</v>
      </c>
      <c r="G592" s="3">
        <v>40940</v>
      </c>
      <c r="H592">
        <v>2</v>
      </c>
    </row>
    <row r="593" spans="1:8" x14ac:dyDescent="0.25">
      <c r="A593" s="1" t="s">
        <v>628</v>
      </c>
      <c r="B593" s="1" t="s">
        <v>29</v>
      </c>
      <c r="C593" s="1" t="s">
        <v>35</v>
      </c>
      <c r="D593" s="1" t="s">
        <v>16</v>
      </c>
      <c r="E593" s="2">
        <v>37453</v>
      </c>
      <c r="G593" s="3">
        <v>49090</v>
      </c>
      <c r="H593">
        <v>4</v>
      </c>
    </row>
    <row r="594" spans="1:8" x14ac:dyDescent="0.25">
      <c r="A594" s="1" t="s">
        <v>629</v>
      </c>
      <c r="B594" s="1" t="s">
        <v>1</v>
      </c>
      <c r="C594" s="1" t="s">
        <v>35</v>
      </c>
      <c r="D594" s="1" t="s">
        <v>3</v>
      </c>
      <c r="E594" s="2">
        <v>39399</v>
      </c>
      <c r="F594" s="1" t="s">
        <v>11</v>
      </c>
      <c r="G594" s="3">
        <v>87220</v>
      </c>
      <c r="H594">
        <v>1</v>
      </c>
    </row>
    <row r="595" spans="1:8" x14ac:dyDescent="0.25">
      <c r="A595" s="1" t="s">
        <v>630</v>
      </c>
      <c r="B595" s="1" t="s">
        <v>6</v>
      </c>
      <c r="C595" s="1" t="s">
        <v>35</v>
      </c>
      <c r="D595" s="1" t="s">
        <v>3</v>
      </c>
      <c r="E595" s="2">
        <v>40477</v>
      </c>
      <c r="F595" s="1" t="s">
        <v>4</v>
      </c>
      <c r="G595" s="3">
        <v>27130</v>
      </c>
      <c r="H595">
        <v>5</v>
      </c>
    </row>
    <row r="596" spans="1:8" x14ac:dyDescent="0.25">
      <c r="A596" s="1" t="s">
        <v>631</v>
      </c>
      <c r="B596" s="1" t="s">
        <v>27</v>
      </c>
      <c r="C596" s="1" t="s">
        <v>18</v>
      </c>
      <c r="D596" s="1" t="s">
        <v>3</v>
      </c>
      <c r="E596" s="2">
        <v>38878</v>
      </c>
      <c r="F596" s="1" t="s">
        <v>11</v>
      </c>
      <c r="G596" s="3">
        <v>61150</v>
      </c>
      <c r="H596">
        <v>2</v>
      </c>
    </row>
    <row r="597" spans="1:8" x14ac:dyDescent="0.25">
      <c r="A597" s="1" t="s">
        <v>632</v>
      </c>
      <c r="B597" s="1" t="s">
        <v>1</v>
      </c>
      <c r="C597" s="1" t="s">
        <v>35</v>
      </c>
      <c r="D597" s="1" t="s">
        <v>32</v>
      </c>
      <c r="E597" s="2">
        <v>38863</v>
      </c>
      <c r="G597" s="3">
        <v>28768</v>
      </c>
      <c r="H597">
        <v>3</v>
      </c>
    </row>
    <row r="598" spans="1:8" x14ac:dyDescent="0.25">
      <c r="A598" s="1" t="s">
        <v>633</v>
      </c>
      <c r="B598" s="1" t="s">
        <v>1</v>
      </c>
      <c r="C598" s="1" t="s">
        <v>2</v>
      </c>
      <c r="D598" s="1" t="s">
        <v>24</v>
      </c>
      <c r="E598" s="2">
        <v>36423</v>
      </c>
      <c r="F598" s="1" t="s">
        <v>9</v>
      </c>
      <c r="G598" s="3">
        <v>47350</v>
      </c>
      <c r="H598">
        <v>1</v>
      </c>
    </row>
    <row r="599" spans="1:8" x14ac:dyDescent="0.25">
      <c r="A599" s="1" t="s">
        <v>634</v>
      </c>
      <c r="B599" s="1" t="s">
        <v>27</v>
      </c>
      <c r="C599" s="1" t="s">
        <v>8</v>
      </c>
      <c r="D599" s="1" t="s">
        <v>3</v>
      </c>
      <c r="E599" s="2">
        <v>35989</v>
      </c>
      <c r="F599" s="1" t="s">
        <v>25</v>
      </c>
      <c r="G599" s="3">
        <v>71010</v>
      </c>
      <c r="H599">
        <v>5</v>
      </c>
    </row>
    <row r="600" spans="1:8" x14ac:dyDescent="0.25">
      <c r="A600" s="1" t="s">
        <v>635</v>
      </c>
      <c r="B600" s="1" t="s">
        <v>51</v>
      </c>
      <c r="C600" s="1" t="s">
        <v>23</v>
      </c>
      <c r="D600" s="1" t="s">
        <v>3</v>
      </c>
      <c r="E600" s="2">
        <v>40246</v>
      </c>
      <c r="F600" s="1" t="s">
        <v>11</v>
      </c>
      <c r="G600" s="3">
        <v>63080</v>
      </c>
      <c r="H600">
        <v>5</v>
      </c>
    </row>
    <row r="601" spans="1:8" x14ac:dyDescent="0.25">
      <c r="A601" s="1" t="s">
        <v>636</v>
      </c>
      <c r="B601" s="1" t="s">
        <v>29</v>
      </c>
      <c r="C601" s="1" t="s">
        <v>15</v>
      </c>
      <c r="D601" s="1" t="s">
        <v>3</v>
      </c>
      <c r="E601" s="2">
        <v>40313</v>
      </c>
      <c r="F601" s="1" t="s">
        <v>11</v>
      </c>
      <c r="G601" s="3">
        <v>27250</v>
      </c>
      <c r="H601">
        <v>5</v>
      </c>
    </row>
    <row r="602" spans="1:8" x14ac:dyDescent="0.25">
      <c r="A602" s="1" t="s">
        <v>637</v>
      </c>
      <c r="B602" s="1" t="s">
        <v>13</v>
      </c>
      <c r="C602" s="1" t="s">
        <v>23</v>
      </c>
      <c r="D602" s="1" t="s">
        <v>32</v>
      </c>
      <c r="E602" s="2">
        <v>40403</v>
      </c>
      <c r="G602" s="3">
        <v>15056</v>
      </c>
      <c r="H602">
        <v>5</v>
      </c>
    </row>
    <row r="603" spans="1:8" x14ac:dyDescent="0.25">
      <c r="A603" s="1" t="s">
        <v>638</v>
      </c>
      <c r="B603" s="1" t="s">
        <v>1</v>
      </c>
      <c r="C603" s="1" t="s">
        <v>30</v>
      </c>
      <c r="D603" s="1" t="s">
        <v>24</v>
      </c>
      <c r="E603" s="2">
        <v>38173</v>
      </c>
      <c r="F603" s="1" t="s">
        <v>11</v>
      </c>
      <c r="G603" s="3">
        <v>32900</v>
      </c>
      <c r="H603">
        <v>2</v>
      </c>
    </row>
    <row r="604" spans="1:8" x14ac:dyDescent="0.25">
      <c r="A604" s="1" t="s">
        <v>639</v>
      </c>
      <c r="B604" s="1" t="s">
        <v>6</v>
      </c>
      <c r="C604" s="1" t="s">
        <v>75</v>
      </c>
      <c r="D604" s="1" t="s">
        <v>24</v>
      </c>
      <c r="E604" s="2">
        <v>39279</v>
      </c>
      <c r="F604" s="1" t="s">
        <v>4</v>
      </c>
      <c r="G604" s="3">
        <v>26890</v>
      </c>
      <c r="H604">
        <v>3</v>
      </c>
    </row>
    <row r="605" spans="1:8" x14ac:dyDescent="0.25">
      <c r="A605" s="1" t="s">
        <v>640</v>
      </c>
      <c r="B605" s="1" t="s">
        <v>1</v>
      </c>
      <c r="C605" s="1" t="s">
        <v>2</v>
      </c>
      <c r="D605" s="1" t="s">
        <v>3</v>
      </c>
      <c r="E605" s="2">
        <v>39183</v>
      </c>
      <c r="F605" s="1" t="s">
        <v>25</v>
      </c>
      <c r="G605" s="3">
        <v>82700</v>
      </c>
      <c r="H605">
        <v>3</v>
      </c>
    </row>
    <row r="606" spans="1:8" x14ac:dyDescent="0.25">
      <c r="A606" s="1" t="s">
        <v>641</v>
      </c>
      <c r="B606" s="1" t="s">
        <v>13</v>
      </c>
      <c r="C606" s="1" t="s">
        <v>18</v>
      </c>
      <c r="D606" s="1" t="s">
        <v>32</v>
      </c>
      <c r="E606" s="2">
        <v>39087</v>
      </c>
      <c r="G606" s="3">
        <v>14416</v>
      </c>
      <c r="H606">
        <v>4</v>
      </c>
    </row>
    <row r="607" spans="1:8" x14ac:dyDescent="0.25">
      <c r="A607" s="1" t="s">
        <v>642</v>
      </c>
      <c r="B607" s="1" t="s">
        <v>6</v>
      </c>
      <c r="C607" s="1" t="s">
        <v>35</v>
      </c>
      <c r="D607" s="1" t="s">
        <v>3</v>
      </c>
      <c r="E607" s="2">
        <v>40680</v>
      </c>
      <c r="F607" s="1" t="s">
        <v>9</v>
      </c>
      <c r="G607" s="3">
        <v>40260</v>
      </c>
      <c r="H607">
        <v>5</v>
      </c>
    </row>
    <row r="608" spans="1:8" x14ac:dyDescent="0.25">
      <c r="A608" s="1" t="s">
        <v>643</v>
      </c>
      <c r="B608" s="1" t="s">
        <v>27</v>
      </c>
      <c r="C608" s="1" t="s">
        <v>30</v>
      </c>
      <c r="D608" s="1" t="s">
        <v>24</v>
      </c>
      <c r="E608" s="2">
        <v>40254</v>
      </c>
      <c r="F608" s="1" t="s">
        <v>11</v>
      </c>
      <c r="G608" s="3">
        <v>48700</v>
      </c>
      <c r="H608">
        <v>3</v>
      </c>
    </row>
    <row r="609" spans="1:8" x14ac:dyDescent="0.25">
      <c r="A609" s="1" t="s">
        <v>644</v>
      </c>
      <c r="B609" s="1" t="s">
        <v>6</v>
      </c>
      <c r="C609" s="1" t="s">
        <v>59</v>
      </c>
      <c r="D609" s="1" t="s">
        <v>16</v>
      </c>
      <c r="E609" s="2">
        <v>39063</v>
      </c>
      <c r="G609" s="3">
        <v>77930</v>
      </c>
      <c r="H609">
        <v>5</v>
      </c>
    </row>
    <row r="610" spans="1:8" x14ac:dyDescent="0.25">
      <c r="A610" s="1" t="s">
        <v>645</v>
      </c>
      <c r="B610" s="1" t="s">
        <v>6</v>
      </c>
      <c r="C610" s="1" t="s">
        <v>30</v>
      </c>
      <c r="D610" s="1" t="s">
        <v>3</v>
      </c>
      <c r="E610" s="2">
        <v>36673</v>
      </c>
      <c r="F610" s="1" t="s">
        <v>9</v>
      </c>
      <c r="G610" s="3">
        <v>48330</v>
      </c>
      <c r="H610">
        <v>1</v>
      </c>
    </row>
    <row r="611" spans="1:8" x14ac:dyDescent="0.25">
      <c r="A611" s="1" t="s">
        <v>646</v>
      </c>
      <c r="B611" s="1" t="s">
        <v>6</v>
      </c>
      <c r="C611" s="1" t="s">
        <v>18</v>
      </c>
      <c r="D611" s="1" t="s">
        <v>16</v>
      </c>
      <c r="E611" s="2">
        <v>36637</v>
      </c>
      <c r="G611" s="3">
        <v>57600</v>
      </c>
      <c r="H611">
        <v>3</v>
      </c>
    </row>
    <row r="612" spans="1:8" x14ac:dyDescent="0.25">
      <c r="A612" s="1" t="s">
        <v>647</v>
      </c>
      <c r="B612" s="1" t="s">
        <v>1</v>
      </c>
      <c r="C612" s="1" t="s">
        <v>8</v>
      </c>
      <c r="D612" s="1" t="s">
        <v>3</v>
      </c>
      <c r="E612" s="2">
        <v>38788</v>
      </c>
      <c r="F612" s="1" t="s">
        <v>11</v>
      </c>
      <c r="G612" s="3">
        <v>37750</v>
      </c>
      <c r="H612">
        <v>5</v>
      </c>
    </row>
    <row r="613" spans="1:8" x14ac:dyDescent="0.25">
      <c r="A613" s="1" t="s">
        <v>648</v>
      </c>
      <c r="B613" s="1" t="s">
        <v>1</v>
      </c>
      <c r="C613" s="1" t="s">
        <v>30</v>
      </c>
      <c r="D613" s="1" t="s">
        <v>3</v>
      </c>
      <c r="E613" s="2">
        <v>39362</v>
      </c>
      <c r="F613" s="1" t="s">
        <v>25</v>
      </c>
      <c r="G613" s="3">
        <v>42020</v>
      </c>
      <c r="H613">
        <v>5</v>
      </c>
    </row>
    <row r="614" spans="1:8" x14ac:dyDescent="0.25">
      <c r="A614" s="1" t="s">
        <v>649</v>
      </c>
      <c r="B614" s="1" t="s">
        <v>13</v>
      </c>
      <c r="C614" s="1" t="s">
        <v>18</v>
      </c>
      <c r="D614" s="1" t="s">
        <v>32</v>
      </c>
      <c r="E614" s="2">
        <v>38777</v>
      </c>
      <c r="G614" s="3">
        <v>22472</v>
      </c>
      <c r="H614">
        <v>1</v>
      </c>
    </row>
    <row r="615" spans="1:8" x14ac:dyDescent="0.25">
      <c r="A615" s="1" t="s">
        <v>650</v>
      </c>
      <c r="B615" s="1" t="s">
        <v>6</v>
      </c>
      <c r="C615" s="1" t="s">
        <v>30</v>
      </c>
      <c r="D615" s="1" t="s">
        <v>16</v>
      </c>
      <c r="E615" s="2">
        <v>39592</v>
      </c>
      <c r="G615" s="3">
        <v>56650</v>
      </c>
      <c r="H615">
        <v>1</v>
      </c>
    </row>
    <row r="616" spans="1:8" x14ac:dyDescent="0.25">
      <c r="A616" s="1" t="s">
        <v>651</v>
      </c>
      <c r="B616" s="1" t="s">
        <v>6</v>
      </c>
      <c r="C616" s="1" t="s">
        <v>18</v>
      </c>
      <c r="D616" s="1" t="s">
        <v>3</v>
      </c>
      <c r="E616" s="2">
        <v>40301</v>
      </c>
      <c r="F616" s="1" t="s">
        <v>11</v>
      </c>
      <c r="G616" s="3">
        <v>44270</v>
      </c>
      <c r="H616">
        <v>2</v>
      </c>
    </row>
    <row r="617" spans="1:8" x14ac:dyDescent="0.25">
      <c r="A617" s="1" t="s">
        <v>652</v>
      </c>
      <c r="B617" s="1" t="s">
        <v>29</v>
      </c>
      <c r="C617" s="1" t="s">
        <v>30</v>
      </c>
      <c r="D617" s="1" t="s">
        <v>3</v>
      </c>
      <c r="E617" s="2">
        <v>39217</v>
      </c>
      <c r="F617" s="1" t="s">
        <v>4</v>
      </c>
      <c r="G617" s="3">
        <v>73830</v>
      </c>
      <c r="H617">
        <v>2</v>
      </c>
    </row>
    <row r="618" spans="1:8" x14ac:dyDescent="0.25">
      <c r="A618" s="1" t="s">
        <v>653</v>
      </c>
      <c r="B618" s="1" t="s">
        <v>6</v>
      </c>
      <c r="C618" s="1" t="s">
        <v>35</v>
      </c>
      <c r="D618" s="1" t="s">
        <v>3</v>
      </c>
      <c r="E618" s="2">
        <v>36330</v>
      </c>
      <c r="F618" s="1" t="s">
        <v>9</v>
      </c>
      <c r="G618" s="3">
        <v>61850</v>
      </c>
      <c r="H618">
        <v>2</v>
      </c>
    </row>
    <row r="619" spans="1:8" x14ac:dyDescent="0.25">
      <c r="A619" s="1" t="s">
        <v>654</v>
      </c>
      <c r="B619" s="1" t="s">
        <v>1</v>
      </c>
      <c r="C619" s="1" t="s">
        <v>75</v>
      </c>
      <c r="D619" s="1" t="s">
        <v>3</v>
      </c>
      <c r="E619" s="2">
        <v>37008</v>
      </c>
      <c r="F619" s="1" t="s">
        <v>4</v>
      </c>
      <c r="G619" s="3">
        <v>27180</v>
      </c>
      <c r="H619">
        <v>4</v>
      </c>
    </row>
    <row r="620" spans="1:8" x14ac:dyDescent="0.25">
      <c r="A620" s="1" t="s">
        <v>655</v>
      </c>
      <c r="B620" s="1" t="s">
        <v>6</v>
      </c>
      <c r="C620" s="1" t="s">
        <v>8</v>
      </c>
      <c r="D620" s="1" t="s">
        <v>16</v>
      </c>
      <c r="E620" s="2">
        <v>40236</v>
      </c>
      <c r="G620" s="3">
        <v>45830</v>
      </c>
      <c r="H620">
        <v>4</v>
      </c>
    </row>
    <row r="621" spans="1:8" x14ac:dyDescent="0.25">
      <c r="A621" s="1" t="s">
        <v>656</v>
      </c>
      <c r="B621" s="1" t="s">
        <v>6</v>
      </c>
      <c r="C621" s="1" t="s">
        <v>37</v>
      </c>
      <c r="D621" s="1" t="s">
        <v>16</v>
      </c>
      <c r="E621" s="2">
        <v>40372</v>
      </c>
      <c r="G621" s="3">
        <v>75100</v>
      </c>
      <c r="H621">
        <v>4</v>
      </c>
    </row>
    <row r="622" spans="1:8" x14ac:dyDescent="0.25">
      <c r="A622" s="1" t="s">
        <v>657</v>
      </c>
      <c r="B622" s="1" t="s">
        <v>6</v>
      </c>
      <c r="C622" s="1" t="s">
        <v>20</v>
      </c>
      <c r="D622" s="1" t="s">
        <v>24</v>
      </c>
      <c r="E622" s="2">
        <v>36357</v>
      </c>
      <c r="F622" s="1" t="s">
        <v>9</v>
      </c>
      <c r="G622" s="3">
        <v>42905</v>
      </c>
      <c r="H622">
        <v>1</v>
      </c>
    </row>
    <row r="623" spans="1:8" x14ac:dyDescent="0.25">
      <c r="A623" s="1" t="s">
        <v>658</v>
      </c>
      <c r="B623" s="1" t="s">
        <v>1</v>
      </c>
      <c r="C623" s="1" t="s">
        <v>75</v>
      </c>
      <c r="D623" s="1" t="s">
        <v>24</v>
      </c>
      <c r="E623" s="2">
        <v>39662</v>
      </c>
      <c r="F623" s="1" t="s">
        <v>9</v>
      </c>
      <c r="G623" s="3">
        <v>38920</v>
      </c>
      <c r="H623">
        <v>4</v>
      </c>
    </row>
    <row r="624" spans="1:8" x14ac:dyDescent="0.25">
      <c r="A624" s="1" t="s">
        <v>659</v>
      </c>
      <c r="B624" s="1" t="s">
        <v>1</v>
      </c>
      <c r="C624" s="1" t="s">
        <v>59</v>
      </c>
      <c r="D624" s="1" t="s">
        <v>16</v>
      </c>
      <c r="E624" s="2">
        <v>38969</v>
      </c>
      <c r="G624" s="3">
        <v>63850</v>
      </c>
      <c r="H624">
        <v>2</v>
      </c>
    </row>
    <row r="625" spans="1:8" x14ac:dyDescent="0.25">
      <c r="A625" s="1" t="s">
        <v>660</v>
      </c>
      <c r="B625" s="1" t="s">
        <v>29</v>
      </c>
      <c r="C625" s="1" t="s">
        <v>75</v>
      </c>
      <c r="D625" s="1" t="s">
        <v>24</v>
      </c>
      <c r="E625" s="2">
        <v>36896</v>
      </c>
      <c r="F625" s="1" t="s">
        <v>4</v>
      </c>
      <c r="G625" s="3">
        <v>35280</v>
      </c>
      <c r="H625">
        <v>3</v>
      </c>
    </row>
    <row r="626" spans="1:8" x14ac:dyDescent="0.25">
      <c r="A626" s="1" t="s">
        <v>661</v>
      </c>
      <c r="B626" s="1" t="s">
        <v>13</v>
      </c>
      <c r="C626" s="1" t="s">
        <v>35</v>
      </c>
      <c r="D626" s="1" t="s">
        <v>32</v>
      </c>
      <c r="E626" s="2">
        <v>39742</v>
      </c>
      <c r="G626" s="3">
        <v>37344</v>
      </c>
      <c r="H626">
        <v>2</v>
      </c>
    </row>
    <row r="627" spans="1:8" x14ac:dyDescent="0.25">
      <c r="A627" s="1" t="s">
        <v>662</v>
      </c>
      <c r="B627" s="1" t="s">
        <v>1</v>
      </c>
      <c r="C627" s="1" t="s">
        <v>35</v>
      </c>
      <c r="D627" s="1" t="s">
        <v>24</v>
      </c>
      <c r="E627" s="2">
        <v>39118</v>
      </c>
      <c r="F627" s="1" t="s">
        <v>4</v>
      </c>
      <c r="G627" s="3">
        <v>20075</v>
      </c>
      <c r="H627">
        <v>1</v>
      </c>
    </row>
    <row r="628" spans="1:8" x14ac:dyDescent="0.25">
      <c r="A628" s="1" t="s">
        <v>663</v>
      </c>
      <c r="B628" s="1" t="s">
        <v>6</v>
      </c>
      <c r="C628" s="1" t="s">
        <v>23</v>
      </c>
      <c r="D628" s="1" t="s">
        <v>3</v>
      </c>
      <c r="E628" s="2">
        <v>39224</v>
      </c>
      <c r="F628" s="1" t="s">
        <v>11</v>
      </c>
      <c r="G628" s="3">
        <v>73030</v>
      </c>
      <c r="H628">
        <v>5</v>
      </c>
    </row>
    <row r="629" spans="1:8" x14ac:dyDescent="0.25">
      <c r="A629" s="1" t="s">
        <v>664</v>
      </c>
      <c r="B629" s="1" t="s">
        <v>6</v>
      </c>
      <c r="C629" s="1" t="s">
        <v>18</v>
      </c>
      <c r="D629" s="1" t="s">
        <v>3</v>
      </c>
      <c r="E629" s="2">
        <v>38982</v>
      </c>
      <c r="F629" s="1" t="s">
        <v>4</v>
      </c>
      <c r="G629" s="3">
        <v>60100</v>
      </c>
      <c r="H629">
        <v>1</v>
      </c>
    </row>
    <row r="630" spans="1:8" x14ac:dyDescent="0.25">
      <c r="A630" s="1" t="s">
        <v>665</v>
      </c>
      <c r="B630" s="1" t="s">
        <v>6</v>
      </c>
      <c r="C630" s="1" t="s">
        <v>18</v>
      </c>
      <c r="D630" s="1" t="s">
        <v>3</v>
      </c>
      <c r="E630" s="2">
        <v>39106</v>
      </c>
      <c r="F630" s="1" t="s">
        <v>11</v>
      </c>
      <c r="G630" s="3">
        <v>45500</v>
      </c>
      <c r="H630">
        <v>3</v>
      </c>
    </row>
    <row r="631" spans="1:8" x14ac:dyDescent="0.25">
      <c r="A631" s="1" t="s">
        <v>666</v>
      </c>
      <c r="B631" s="1" t="s">
        <v>6</v>
      </c>
      <c r="C631" s="1" t="s">
        <v>18</v>
      </c>
      <c r="D631" s="1" t="s">
        <v>3</v>
      </c>
      <c r="E631" s="2">
        <v>40269</v>
      </c>
      <c r="F631" s="1" t="s">
        <v>11</v>
      </c>
      <c r="G631" s="3">
        <v>86260</v>
      </c>
      <c r="H631">
        <v>3</v>
      </c>
    </row>
    <row r="632" spans="1:8" x14ac:dyDescent="0.25">
      <c r="A632" s="1" t="s">
        <v>667</v>
      </c>
      <c r="B632" s="1" t="s">
        <v>6</v>
      </c>
      <c r="C632" s="1" t="s">
        <v>18</v>
      </c>
      <c r="D632" s="1" t="s">
        <v>3</v>
      </c>
      <c r="E632" s="2">
        <v>37509</v>
      </c>
      <c r="F632" s="1" t="s">
        <v>11</v>
      </c>
      <c r="G632" s="3">
        <v>69080</v>
      </c>
      <c r="H632">
        <v>3</v>
      </c>
    </row>
    <row r="633" spans="1:8" x14ac:dyDescent="0.25">
      <c r="A633" s="1" t="s">
        <v>668</v>
      </c>
      <c r="B633" s="1" t="s">
        <v>13</v>
      </c>
      <c r="C633" s="1" t="s">
        <v>35</v>
      </c>
      <c r="D633" s="1" t="s">
        <v>16</v>
      </c>
      <c r="E633" s="2">
        <v>41125</v>
      </c>
      <c r="G633" s="3">
        <v>70300</v>
      </c>
      <c r="H633">
        <v>3</v>
      </c>
    </row>
    <row r="634" spans="1:8" x14ac:dyDescent="0.25">
      <c r="A634" s="1" t="s">
        <v>669</v>
      </c>
      <c r="B634" s="1" t="s">
        <v>6</v>
      </c>
      <c r="C634" s="1" t="s">
        <v>30</v>
      </c>
      <c r="D634" s="1" t="s">
        <v>16</v>
      </c>
      <c r="E634" s="2">
        <v>41254</v>
      </c>
      <c r="G634" s="3">
        <v>44720</v>
      </c>
      <c r="H634">
        <v>2</v>
      </c>
    </row>
    <row r="635" spans="1:8" x14ac:dyDescent="0.25">
      <c r="A635" s="1" t="s">
        <v>670</v>
      </c>
      <c r="B635" s="1" t="s">
        <v>1</v>
      </c>
      <c r="C635" s="1" t="s">
        <v>2</v>
      </c>
      <c r="D635" s="1" t="s">
        <v>3</v>
      </c>
      <c r="E635" s="2">
        <v>36245</v>
      </c>
      <c r="F635" s="1" t="s">
        <v>4</v>
      </c>
      <c r="G635" s="3">
        <v>58410</v>
      </c>
      <c r="H635">
        <v>5</v>
      </c>
    </row>
    <row r="636" spans="1:8" x14ac:dyDescent="0.25">
      <c r="A636" s="1" t="s">
        <v>671</v>
      </c>
      <c r="B636" s="1" t="s">
        <v>6</v>
      </c>
      <c r="C636" s="1" t="s">
        <v>30</v>
      </c>
      <c r="D636" s="1" t="s">
        <v>16</v>
      </c>
      <c r="E636" s="2">
        <v>36297</v>
      </c>
      <c r="G636" s="3">
        <v>57990</v>
      </c>
      <c r="H636">
        <v>5</v>
      </c>
    </row>
    <row r="637" spans="1:8" x14ac:dyDescent="0.25">
      <c r="A637" s="1" t="s">
        <v>672</v>
      </c>
      <c r="B637" s="1" t="s">
        <v>1</v>
      </c>
      <c r="C637" s="1" t="s">
        <v>35</v>
      </c>
      <c r="D637" s="1" t="s">
        <v>3</v>
      </c>
      <c r="E637" s="2">
        <v>40568</v>
      </c>
      <c r="F637" s="1" t="s">
        <v>4</v>
      </c>
      <c r="G637" s="3">
        <v>46390</v>
      </c>
      <c r="H637">
        <v>5</v>
      </c>
    </row>
    <row r="638" spans="1:8" x14ac:dyDescent="0.25">
      <c r="A638" s="1" t="s">
        <v>673</v>
      </c>
      <c r="B638" s="1" t="s">
        <v>13</v>
      </c>
      <c r="C638" s="1" t="s">
        <v>59</v>
      </c>
      <c r="D638" s="1" t="s">
        <v>3</v>
      </c>
      <c r="E638" s="2">
        <v>40333</v>
      </c>
      <c r="F638" s="1" t="s">
        <v>21</v>
      </c>
      <c r="G638" s="3">
        <v>70480</v>
      </c>
      <c r="H638">
        <v>4</v>
      </c>
    </row>
    <row r="639" spans="1:8" x14ac:dyDescent="0.25">
      <c r="A639" s="1" t="s">
        <v>674</v>
      </c>
      <c r="B639" s="1" t="s">
        <v>6</v>
      </c>
      <c r="C639" s="1" t="s">
        <v>106</v>
      </c>
      <c r="D639" s="1" t="s">
        <v>16</v>
      </c>
      <c r="E639" s="2">
        <v>39189</v>
      </c>
      <c r="G639" s="3">
        <v>66580</v>
      </c>
      <c r="H639">
        <v>5</v>
      </c>
    </row>
    <row r="640" spans="1:8" x14ac:dyDescent="0.25">
      <c r="A640" s="1" t="s">
        <v>675</v>
      </c>
      <c r="B640" s="1" t="s">
        <v>6</v>
      </c>
      <c r="C640" s="1" t="s">
        <v>18</v>
      </c>
      <c r="D640" s="1" t="s">
        <v>3</v>
      </c>
      <c r="E640" s="2">
        <v>36009</v>
      </c>
      <c r="F640" s="1" t="s">
        <v>4</v>
      </c>
      <c r="G640" s="3">
        <v>75120</v>
      </c>
      <c r="H640">
        <v>5</v>
      </c>
    </row>
    <row r="641" spans="1:8" x14ac:dyDescent="0.25">
      <c r="A641" s="1" t="s">
        <v>676</v>
      </c>
      <c r="B641" s="1" t="s">
        <v>51</v>
      </c>
      <c r="C641" s="1" t="s">
        <v>30</v>
      </c>
      <c r="D641" s="1" t="s">
        <v>24</v>
      </c>
      <c r="E641" s="2">
        <v>39728</v>
      </c>
      <c r="F641" s="1" t="s">
        <v>4</v>
      </c>
      <c r="G641" s="3">
        <v>45565</v>
      </c>
      <c r="H641">
        <v>1</v>
      </c>
    </row>
    <row r="642" spans="1:8" x14ac:dyDescent="0.25">
      <c r="A642" s="1" t="s">
        <v>677</v>
      </c>
      <c r="B642" s="1" t="s">
        <v>13</v>
      </c>
      <c r="C642" s="1" t="s">
        <v>75</v>
      </c>
      <c r="D642" s="1" t="s">
        <v>3</v>
      </c>
      <c r="E642" s="2">
        <v>40292</v>
      </c>
      <c r="F642" s="1" t="s">
        <v>4</v>
      </c>
      <c r="G642" s="3">
        <v>23280</v>
      </c>
      <c r="H642">
        <v>1</v>
      </c>
    </row>
    <row r="643" spans="1:8" x14ac:dyDescent="0.25">
      <c r="A643" s="1" t="s">
        <v>678</v>
      </c>
      <c r="B643" s="1" t="s">
        <v>29</v>
      </c>
      <c r="C643" s="1" t="s">
        <v>59</v>
      </c>
      <c r="D643" s="1" t="s">
        <v>16</v>
      </c>
      <c r="E643" s="2">
        <v>38805</v>
      </c>
      <c r="G643" s="3">
        <v>53870</v>
      </c>
      <c r="H643">
        <v>2</v>
      </c>
    </row>
    <row r="644" spans="1:8" x14ac:dyDescent="0.25">
      <c r="A644" s="1" t="s">
        <v>679</v>
      </c>
      <c r="B644" s="1" t="s">
        <v>13</v>
      </c>
      <c r="C644" s="1" t="s">
        <v>57</v>
      </c>
      <c r="D644" s="1" t="s">
        <v>16</v>
      </c>
      <c r="E644" s="2">
        <v>39522</v>
      </c>
      <c r="G644" s="3">
        <v>71700</v>
      </c>
      <c r="H644">
        <v>2</v>
      </c>
    </row>
    <row r="645" spans="1:8" x14ac:dyDescent="0.25">
      <c r="A645" s="1" t="s">
        <v>680</v>
      </c>
      <c r="B645" s="1" t="s">
        <v>27</v>
      </c>
      <c r="C645" s="1" t="s">
        <v>2</v>
      </c>
      <c r="D645" s="1" t="s">
        <v>16</v>
      </c>
      <c r="E645" s="2">
        <v>38027</v>
      </c>
      <c r="G645" s="3">
        <v>64590</v>
      </c>
      <c r="H645">
        <v>1</v>
      </c>
    </row>
    <row r="646" spans="1:8" x14ac:dyDescent="0.25">
      <c r="A646" s="1" t="s">
        <v>681</v>
      </c>
      <c r="B646" s="1" t="s">
        <v>51</v>
      </c>
      <c r="C646" s="1" t="s">
        <v>35</v>
      </c>
      <c r="D646" s="1" t="s">
        <v>16</v>
      </c>
      <c r="E646" s="2">
        <v>39248</v>
      </c>
      <c r="G646" s="3">
        <v>78590</v>
      </c>
      <c r="H646">
        <v>1</v>
      </c>
    </row>
    <row r="647" spans="1:8" x14ac:dyDescent="0.25">
      <c r="A647" s="1" t="s">
        <v>682</v>
      </c>
      <c r="B647" s="1" t="s">
        <v>6</v>
      </c>
      <c r="C647" s="1" t="s">
        <v>18</v>
      </c>
      <c r="D647" s="1" t="s">
        <v>3</v>
      </c>
      <c r="E647" s="2">
        <v>37331</v>
      </c>
      <c r="F647" s="1" t="s">
        <v>11</v>
      </c>
      <c r="G647" s="3">
        <v>62750</v>
      </c>
      <c r="H647">
        <v>3</v>
      </c>
    </row>
    <row r="648" spans="1:8" x14ac:dyDescent="0.25">
      <c r="A648" s="1" t="s">
        <v>683</v>
      </c>
      <c r="B648" s="1" t="s">
        <v>1</v>
      </c>
      <c r="C648" s="1" t="s">
        <v>166</v>
      </c>
      <c r="D648" s="1" t="s">
        <v>16</v>
      </c>
      <c r="E648" s="2">
        <v>40253</v>
      </c>
      <c r="G648" s="3">
        <v>59350</v>
      </c>
      <c r="H648">
        <v>5</v>
      </c>
    </row>
    <row r="649" spans="1:8" x14ac:dyDescent="0.25">
      <c r="A649" s="1" t="s">
        <v>684</v>
      </c>
      <c r="B649" s="1" t="s">
        <v>1</v>
      </c>
      <c r="C649" s="1" t="s">
        <v>75</v>
      </c>
      <c r="D649" s="1" t="s">
        <v>16</v>
      </c>
      <c r="E649" s="2">
        <v>40368</v>
      </c>
      <c r="G649" s="3">
        <v>89310</v>
      </c>
      <c r="H649">
        <v>5</v>
      </c>
    </row>
    <row r="650" spans="1:8" x14ac:dyDescent="0.25">
      <c r="A650" s="1" t="s">
        <v>685</v>
      </c>
      <c r="B650" s="1" t="s">
        <v>6</v>
      </c>
      <c r="C650" s="1" t="s">
        <v>106</v>
      </c>
      <c r="D650" s="1" t="s">
        <v>24</v>
      </c>
      <c r="E650" s="2">
        <v>37782</v>
      </c>
      <c r="F650" s="1" t="s">
        <v>9</v>
      </c>
      <c r="G650" s="3">
        <v>17735</v>
      </c>
      <c r="H650">
        <v>3</v>
      </c>
    </row>
    <row r="651" spans="1:8" x14ac:dyDescent="0.25">
      <c r="A651" s="1" t="s">
        <v>686</v>
      </c>
      <c r="B651" s="1" t="s">
        <v>13</v>
      </c>
      <c r="C651" s="1" t="s">
        <v>2</v>
      </c>
      <c r="D651" s="1" t="s">
        <v>3</v>
      </c>
      <c r="E651" s="2">
        <v>39123</v>
      </c>
      <c r="F651" s="1" t="s">
        <v>4</v>
      </c>
      <c r="G651" s="3">
        <v>54270</v>
      </c>
      <c r="H651">
        <v>3</v>
      </c>
    </row>
    <row r="652" spans="1:8" x14ac:dyDescent="0.25">
      <c r="A652" s="1" t="s">
        <v>687</v>
      </c>
      <c r="B652" s="1" t="s">
        <v>1</v>
      </c>
      <c r="C652" s="1" t="s">
        <v>18</v>
      </c>
      <c r="D652" s="1" t="s">
        <v>3</v>
      </c>
      <c r="E652" s="2">
        <v>36318</v>
      </c>
      <c r="F652" s="1" t="s">
        <v>11</v>
      </c>
      <c r="G652" s="3">
        <v>68750</v>
      </c>
      <c r="H652">
        <v>1</v>
      </c>
    </row>
    <row r="653" spans="1:8" x14ac:dyDescent="0.25">
      <c r="A653" s="1" t="s">
        <v>688</v>
      </c>
      <c r="B653" s="1" t="s">
        <v>1</v>
      </c>
      <c r="C653" s="1" t="s">
        <v>18</v>
      </c>
      <c r="D653" s="1" t="s">
        <v>3</v>
      </c>
      <c r="E653" s="2">
        <v>39264</v>
      </c>
      <c r="F653" s="1" t="s">
        <v>25</v>
      </c>
      <c r="G653" s="3">
        <v>63070</v>
      </c>
      <c r="H653">
        <v>1</v>
      </c>
    </row>
    <row r="654" spans="1:8" x14ac:dyDescent="0.25">
      <c r="A654" s="1" t="s">
        <v>689</v>
      </c>
      <c r="B654" s="1" t="s">
        <v>1</v>
      </c>
      <c r="C654" s="1" t="s">
        <v>23</v>
      </c>
      <c r="D654" s="1" t="s">
        <v>3</v>
      </c>
      <c r="E654" s="2">
        <v>40947</v>
      </c>
      <c r="F654" s="1" t="s">
        <v>4</v>
      </c>
      <c r="G654" s="3">
        <v>79770</v>
      </c>
      <c r="H654">
        <v>4</v>
      </c>
    </row>
    <row r="655" spans="1:8" x14ac:dyDescent="0.25">
      <c r="A655" s="1" t="s">
        <v>690</v>
      </c>
      <c r="B655" s="1" t="s">
        <v>6</v>
      </c>
      <c r="C655" s="1" t="s">
        <v>75</v>
      </c>
      <c r="D655" s="1" t="s">
        <v>3</v>
      </c>
      <c r="E655" s="2">
        <v>40274</v>
      </c>
      <c r="F655" s="1" t="s">
        <v>25</v>
      </c>
      <c r="G655" s="3">
        <v>38730</v>
      </c>
      <c r="H655">
        <v>1</v>
      </c>
    </row>
    <row r="656" spans="1:8" x14ac:dyDescent="0.25">
      <c r="A656" s="1" t="s">
        <v>691</v>
      </c>
      <c r="B656" s="1" t="s">
        <v>1</v>
      </c>
      <c r="C656" s="1" t="s">
        <v>35</v>
      </c>
      <c r="D656" s="1" t="s">
        <v>3</v>
      </c>
      <c r="E656" s="2">
        <v>39435</v>
      </c>
      <c r="F656" s="1" t="s">
        <v>21</v>
      </c>
      <c r="G656" s="3">
        <v>64780</v>
      </c>
      <c r="H656">
        <v>5</v>
      </c>
    </row>
    <row r="657" spans="1:8" x14ac:dyDescent="0.25">
      <c r="A657" s="1" t="s">
        <v>692</v>
      </c>
      <c r="B657" s="1" t="s">
        <v>27</v>
      </c>
      <c r="C657" s="1" t="s">
        <v>106</v>
      </c>
      <c r="D657" s="1" t="s">
        <v>3</v>
      </c>
      <c r="E657" s="2">
        <v>37404</v>
      </c>
      <c r="F657" s="1" t="s">
        <v>4</v>
      </c>
      <c r="G657" s="3">
        <v>30780</v>
      </c>
      <c r="H657">
        <v>4</v>
      </c>
    </row>
    <row r="658" spans="1:8" x14ac:dyDescent="0.25">
      <c r="A658" s="1" t="s">
        <v>693</v>
      </c>
      <c r="B658" s="1" t="s">
        <v>27</v>
      </c>
      <c r="C658" s="1" t="s">
        <v>18</v>
      </c>
      <c r="D658" s="1" t="s">
        <v>3</v>
      </c>
      <c r="E658" s="2">
        <v>35801</v>
      </c>
      <c r="F658" s="1" t="s">
        <v>4</v>
      </c>
      <c r="G658" s="3">
        <v>78570</v>
      </c>
      <c r="H658">
        <v>1</v>
      </c>
    </row>
    <row r="659" spans="1:8" x14ac:dyDescent="0.25">
      <c r="A659" s="1" t="s">
        <v>694</v>
      </c>
      <c r="B659" s="1" t="s">
        <v>13</v>
      </c>
      <c r="C659" s="1" t="s">
        <v>197</v>
      </c>
      <c r="D659" s="1" t="s">
        <v>24</v>
      </c>
      <c r="E659" s="2">
        <v>40595</v>
      </c>
      <c r="F659" s="1" t="s">
        <v>25</v>
      </c>
      <c r="G659" s="3">
        <v>26795</v>
      </c>
      <c r="H659">
        <v>4</v>
      </c>
    </row>
    <row r="660" spans="1:8" x14ac:dyDescent="0.25">
      <c r="A660" s="1" t="s">
        <v>695</v>
      </c>
      <c r="B660" s="1" t="s">
        <v>1</v>
      </c>
      <c r="C660" s="1" t="s">
        <v>23</v>
      </c>
      <c r="D660" s="1" t="s">
        <v>3</v>
      </c>
      <c r="E660" s="2">
        <v>41233</v>
      </c>
      <c r="F660" s="1" t="s">
        <v>25</v>
      </c>
      <c r="G660" s="3">
        <v>68010</v>
      </c>
      <c r="H660">
        <v>1</v>
      </c>
    </row>
    <row r="661" spans="1:8" x14ac:dyDescent="0.25">
      <c r="A661" s="1" t="s">
        <v>696</v>
      </c>
      <c r="B661" s="1" t="s">
        <v>27</v>
      </c>
      <c r="C661" s="1" t="s">
        <v>35</v>
      </c>
      <c r="D661" s="1" t="s">
        <v>3</v>
      </c>
      <c r="E661" s="2">
        <v>36080</v>
      </c>
      <c r="F661" s="1" t="s">
        <v>11</v>
      </c>
      <c r="G661" s="3">
        <v>48410</v>
      </c>
      <c r="H661">
        <v>5</v>
      </c>
    </row>
    <row r="662" spans="1:8" x14ac:dyDescent="0.25">
      <c r="A662" s="1" t="s">
        <v>697</v>
      </c>
      <c r="B662" s="1" t="s">
        <v>29</v>
      </c>
      <c r="C662" s="1" t="s">
        <v>75</v>
      </c>
      <c r="D662" s="1" t="s">
        <v>24</v>
      </c>
      <c r="E662" s="2">
        <v>39802</v>
      </c>
      <c r="F662" s="1" t="s">
        <v>9</v>
      </c>
      <c r="G662" s="3">
        <v>22535</v>
      </c>
      <c r="H662">
        <v>3</v>
      </c>
    </row>
    <row r="663" spans="1:8" x14ac:dyDescent="0.25">
      <c r="A663" s="1" t="s">
        <v>698</v>
      </c>
      <c r="B663" s="1" t="s">
        <v>13</v>
      </c>
      <c r="C663" s="1" t="s">
        <v>73</v>
      </c>
      <c r="D663" s="1" t="s">
        <v>3</v>
      </c>
      <c r="E663" s="2">
        <v>36893</v>
      </c>
      <c r="F663" s="1" t="s">
        <v>11</v>
      </c>
      <c r="G663" s="3">
        <v>33640</v>
      </c>
      <c r="H663">
        <v>3</v>
      </c>
    </row>
    <row r="664" spans="1:8" x14ac:dyDescent="0.25">
      <c r="A664" s="1" t="s">
        <v>699</v>
      </c>
      <c r="B664" s="1" t="s">
        <v>29</v>
      </c>
      <c r="C664" s="1" t="s">
        <v>106</v>
      </c>
      <c r="D664" s="1" t="s">
        <v>3</v>
      </c>
      <c r="E664" s="2">
        <v>39069</v>
      </c>
      <c r="F664" s="1" t="s">
        <v>21</v>
      </c>
      <c r="G664" s="3">
        <v>37670</v>
      </c>
      <c r="H664">
        <v>3</v>
      </c>
    </row>
    <row r="665" spans="1:8" x14ac:dyDescent="0.25">
      <c r="A665" s="1" t="s">
        <v>700</v>
      </c>
      <c r="B665" s="1" t="s">
        <v>51</v>
      </c>
      <c r="C665" s="1" t="s">
        <v>2</v>
      </c>
      <c r="D665" s="1" t="s">
        <v>3</v>
      </c>
      <c r="E665" s="2">
        <v>39002</v>
      </c>
      <c r="F665" s="1" t="s">
        <v>11</v>
      </c>
      <c r="G665" s="3">
        <v>32120</v>
      </c>
      <c r="H665">
        <v>1</v>
      </c>
    </row>
    <row r="666" spans="1:8" x14ac:dyDescent="0.25">
      <c r="A666" s="1" t="s">
        <v>701</v>
      </c>
      <c r="B666" s="1" t="s">
        <v>27</v>
      </c>
      <c r="C666" s="1" t="s">
        <v>8</v>
      </c>
      <c r="D666" s="1" t="s">
        <v>16</v>
      </c>
      <c r="E666" s="2">
        <v>40054</v>
      </c>
      <c r="G666" s="3">
        <v>56920</v>
      </c>
      <c r="H666">
        <v>4</v>
      </c>
    </row>
    <row r="667" spans="1:8" x14ac:dyDescent="0.25">
      <c r="A667" s="1" t="s">
        <v>702</v>
      </c>
      <c r="B667" s="1" t="s">
        <v>6</v>
      </c>
      <c r="C667" s="1" t="s">
        <v>92</v>
      </c>
      <c r="D667" s="1" t="s">
        <v>24</v>
      </c>
      <c r="E667" s="2">
        <v>39515</v>
      </c>
      <c r="F667" s="1" t="s">
        <v>21</v>
      </c>
      <c r="G667" s="3">
        <v>89780</v>
      </c>
      <c r="H667">
        <v>4</v>
      </c>
    </row>
    <row r="668" spans="1:8" x14ac:dyDescent="0.25">
      <c r="A668" s="1" t="s">
        <v>703</v>
      </c>
      <c r="B668" s="1" t="s">
        <v>51</v>
      </c>
      <c r="C668" s="1" t="s">
        <v>59</v>
      </c>
      <c r="D668" s="1" t="s">
        <v>3</v>
      </c>
      <c r="E668" s="2">
        <v>40552</v>
      </c>
      <c r="F668" s="1" t="s">
        <v>4</v>
      </c>
      <c r="G668" s="3">
        <v>62740</v>
      </c>
      <c r="H668">
        <v>4</v>
      </c>
    </row>
    <row r="669" spans="1:8" x14ac:dyDescent="0.25">
      <c r="A669" s="1" t="s">
        <v>704</v>
      </c>
      <c r="B669" s="1" t="s">
        <v>1</v>
      </c>
      <c r="C669" s="1" t="s">
        <v>18</v>
      </c>
      <c r="D669" s="1" t="s">
        <v>16</v>
      </c>
      <c r="E669" s="2">
        <v>40449</v>
      </c>
      <c r="G669" s="3">
        <v>88840</v>
      </c>
      <c r="H669">
        <v>5</v>
      </c>
    </row>
    <row r="670" spans="1:8" x14ac:dyDescent="0.25">
      <c r="A670" s="1" t="s">
        <v>705</v>
      </c>
      <c r="B670" s="1" t="s">
        <v>51</v>
      </c>
      <c r="C670" s="1" t="s">
        <v>59</v>
      </c>
      <c r="D670" s="1" t="s">
        <v>24</v>
      </c>
      <c r="E670" s="2">
        <v>37141</v>
      </c>
      <c r="F670" s="1" t="s">
        <v>9</v>
      </c>
      <c r="G670" s="3">
        <v>15910</v>
      </c>
      <c r="H670">
        <v>3</v>
      </c>
    </row>
    <row r="671" spans="1:8" x14ac:dyDescent="0.25">
      <c r="A671" s="1" t="s">
        <v>706</v>
      </c>
      <c r="B671" s="1" t="s">
        <v>13</v>
      </c>
      <c r="C671" s="1" t="s">
        <v>2</v>
      </c>
      <c r="D671" s="1" t="s">
        <v>32</v>
      </c>
      <c r="E671" s="2">
        <v>35869</v>
      </c>
      <c r="G671" s="3">
        <v>17912</v>
      </c>
      <c r="H671">
        <v>5</v>
      </c>
    </row>
    <row r="672" spans="1:8" x14ac:dyDescent="0.25">
      <c r="A672" s="1" t="s">
        <v>707</v>
      </c>
      <c r="B672" s="1" t="s">
        <v>13</v>
      </c>
      <c r="C672" s="1" t="s">
        <v>2</v>
      </c>
      <c r="D672" s="1" t="s">
        <v>3</v>
      </c>
      <c r="E672" s="2">
        <v>39153</v>
      </c>
      <c r="F672" s="1" t="s">
        <v>11</v>
      </c>
      <c r="G672" s="3">
        <v>43600</v>
      </c>
      <c r="H672">
        <v>5</v>
      </c>
    </row>
    <row r="673" spans="1:8" x14ac:dyDescent="0.25">
      <c r="A673" s="1" t="s">
        <v>708</v>
      </c>
      <c r="B673" s="1" t="s">
        <v>27</v>
      </c>
      <c r="C673" s="1" t="s">
        <v>23</v>
      </c>
      <c r="D673" s="1" t="s">
        <v>16</v>
      </c>
      <c r="E673" s="2">
        <v>40468</v>
      </c>
      <c r="G673" s="3">
        <v>39440</v>
      </c>
      <c r="H673">
        <v>4</v>
      </c>
    </row>
    <row r="674" spans="1:8" x14ac:dyDescent="0.25">
      <c r="A674" s="1" t="s">
        <v>709</v>
      </c>
      <c r="B674" s="1" t="s">
        <v>27</v>
      </c>
      <c r="C674" s="1" t="s">
        <v>59</v>
      </c>
      <c r="D674" s="1" t="s">
        <v>16</v>
      </c>
      <c r="E674" s="2">
        <v>39592</v>
      </c>
      <c r="G674" s="3">
        <v>57520</v>
      </c>
      <c r="H674">
        <v>3</v>
      </c>
    </row>
    <row r="675" spans="1:8" x14ac:dyDescent="0.25">
      <c r="A675" s="1" t="s">
        <v>710</v>
      </c>
      <c r="B675" s="1" t="s">
        <v>51</v>
      </c>
      <c r="C675" s="1" t="s">
        <v>75</v>
      </c>
      <c r="D675" s="1" t="s">
        <v>16</v>
      </c>
      <c r="E675" s="2">
        <v>39922</v>
      </c>
      <c r="G675" s="3">
        <v>25790</v>
      </c>
      <c r="H675">
        <v>3</v>
      </c>
    </row>
    <row r="676" spans="1:8" x14ac:dyDescent="0.25">
      <c r="A676" s="1" t="s">
        <v>711</v>
      </c>
      <c r="B676" s="1" t="s">
        <v>6</v>
      </c>
      <c r="C676" s="1" t="s">
        <v>30</v>
      </c>
      <c r="D676" s="1" t="s">
        <v>3</v>
      </c>
      <c r="E676" s="2">
        <v>36393</v>
      </c>
      <c r="F676" s="1" t="s">
        <v>11</v>
      </c>
      <c r="G676" s="3">
        <v>65910</v>
      </c>
      <c r="H676">
        <v>5</v>
      </c>
    </row>
    <row r="677" spans="1:8" x14ac:dyDescent="0.25">
      <c r="A677" s="1" t="s">
        <v>712</v>
      </c>
      <c r="B677" s="1" t="s">
        <v>6</v>
      </c>
      <c r="C677" s="1" t="s">
        <v>30</v>
      </c>
      <c r="D677" s="1" t="s">
        <v>16</v>
      </c>
      <c r="E677" s="2">
        <v>37404</v>
      </c>
      <c r="G677" s="3">
        <v>60070</v>
      </c>
      <c r="H677">
        <v>3</v>
      </c>
    </row>
    <row r="678" spans="1:8" x14ac:dyDescent="0.25">
      <c r="A678" s="1" t="s">
        <v>713</v>
      </c>
      <c r="B678" s="1" t="s">
        <v>6</v>
      </c>
      <c r="C678" s="1" t="s">
        <v>37</v>
      </c>
      <c r="D678" s="1" t="s">
        <v>3</v>
      </c>
      <c r="E678" s="2">
        <v>36898</v>
      </c>
      <c r="F678" s="1" t="s">
        <v>4</v>
      </c>
      <c r="G678" s="3">
        <v>71820</v>
      </c>
      <c r="H678">
        <v>2</v>
      </c>
    </row>
    <row r="679" spans="1:8" x14ac:dyDescent="0.25">
      <c r="A679" s="1" t="s">
        <v>714</v>
      </c>
      <c r="B679" s="1" t="s">
        <v>1</v>
      </c>
      <c r="C679" s="1" t="s">
        <v>8</v>
      </c>
      <c r="D679" s="1" t="s">
        <v>3</v>
      </c>
      <c r="E679" s="2">
        <v>39199</v>
      </c>
      <c r="F679" s="1" t="s">
        <v>4</v>
      </c>
      <c r="G679" s="3">
        <v>31840</v>
      </c>
      <c r="H679">
        <v>1</v>
      </c>
    </row>
    <row r="680" spans="1:8" x14ac:dyDescent="0.25">
      <c r="A680" s="1" t="s">
        <v>715</v>
      </c>
      <c r="B680" s="1" t="s">
        <v>1</v>
      </c>
      <c r="C680" s="1" t="s">
        <v>2</v>
      </c>
      <c r="D680" s="1" t="s">
        <v>3</v>
      </c>
      <c r="E680" s="2">
        <v>38902</v>
      </c>
      <c r="F680" s="1" t="s">
        <v>4</v>
      </c>
      <c r="G680" s="3">
        <v>73560</v>
      </c>
      <c r="H680">
        <v>3</v>
      </c>
    </row>
    <row r="681" spans="1:8" x14ac:dyDescent="0.25">
      <c r="A681" s="1" t="s">
        <v>716</v>
      </c>
      <c r="B681" s="1" t="s">
        <v>13</v>
      </c>
      <c r="C681" s="1" t="s">
        <v>18</v>
      </c>
      <c r="D681" s="1" t="s">
        <v>3</v>
      </c>
      <c r="E681" s="2">
        <v>38146</v>
      </c>
      <c r="F681" s="1" t="s">
        <v>4</v>
      </c>
      <c r="G681" s="3">
        <v>47340</v>
      </c>
      <c r="H681">
        <v>2</v>
      </c>
    </row>
    <row r="682" spans="1:8" x14ac:dyDescent="0.25">
      <c r="A682" s="1" t="s">
        <v>717</v>
      </c>
      <c r="B682" s="1" t="s">
        <v>1</v>
      </c>
      <c r="C682" s="1" t="s">
        <v>2</v>
      </c>
      <c r="D682" s="1" t="s">
        <v>3</v>
      </c>
      <c r="E682" s="2">
        <v>40521</v>
      </c>
      <c r="F682" s="1" t="s">
        <v>11</v>
      </c>
      <c r="G682" s="3">
        <v>34330</v>
      </c>
      <c r="H682">
        <v>3</v>
      </c>
    </row>
    <row r="683" spans="1:8" x14ac:dyDescent="0.25">
      <c r="A683" s="1" t="s">
        <v>718</v>
      </c>
      <c r="B683" s="1" t="s">
        <v>51</v>
      </c>
      <c r="C683" s="1" t="s">
        <v>30</v>
      </c>
      <c r="D683" s="1" t="s">
        <v>3</v>
      </c>
      <c r="E683" s="2">
        <v>39807</v>
      </c>
      <c r="F683" s="1" t="s">
        <v>25</v>
      </c>
      <c r="G683" s="3">
        <v>88820</v>
      </c>
      <c r="H683">
        <v>2</v>
      </c>
    </row>
    <row r="684" spans="1:8" x14ac:dyDescent="0.25">
      <c r="A684" s="1" t="s">
        <v>719</v>
      </c>
      <c r="B684" s="1" t="s">
        <v>1</v>
      </c>
      <c r="C684" s="1" t="s">
        <v>18</v>
      </c>
      <c r="D684" s="1" t="s">
        <v>3</v>
      </c>
      <c r="E684" s="2">
        <v>39472</v>
      </c>
      <c r="F684" s="1" t="s">
        <v>4</v>
      </c>
      <c r="G684" s="3">
        <v>87760</v>
      </c>
      <c r="H684">
        <v>1</v>
      </c>
    </row>
    <row r="685" spans="1:8" x14ac:dyDescent="0.25">
      <c r="A685" s="1" t="s">
        <v>720</v>
      </c>
      <c r="B685" s="1" t="s">
        <v>51</v>
      </c>
      <c r="C685" s="1" t="s">
        <v>166</v>
      </c>
      <c r="D685" s="1" t="s">
        <v>3</v>
      </c>
      <c r="E685" s="2">
        <v>39388</v>
      </c>
      <c r="F685" s="1" t="s">
        <v>4</v>
      </c>
      <c r="G685" s="3">
        <v>71120</v>
      </c>
      <c r="H685">
        <v>4</v>
      </c>
    </row>
    <row r="686" spans="1:8" x14ac:dyDescent="0.25">
      <c r="A686" s="1" t="s">
        <v>721</v>
      </c>
      <c r="B686" s="1" t="s">
        <v>6</v>
      </c>
      <c r="C686" s="1" t="s">
        <v>8</v>
      </c>
      <c r="D686" s="1" t="s">
        <v>3</v>
      </c>
      <c r="E686" s="2">
        <v>39326</v>
      </c>
      <c r="F686" s="1" t="s">
        <v>4</v>
      </c>
      <c r="G686" s="3">
        <v>72900</v>
      </c>
      <c r="H686">
        <v>3</v>
      </c>
    </row>
    <row r="687" spans="1:8" x14ac:dyDescent="0.25">
      <c r="A687" s="1" t="s">
        <v>722</v>
      </c>
      <c r="B687" s="1" t="s">
        <v>29</v>
      </c>
      <c r="C687" s="1" t="s">
        <v>18</v>
      </c>
      <c r="D687" s="1" t="s">
        <v>3</v>
      </c>
      <c r="E687" s="2">
        <v>35830</v>
      </c>
      <c r="F687" s="1" t="s">
        <v>21</v>
      </c>
      <c r="G687" s="3">
        <v>35460</v>
      </c>
      <c r="H687">
        <v>5</v>
      </c>
    </row>
    <row r="688" spans="1:8" x14ac:dyDescent="0.25">
      <c r="A688" s="1" t="s">
        <v>723</v>
      </c>
      <c r="B688" s="1" t="s">
        <v>6</v>
      </c>
      <c r="C688" s="1" t="s">
        <v>57</v>
      </c>
      <c r="D688" s="1" t="s">
        <v>16</v>
      </c>
      <c r="E688" s="2">
        <v>38854</v>
      </c>
      <c r="G688" s="3">
        <v>44820</v>
      </c>
      <c r="H688">
        <v>4</v>
      </c>
    </row>
    <row r="689" spans="1:8" x14ac:dyDescent="0.25">
      <c r="A689" s="1" t="s">
        <v>724</v>
      </c>
      <c r="B689" s="1" t="s">
        <v>29</v>
      </c>
      <c r="C689" s="1" t="s">
        <v>75</v>
      </c>
      <c r="D689" s="1" t="s">
        <v>16</v>
      </c>
      <c r="E689" s="2">
        <v>35940</v>
      </c>
      <c r="G689" s="3">
        <v>88000</v>
      </c>
      <c r="H689">
        <v>5</v>
      </c>
    </row>
    <row r="690" spans="1:8" x14ac:dyDescent="0.25">
      <c r="A690" s="1" t="s">
        <v>725</v>
      </c>
      <c r="B690" s="1" t="s">
        <v>13</v>
      </c>
      <c r="C690" s="1" t="s">
        <v>30</v>
      </c>
      <c r="D690" s="1" t="s">
        <v>16</v>
      </c>
      <c r="E690" s="2">
        <v>39742</v>
      </c>
      <c r="G690" s="3">
        <v>23020</v>
      </c>
      <c r="H690">
        <v>4</v>
      </c>
    </row>
    <row r="691" spans="1:8" x14ac:dyDescent="0.25">
      <c r="A691" s="1" t="s">
        <v>726</v>
      </c>
      <c r="B691" s="1" t="s">
        <v>1</v>
      </c>
      <c r="C691" s="1" t="s">
        <v>23</v>
      </c>
      <c r="D691" s="1" t="s">
        <v>16</v>
      </c>
      <c r="E691" s="2">
        <v>41116</v>
      </c>
      <c r="G691" s="3">
        <v>32650</v>
      </c>
      <c r="H691">
        <v>1</v>
      </c>
    </row>
    <row r="692" spans="1:8" x14ac:dyDescent="0.25">
      <c r="A692" s="1" t="s">
        <v>727</v>
      </c>
      <c r="B692" s="1" t="s">
        <v>6</v>
      </c>
      <c r="C692" s="1" t="s">
        <v>2</v>
      </c>
      <c r="D692" s="1" t="s">
        <v>3</v>
      </c>
      <c r="E692" s="2">
        <v>41157</v>
      </c>
      <c r="F692" s="1" t="s">
        <v>9</v>
      </c>
      <c r="G692" s="3">
        <v>86240</v>
      </c>
      <c r="H692">
        <v>1</v>
      </c>
    </row>
    <row r="693" spans="1:8" x14ac:dyDescent="0.25">
      <c r="A693" s="1" t="s">
        <v>728</v>
      </c>
      <c r="B693" s="1" t="s">
        <v>13</v>
      </c>
      <c r="C693" s="1" t="s">
        <v>30</v>
      </c>
      <c r="D693" s="1" t="s">
        <v>24</v>
      </c>
      <c r="E693" s="2">
        <v>40421</v>
      </c>
      <c r="F693" s="1" t="s">
        <v>25</v>
      </c>
      <c r="G693" s="3">
        <v>49355</v>
      </c>
      <c r="H693">
        <v>5</v>
      </c>
    </row>
    <row r="694" spans="1:8" x14ac:dyDescent="0.25">
      <c r="A694" s="1" t="s">
        <v>729</v>
      </c>
      <c r="B694" s="1" t="s">
        <v>1</v>
      </c>
      <c r="C694" s="1" t="s">
        <v>73</v>
      </c>
      <c r="D694" s="1" t="s">
        <v>3</v>
      </c>
      <c r="E694" s="2">
        <v>39414</v>
      </c>
      <c r="F694" s="1" t="s">
        <v>4</v>
      </c>
      <c r="G694" s="3">
        <v>73440</v>
      </c>
      <c r="H694">
        <v>1</v>
      </c>
    </row>
    <row r="695" spans="1:8" x14ac:dyDescent="0.25">
      <c r="A695" s="1" t="s">
        <v>730</v>
      </c>
      <c r="B695" s="1" t="s">
        <v>6</v>
      </c>
      <c r="C695" s="1" t="s">
        <v>30</v>
      </c>
      <c r="D695" s="1" t="s">
        <v>3</v>
      </c>
      <c r="E695" s="2">
        <v>39673</v>
      </c>
      <c r="F695" s="1" t="s">
        <v>4</v>
      </c>
      <c r="G695" s="3">
        <v>48080</v>
      </c>
      <c r="H695">
        <v>2</v>
      </c>
    </row>
    <row r="696" spans="1:8" x14ac:dyDescent="0.25">
      <c r="A696" s="1" t="s">
        <v>731</v>
      </c>
      <c r="B696" s="1" t="s">
        <v>1</v>
      </c>
      <c r="C696" s="1" t="s">
        <v>35</v>
      </c>
      <c r="D696" s="1" t="s">
        <v>3</v>
      </c>
      <c r="E696" s="2">
        <v>38914</v>
      </c>
      <c r="F696" s="1" t="s">
        <v>11</v>
      </c>
      <c r="G696" s="3">
        <v>41380</v>
      </c>
      <c r="H696">
        <v>2</v>
      </c>
    </row>
    <row r="697" spans="1:8" x14ac:dyDescent="0.25">
      <c r="A697" s="1" t="s">
        <v>732</v>
      </c>
      <c r="B697" s="1" t="s">
        <v>27</v>
      </c>
      <c r="C697" s="1" t="s">
        <v>2</v>
      </c>
      <c r="D697" s="1" t="s">
        <v>16</v>
      </c>
      <c r="E697" s="2">
        <v>37082</v>
      </c>
      <c r="G697" s="3">
        <v>46780</v>
      </c>
      <c r="H697">
        <v>2</v>
      </c>
    </row>
    <row r="698" spans="1:8" x14ac:dyDescent="0.25">
      <c r="A698" s="1" t="s">
        <v>733</v>
      </c>
      <c r="B698" s="1" t="s">
        <v>27</v>
      </c>
      <c r="C698" s="1" t="s">
        <v>75</v>
      </c>
      <c r="D698" s="1" t="s">
        <v>3</v>
      </c>
      <c r="E698" s="2">
        <v>40575</v>
      </c>
      <c r="F698" s="1" t="s">
        <v>9</v>
      </c>
      <c r="G698" s="3">
        <v>74710</v>
      </c>
      <c r="H698">
        <v>2</v>
      </c>
    </row>
    <row r="699" spans="1:8" x14ac:dyDescent="0.25">
      <c r="A699" s="1" t="s">
        <v>734</v>
      </c>
      <c r="B699" s="1" t="s">
        <v>1</v>
      </c>
      <c r="C699" s="1" t="s">
        <v>18</v>
      </c>
      <c r="D699" s="1" t="s">
        <v>3</v>
      </c>
      <c r="E699" s="2">
        <v>38990</v>
      </c>
      <c r="F699" s="1" t="s">
        <v>25</v>
      </c>
      <c r="G699" s="3">
        <v>66430</v>
      </c>
      <c r="H699">
        <v>2</v>
      </c>
    </row>
    <row r="700" spans="1:8" x14ac:dyDescent="0.25">
      <c r="A700" s="1" t="s">
        <v>735</v>
      </c>
      <c r="B700" s="1" t="s">
        <v>1</v>
      </c>
      <c r="C700" s="1" t="s">
        <v>59</v>
      </c>
      <c r="D700" s="1" t="s">
        <v>24</v>
      </c>
      <c r="E700" s="2">
        <v>36094</v>
      </c>
      <c r="F700" s="1" t="s">
        <v>4</v>
      </c>
      <c r="G700" s="3">
        <v>47885</v>
      </c>
      <c r="H700">
        <v>1</v>
      </c>
    </row>
    <row r="701" spans="1:8" x14ac:dyDescent="0.25">
      <c r="A701" s="1" t="s">
        <v>736</v>
      </c>
      <c r="B701" s="1" t="s">
        <v>29</v>
      </c>
      <c r="C701" s="1" t="s">
        <v>30</v>
      </c>
      <c r="D701" s="1" t="s">
        <v>3</v>
      </c>
      <c r="E701" s="2">
        <v>39519</v>
      </c>
      <c r="F701" s="1" t="s">
        <v>9</v>
      </c>
      <c r="G701" s="3">
        <v>61330</v>
      </c>
      <c r="H701">
        <v>2</v>
      </c>
    </row>
    <row r="702" spans="1:8" x14ac:dyDescent="0.25">
      <c r="A702" s="1" t="s">
        <v>737</v>
      </c>
      <c r="B702" s="1" t="s">
        <v>13</v>
      </c>
      <c r="C702" s="1" t="s">
        <v>18</v>
      </c>
      <c r="D702" s="1" t="s">
        <v>3</v>
      </c>
      <c r="E702" s="2">
        <v>39403</v>
      </c>
      <c r="F702" s="1" t="s">
        <v>25</v>
      </c>
      <c r="G702" s="3">
        <v>38940</v>
      </c>
      <c r="H702">
        <v>2</v>
      </c>
    </row>
    <row r="703" spans="1:8" x14ac:dyDescent="0.25">
      <c r="A703" s="1" t="s">
        <v>738</v>
      </c>
      <c r="B703" s="1" t="s">
        <v>13</v>
      </c>
      <c r="C703" s="1" t="s">
        <v>63</v>
      </c>
      <c r="D703" s="1" t="s">
        <v>24</v>
      </c>
      <c r="E703" s="2">
        <v>39735</v>
      </c>
      <c r="F703" s="1" t="s">
        <v>25</v>
      </c>
      <c r="G703" s="3">
        <v>39620</v>
      </c>
      <c r="H703">
        <v>5</v>
      </c>
    </row>
    <row r="704" spans="1:8" x14ac:dyDescent="0.25">
      <c r="A704" s="1" t="s">
        <v>739</v>
      </c>
      <c r="B704" s="1" t="s">
        <v>1</v>
      </c>
      <c r="C704" s="1" t="s">
        <v>18</v>
      </c>
      <c r="D704" s="1" t="s">
        <v>3</v>
      </c>
      <c r="E704" s="2">
        <v>37866</v>
      </c>
      <c r="F704" s="1" t="s">
        <v>25</v>
      </c>
      <c r="G704" s="3">
        <v>54230</v>
      </c>
      <c r="H704">
        <v>5</v>
      </c>
    </row>
    <row r="705" spans="1:8" x14ac:dyDescent="0.25">
      <c r="A705" s="1" t="s">
        <v>740</v>
      </c>
      <c r="B705" s="1" t="s">
        <v>6</v>
      </c>
      <c r="C705" s="1" t="s">
        <v>63</v>
      </c>
      <c r="D705" s="1" t="s">
        <v>3</v>
      </c>
      <c r="E705" s="2">
        <v>40765</v>
      </c>
      <c r="F705" s="1" t="s">
        <v>11</v>
      </c>
      <c r="G705" s="3">
        <v>77720</v>
      </c>
      <c r="H705">
        <v>3</v>
      </c>
    </row>
    <row r="706" spans="1:8" x14ac:dyDescent="0.25">
      <c r="A706" s="1" t="s">
        <v>741</v>
      </c>
      <c r="B706" s="1" t="s">
        <v>29</v>
      </c>
      <c r="C706" s="1" t="s">
        <v>197</v>
      </c>
      <c r="D706" s="1" t="s">
        <v>3</v>
      </c>
      <c r="E706" s="2">
        <v>39447</v>
      </c>
      <c r="F706" s="1" t="s">
        <v>21</v>
      </c>
      <c r="G706" s="3">
        <v>72830</v>
      </c>
      <c r="H706">
        <v>2</v>
      </c>
    </row>
    <row r="707" spans="1:8" x14ac:dyDescent="0.25">
      <c r="A707" s="1" t="s">
        <v>742</v>
      </c>
      <c r="B707" s="1" t="s">
        <v>29</v>
      </c>
      <c r="C707" s="1" t="s">
        <v>35</v>
      </c>
      <c r="D707" s="1" t="s">
        <v>3</v>
      </c>
      <c r="E707" s="2">
        <v>40536</v>
      </c>
      <c r="F707" s="1" t="s">
        <v>11</v>
      </c>
      <c r="G707" s="3">
        <v>70730</v>
      </c>
      <c r="H707">
        <v>1</v>
      </c>
    </row>
    <row r="708" spans="1:8" x14ac:dyDescent="0.25">
      <c r="A708" s="1" t="s">
        <v>743</v>
      </c>
      <c r="B708" s="1" t="s">
        <v>6</v>
      </c>
      <c r="C708" s="1" t="s">
        <v>59</v>
      </c>
      <c r="D708" s="1" t="s">
        <v>24</v>
      </c>
      <c r="E708" s="2">
        <v>37166</v>
      </c>
      <c r="F708" s="1" t="s">
        <v>25</v>
      </c>
      <c r="G708" s="3">
        <v>47295</v>
      </c>
      <c r="H708">
        <v>4</v>
      </c>
    </row>
    <row r="709" spans="1:8" x14ac:dyDescent="0.25">
      <c r="A709" s="1" t="s">
        <v>744</v>
      </c>
      <c r="B709" s="1" t="s">
        <v>13</v>
      </c>
      <c r="C709" s="1" t="s">
        <v>75</v>
      </c>
      <c r="D709" s="1" t="s">
        <v>16</v>
      </c>
      <c r="E709" s="2">
        <v>40273</v>
      </c>
      <c r="G709" s="3">
        <v>50550</v>
      </c>
      <c r="H709">
        <v>2</v>
      </c>
    </row>
    <row r="710" spans="1:8" x14ac:dyDescent="0.25">
      <c r="A710" s="1" t="s">
        <v>745</v>
      </c>
      <c r="B710" s="1" t="s">
        <v>1</v>
      </c>
      <c r="C710" s="1" t="s">
        <v>35</v>
      </c>
      <c r="D710" s="1" t="s">
        <v>3</v>
      </c>
      <c r="E710" s="2">
        <v>36619</v>
      </c>
      <c r="F710" s="1" t="s">
        <v>25</v>
      </c>
      <c r="G710" s="3">
        <v>71970</v>
      </c>
      <c r="H710">
        <v>4</v>
      </c>
    </row>
    <row r="711" spans="1:8" x14ac:dyDescent="0.25">
      <c r="A711" s="1" t="s">
        <v>746</v>
      </c>
      <c r="B711" s="1" t="s">
        <v>1</v>
      </c>
      <c r="C711" s="1" t="s">
        <v>30</v>
      </c>
      <c r="D711" s="1" t="s">
        <v>3</v>
      </c>
      <c r="E711" s="2">
        <v>39446</v>
      </c>
      <c r="F711" s="1" t="s">
        <v>4</v>
      </c>
      <c r="G711" s="3">
        <v>44650</v>
      </c>
      <c r="H711">
        <v>1</v>
      </c>
    </row>
    <row r="712" spans="1:8" x14ac:dyDescent="0.25">
      <c r="A712" s="1" t="s">
        <v>747</v>
      </c>
      <c r="B712" s="1" t="s">
        <v>13</v>
      </c>
      <c r="C712" s="1" t="s">
        <v>30</v>
      </c>
      <c r="D712" s="1" t="s">
        <v>3</v>
      </c>
      <c r="E712" s="2">
        <v>40208</v>
      </c>
      <c r="F712" s="1" t="s">
        <v>25</v>
      </c>
      <c r="G712" s="3">
        <v>61148</v>
      </c>
      <c r="H712">
        <v>2</v>
      </c>
    </row>
    <row r="713" spans="1:8" x14ac:dyDescent="0.25">
      <c r="A713" s="1" t="s">
        <v>748</v>
      </c>
      <c r="B713" s="1" t="s">
        <v>13</v>
      </c>
      <c r="C713" s="1" t="s">
        <v>75</v>
      </c>
      <c r="D713" s="1" t="s">
        <v>16</v>
      </c>
      <c r="E713" s="2">
        <v>39094</v>
      </c>
      <c r="G713" s="3">
        <v>83020</v>
      </c>
      <c r="H713">
        <v>4</v>
      </c>
    </row>
    <row r="714" spans="1:8" x14ac:dyDescent="0.25">
      <c r="A714" s="1" t="s">
        <v>749</v>
      </c>
      <c r="B714" s="1" t="s">
        <v>1</v>
      </c>
      <c r="C714" s="1" t="s">
        <v>18</v>
      </c>
      <c r="D714" s="1" t="s">
        <v>3</v>
      </c>
      <c r="E714" s="2">
        <v>36707</v>
      </c>
      <c r="F714" s="1" t="s">
        <v>9</v>
      </c>
      <c r="G714" s="3">
        <v>38870</v>
      </c>
      <c r="H714">
        <v>2</v>
      </c>
    </row>
    <row r="715" spans="1:8" x14ac:dyDescent="0.25">
      <c r="A715" s="1" t="s">
        <v>750</v>
      </c>
      <c r="B715" s="1" t="s">
        <v>29</v>
      </c>
      <c r="C715" s="1" t="s">
        <v>106</v>
      </c>
      <c r="D715" s="1" t="s">
        <v>3</v>
      </c>
      <c r="E715" s="2">
        <v>36764</v>
      </c>
      <c r="F715" s="1" t="s">
        <v>9</v>
      </c>
      <c r="G715" s="3">
        <v>74840</v>
      </c>
      <c r="H715">
        <v>4</v>
      </c>
    </row>
    <row r="716" spans="1:8" x14ac:dyDescent="0.25">
      <c r="A716" s="1" t="s">
        <v>751</v>
      </c>
      <c r="B716" s="1" t="s">
        <v>1</v>
      </c>
      <c r="C716" s="1" t="s">
        <v>75</v>
      </c>
      <c r="D716" s="1" t="s">
        <v>3</v>
      </c>
      <c r="E716" s="2">
        <v>39588</v>
      </c>
      <c r="F716" s="1" t="s">
        <v>25</v>
      </c>
      <c r="G716" s="3">
        <v>74670</v>
      </c>
      <c r="H716">
        <v>5</v>
      </c>
    </row>
    <row r="717" spans="1:8" x14ac:dyDescent="0.25">
      <c r="A717" s="1" t="s">
        <v>752</v>
      </c>
      <c r="B717" s="1" t="s">
        <v>1</v>
      </c>
      <c r="C717" s="1" t="s">
        <v>106</v>
      </c>
      <c r="D717" s="1" t="s">
        <v>3</v>
      </c>
      <c r="E717" s="2">
        <v>36260</v>
      </c>
      <c r="F717" s="1" t="s">
        <v>4</v>
      </c>
      <c r="G717" s="3">
        <v>75150</v>
      </c>
      <c r="H717">
        <v>1</v>
      </c>
    </row>
    <row r="718" spans="1:8" x14ac:dyDescent="0.25">
      <c r="A718" s="1" t="s">
        <v>753</v>
      </c>
      <c r="B718" s="1" t="s">
        <v>6</v>
      </c>
      <c r="C718" s="1" t="s">
        <v>2</v>
      </c>
      <c r="D718" s="1" t="s">
        <v>16</v>
      </c>
      <c r="E718" s="2">
        <v>35806</v>
      </c>
      <c r="G718" s="3">
        <v>86100</v>
      </c>
      <c r="H718">
        <v>4</v>
      </c>
    </row>
    <row r="719" spans="1:8" x14ac:dyDescent="0.25">
      <c r="A719" s="1" t="s">
        <v>754</v>
      </c>
      <c r="B719" s="1" t="s">
        <v>6</v>
      </c>
      <c r="C719" s="1" t="s">
        <v>30</v>
      </c>
      <c r="D719" s="1" t="s">
        <v>16</v>
      </c>
      <c r="E719" s="2">
        <v>40404</v>
      </c>
      <c r="G719" s="3">
        <v>39550</v>
      </c>
      <c r="H719">
        <v>5</v>
      </c>
    </row>
    <row r="720" spans="1:8" x14ac:dyDescent="0.25">
      <c r="A720" s="1" t="s">
        <v>755</v>
      </c>
      <c r="B720" s="1" t="s">
        <v>6</v>
      </c>
      <c r="C720" s="1" t="s">
        <v>35</v>
      </c>
      <c r="D720" s="1" t="s">
        <v>3</v>
      </c>
      <c r="E720" s="2">
        <v>40018</v>
      </c>
      <c r="F720" s="1" t="s">
        <v>11</v>
      </c>
      <c r="G720" s="3">
        <v>34990</v>
      </c>
      <c r="H720">
        <v>3</v>
      </c>
    </row>
    <row r="721" spans="1:8" x14ac:dyDescent="0.25">
      <c r="A721" s="1" t="s">
        <v>756</v>
      </c>
      <c r="B721" s="1" t="s">
        <v>1</v>
      </c>
      <c r="C721" s="1" t="s">
        <v>106</v>
      </c>
      <c r="D721" s="1" t="s">
        <v>3</v>
      </c>
      <c r="E721" s="2">
        <v>41136</v>
      </c>
      <c r="F721" s="1" t="s">
        <v>4</v>
      </c>
      <c r="G721" s="3">
        <v>79760</v>
      </c>
      <c r="H721">
        <v>5</v>
      </c>
    </row>
    <row r="722" spans="1:8" x14ac:dyDescent="0.25">
      <c r="A722" s="1" t="s">
        <v>757</v>
      </c>
      <c r="B722" s="1" t="s">
        <v>1</v>
      </c>
      <c r="C722" s="1" t="s">
        <v>18</v>
      </c>
      <c r="D722" s="1" t="s">
        <v>16</v>
      </c>
      <c r="E722" s="2">
        <v>35997</v>
      </c>
      <c r="G722" s="3">
        <v>72520</v>
      </c>
      <c r="H722">
        <v>3</v>
      </c>
    </row>
    <row r="723" spans="1:8" x14ac:dyDescent="0.25">
      <c r="A723" s="1" t="s">
        <v>758</v>
      </c>
      <c r="B723" s="1" t="s">
        <v>6</v>
      </c>
      <c r="C723" s="1" t="s">
        <v>30</v>
      </c>
      <c r="D723" s="1" t="s">
        <v>3</v>
      </c>
      <c r="E723" s="2">
        <v>40765</v>
      </c>
      <c r="F723" s="1" t="s">
        <v>21</v>
      </c>
      <c r="G723" s="3">
        <v>77740</v>
      </c>
      <c r="H723">
        <v>1</v>
      </c>
    </row>
    <row r="724" spans="1:8" x14ac:dyDescent="0.25">
      <c r="A724" s="1" t="s">
        <v>759</v>
      </c>
      <c r="B724" s="1" t="s">
        <v>27</v>
      </c>
      <c r="C724" s="1" t="s">
        <v>63</v>
      </c>
      <c r="D724" s="1" t="s">
        <v>16</v>
      </c>
      <c r="E724" s="2">
        <v>40591</v>
      </c>
      <c r="G724" s="3">
        <v>49070</v>
      </c>
      <c r="H724">
        <v>3</v>
      </c>
    </row>
    <row r="725" spans="1:8" x14ac:dyDescent="0.25">
      <c r="A725" s="1" t="s">
        <v>760</v>
      </c>
      <c r="B725" s="1" t="s">
        <v>6</v>
      </c>
      <c r="C725" s="1" t="s">
        <v>18</v>
      </c>
      <c r="D725" s="1" t="s">
        <v>16</v>
      </c>
      <c r="E725" s="2">
        <v>40680</v>
      </c>
      <c r="G725" s="3">
        <v>57110</v>
      </c>
      <c r="H725">
        <v>3</v>
      </c>
    </row>
    <row r="726" spans="1:8" x14ac:dyDescent="0.25">
      <c r="A726" s="1" t="s">
        <v>761</v>
      </c>
      <c r="B726" s="1" t="s">
        <v>27</v>
      </c>
      <c r="C726" s="1" t="s">
        <v>35</v>
      </c>
      <c r="D726" s="1" t="s">
        <v>3</v>
      </c>
      <c r="E726" s="2">
        <v>40420</v>
      </c>
      <c r="F726" s="1" t="s">
        <v>4</v>
      </c>
      <c r="G726" s="3">
        <v>31690</v>
      </c>
      <c r="H726">
        <v>4</v>
      </c>
    </row>
    <row r="727" spans="1:8" x14ac:dyDescent="0.25">
      <c r="A727" s="1" t="s">
        <v>762</v>
      </c>
      <c r="B727" s="1" t="s">
        <v>6</v>
      </c>
      <c r="C727" s="1" t="s">
        <v>30</v>
      </c>
      <c r="D727" s="1" t="s">
        <v>3</v>
      </c>
      <c r="E727" s="2">
        <v>37138</v>
      </c>
      <c r="F727" s="1" t="s">
        <v>4</v>
      </c>
      <c r="G727" s="3">
        <v>29130</v>
      </c>
      <c r="H727">
        <v>1</v>
      </c>
    </row>
    <row r="728" spans="1:8" x14ac:dyDescent="0.25">
      <c r="A728" s="1" t="s">
        <v>763</v>
      </c>
      <c r="B728" s="1" t="s">
        <v>1</v>
      </c>
      <c r="C728" s="1" t="s">
        <v>20</v>
      </c>
      <c r="D728" s="1" t="s">
        <v>3</v>
      </c>
      <c r="E728" s="2">
        <v>36269</v>
      </c>
      <c r="F728" s="1" t="s">
        <v>11</v>
      </c>
      <c r="G728" s="3">
        <v>61330</v>
      </c>
      <c r="H728">
        <v>1</v>
      </c>
    </row>
    <row r="729" spans="1:8" x14ac:dyDescent="0.25">
      <c r="A729" s="1" t="s">
        <v>764</v>
      </c>
      <c r="B729" s="1" t="s">
        <v>1</v>
      </c>
      <c r="C729" s="1" t="s">
        <v>8</v>
      </c>
      <c r="D729" s="1" t="s">
        <v>16</v>
      </c>
      <c r="E729" s="2">
        <v>39295</v>
      </c>
      <c r="G729" s="3">
        <v>40560</v>
      </c>
      <c r="H729">
        <v>5</v>
      </c>
    </row>
    <row r="730" spans="1:8" x14ac:dyDescent="0.25">
      <c r="A730" s="1" t="s">
        <v>765</v>
      </c>
      <c r="B730" s="1" t="s">
        <v>27</v>
      </c>
      <c r="C730" s="1" t="s">
        <v>106</v>
      </c>
      <c r="D730" s="1" t="s">
        <v>3</v>
      </c>
      <c r="E730" s="2">
        <v>36143</v>
      </c>
      <c r="F730" s="1" t="s">
        <v>11</v>
      </c>
      <c r="G730" s="3">
        <v>72090</v>
      </c>
      <c r="H730">
        <v>5</v>
      </c>
    </row>
    <row r="731" spans="1:8" x14ac:dyDescent="0.25">
      <c r="A731" s="1" t="s">
        <v>766</v>
      </c>
      <c r="B731" s="1" t="s">
        <v>13</v>
      </c>
      <c r="C731" s="1" t="s">
        <v>75</v>
      </c>
      <c r="D731" s="1" t="s">
        <v>3</v>
      </c>
      <c r="E731" s="2">
        <v>38954</v>
      </c>
      <c r="F731" s="1" t="s">
        <v>4</v>
      </c>
      <c r="G731" s="3">
        <v>40920</v>
      </c>
      <c r="H731">
        <v>4</v>
      </c>
    </row>
    <row r="732" spans="1:8" x14ac:dyDescent="0.25">
      <c r="A732" s="1" t="s">
        <v>767</v>
      </c>
      <c r="B732" s="1" t="s">
        <v>6</v>
      </c>
      <c r="C732" s="1" t="s">
        <v>23</v>
      </c>
      <c r="D732" s="1" t="s">
        <v>3</v>
      </c>
      <c r="E732" s="2">
        <v>40883</v>
      </c>
      <c r="F732" s="1" t="s">
        <v>4</v>
      </c>
      <c r="G732" s="3">
        <v>43580</v>
      </c>
      <c r="H732">
        <v>5</v>
      </c>
    </row>
    <row r="733" spans="1:8" x14ac:dyDescent="0.25">
      <c r="A733" s="1" t="s">
        <v>768</v>
      </c>
      <c r="B733" s="1" t="s">
        <v>27</v>
      </c>
      <c r="C733" s="1" t="s">
        <v>15</v>
      </c>
      <c r="D733" s="1" t="s">
        <v>3</v>
      </c>
      <c r="E733" s="2">
        <v>37407</v>
      </c>
      <c r="F733" s="1" t="s">
        <v>4</v>
      </c>
      <c r="G733" s="3">
        <v>59140</v>
      </c>
      <c r="H733">
        <v>5</v>
      </c>
    </row>
    <row r="734" spans="1:8" x14ac:dyDescent="0.25">
      <c r="A734" s="1" t="s">
        <v>769</v>
      </c>
      <c r="B734" s="1" t="s">
        <v>1</v>
      </c>
      <c r="C734" s="1" t="s">
        <v>30</v>
      </c>
      <c r="D734" s="1" t="s">
        <v>3</v>
      </c>
      <c r="E734" s="2">
        <v>40878</v>
      </c>
      <c r="F734" s="1" t="s">
        <v>9</v>
      </c>
      <c r="G734" s="3">
        <v>71680</v>
      </c>
      <c r="H734">
        <v>4</v>
      </c>
    </row>
    <row r="735" spans="1:8" x14ac:dyDescent="0.25">
      <c r="A735" s="1" t="s">
        <v>770</v>
      </c>
      <c r="B735" s="1" t="s">
        <v>6</v>
      </c>
      <c r="C735" s="1" t="s">
        <v>2</v>
      </c>
      <c r="D735" s="1" t="s">
        <v>3</v>
      </c>
      <c r="E735" s="2">
        <v>39398</v>
      </c>
      <c r="F735" s="1" t="s">
        <v>21</v>
      </c>
      <c r="G735" s="3">
        <v>48490</v>
      </c>
      <c r="H735">
        <v>2</v>
      </c>
    </row>
    <row r="736" spans="1:8" x14ac:dyDescent="0.25">
      <c r="A736" s="1" t="s">
        <v>771</v>
      </c>
      <c r="B736" s="1" t="s">
        <v>6</v>
      </c>
      <c r="C736" s="1" t="s">
        <v>8</v>
      </c>
      <c r="D736" s="1" t="s">
        <v>16</v>
      </c>
      <c r="E736" s="2">
        <v>39154</v>
      </c>
      <c r="G736" s="3">
        <v>26360</v>
      </c>
      <c r="H736">
        <v>4</v>
      </c>
    </row>
    <row r="737" spans="1:8" x14ac:dyDescent="0.25">
      <c r="A737" s="1" t="s">
        <v>772</v>
      </c>
      <c r="B737" s="1" t="s">
        <v>6</v>
      </c>
      <c r="C737" s="1" t="s">
        <v>18</v>
      </c>
      <c r="D737" s="1" t="s">
        <v>3</v>
      </c>
      <c r="E737" s="2">
        <v>36273</v>
      </c>
      <c r="F737" s="1" t="s">
        <v>11</v>
      </c>
      <c r="G737" s="3">
        <v>61330</v>
      </c>
      <c r="H737">
        <v>4</v>
      </c>
    </row>
    <row r="738" spans="1:8" x14ac:dyDescent="0.25">
      <c r="A738" s="1" t="s">
        <v>773</v>
      </c>
      <c r="B738" s="1" t="s">
        <v>13</v>
      </c>
      <c r="C738" s="1" t="s">
        <v>73</v>
      </c>
      <c r="D738" s="1" t="s">
        <v>3</v>
      </c>
      <c r="E738" s="2">
        <v>40856</v>
      </c>
      <c r="F738" s="1" t="s">
        <v>25</v>
      </c>
      <c r="G738" s="3">
        <v>41350</v>
      </c>
      <c r="H738">
        <v>2</v>
      </c>
    </row>
    <row r="739" spans="1:8" x14ac:dyDescent="0.25">
      <c r="A739" s="1" t="s">
        <v>774</v>
      </c>
      <c r="B739" s="1" t="s">
        <v>1</v>
      </c>
      <c r="C739" s="1" t="s">
        <v>23</v>
      </c>
      <c r="D739" s="1" t="s">
        <v>3</v>
      </c>
      <c r="E739" s="2">
        <v>40492</v>
      </c>
      <c r="F739" s="1" t="s">
        <v>9</v>
      </c>
      <c r="G739" s="3">
        <v>67230</v>
      </c>
      <c r="H739">
        <v>4</v>
      </c>
    </row>
    <row r="740" spans="1:8" x14ac:dyDescent="0.25">
      <c r="A740" s="1" t="s">
        <v>775</v>
      </c>
      <c r="B740" s="1" t="s">
        <v>1</v>
      </c>
      <c r="C740" s="1" t="s">
        <v>75</v>
      </c>
      <c r="D740" s="1" t="s">
        <v>16</v>
      </c>
      <c r="E740" s="2">
        <v>39765</v>
      </c>
      <c r="G740" s="3">
        <v>46670</v>
      </c>
      <c r="H740">
        <v>3</v>
      </c>
    </row>
    <row r="741" spans="1:8" x14ac:dyDescent="0.25">
      <c r="A741" s="1" t="s">
        <v>776</v>
      </c>
      <c r="B741" s="1" t="s">
        <v>6</v>
      </c>
      <c r="C741" s="1" t="s">
        <v>8</v>
      </c>
      <c r="D741" s="1" t="s">
        <v>3</v>
      </c>
      <c r="E741" s="2">
        <v>37288</v>
      </c>
      <c r="F741" s="1" t="s">
        <v>4</v>
      </c>
      <c r="G741" s="3">
        <v>42480</v>
      </c>
      <c r="H741">
        <v>3</v>
      </c>
    </row>
    <row r="742" spans="1:8" x14ac:dyDescent="0.25">
      <c r="A742" s="1" t="s">
        <v>777</v>
      </c>
      <c r="B742" s="1" t="s">
        <v>51</v>
      </c>
      <c r="C742" s="1" t="s">
        <v>35</v>
      </c>
      <c r="D742" s="1" t="s">
        <v>24</v>
      </c>
      <c r="E742" s="2">
        <v>39535</v>
      </c>
      <c r="F742" s="1" t="s">
        <v>9</v>
      </c>
      <c r="G742" s="3">
        <v>49080</v>
      </c>
      <c r="H742">
        <v>5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43"/>
  <sheetViews>
    <sheetView zoomScale="115" zoomScaleNormal="115" zoomScalePageLayoutView="110" workbookViewId="0">
      <selection activeCell="L2" sqref="L2"/>
    </sheetView>
  </sheetViews>
  <sheetFormatPr defaultColWidth="8.85546875" defaultRowHeight="15" x14ac:dyDescent="0.25"/>
  <cols>
    <col min="1" max="1" width="19.42578125" bestFit="1" customWidth="1"/>
    <col min="2" max="2" width="13.28515625" customWidth="1"/>
    <col min="3" max="3" width="27.28515625" bestFit="1" customWidth="1"/>
    <col min="4" max="4" width="9.7109375" bestFit="1" customWidth="1"/>
    <col min="5" max="5" width="12.85546875" customWidth="1"/>
    <col min="6" max="6" width="10.42578125" customWidth="1"/>
    <col min="7" max="7" width="12" customWidth="1"/>
    <col min="8" max="8" width="8.7109375" customWidth="1"/>
    <col min="9" max="9" width="13.140625" customWidth="1"/>
    <col min="10" max="10" width="16.7109375" customWidth="1"/>
    <col min="11" max="11" width="16.28515625" customWidth="1"/>
    <col min="12" max="12" width="15.28515625" customWidth="1"/>
    <col min="13" max="14" width="8.85546875" customWidth="1"/>
    <col min="15" max="17" width="8.85546875" hidden="1" customWidth="1"/>
    <col min="18" max="18" width="10" hidden="1" customWidth="1"/>
    <col min="19" max="20" width="12.28515625" hidden="1" customWidth="1"/>
    <col min="21" max="21" width="8.85546875" customWidth="1"/>
    <col min="22" max="24" width="0" hidden="1" customWidth="1"/>
    <col min="25" max="25" width="11.140625" hidden="1" customWidth="1"/>
    <col min="26" max="26" width="11.7109375" hidden="1" customWidth="1"/>
    <col min="27" max="27" width="14.5703125" hidden="1" customWidth="1"/>
  </cols>
  <sheetData>
    <row r="1" spans="1:27" x14ac:dyDescent="0.25">
      <c r="A1" s="9" t="s">
        <v>778</v>
      </c>
      <c r="B1" s="9" t="s">
        <v>779</v>
      </c>
      <c r="C1" s="9" t="s">
        <v>780</v>
      </c>
      <c r="D1" s="9" t="s">
        <v>781</v>
      </c>
      <c r="E1" s="9" t="s">
        <v>782</v>
      </c>
      <c r="F1" s="9" t="s">
        <v>783</v>
      </c>
      <c r="G1" s="9" t="s">
        <v>784</v>
      </c>
      <c r="H1" s="9" t="s">
        <v>785</v>
      </c>
      <c r="I1" s="11" t="s">
        <v>786</v>
      </c>
      <c r="J1" s="11" t="s">
        <v>792</v>
      </c>
      <c r="K1" s="11" t="s">
        <v>787</v>
      </c>
      <c r="L1" s="11" t="s">
        <v>799</v>
      </c>
      <c r="S1" t="s">
        <v>798</v>
      </c>
      <c r="T1" t="s">
        <v>787</v>
      </c>
      <c r="V1" t="s">
        <v>800</v>
      </c>
      <c r="W1" t="s">
        <v>801</v>
      </c>
      <c r="Y1" t="s">
        <v>802</v>
      </c>
      <c r="Z1" t="s">
        <v>803</v>
      </c>
      <c r="AA1" t="s">
        <v>804</v>
      </c>
    </row>
    <row r="2" spans="1:27" x14ac:dyDescent="0.25">
      <c r="A2" s="5" t="s">
        <v>693</v>
      </c>
      <c r="B2" s="5" t="s">
        <v>27</v>
      </c>
      <c r="C2" s="5" t="s">
        <v>18</v>
      </c>
      <c r="D2" s="5" t="s">
        <v>3</v>
      </c>
      <c r="E2" s="6">
        <v>35801</v>
      </c>
      <c r="F2" s="5" t="s">
        <v>4</v>
      </c>
      <c r="G2" s="26">
        <v>78570</v>
      </c>
      <c r="H2" s="7">
        <v>1</v>
      </c>
      <c r="I2" s="12">
        <f>IF(OR(Table2[[#This Row],[Rating]]=4,Table2[[#This Row],[Rating]]=5), 0.05*Table2[[#This Row],[Salary]],0)</f>
        <v>0</v>
      </c>
      <c r="J2" s="14">
        <f>VLOOKUP(Table2[[#This Row],[Salary]],'Tax rates'!A$2:C$8, 2) + VLOOKUP(Table2[[#This Row],[Salary]],'Tax rates'!A$2:C$8, 3) * (Table2[[#This Row],[Salary]] - VLOOKUP(Table2[[#This Row],[Salary]],'Tax rates'!A$2:C$8,1))</f>
        <v>13224.9</v>
      </c>
      <c r="K2" s="14">
        <f>Table2[[#This Row],[Salary]]-Table2[[#This Row],[Taxes]]</f>
        <v>65345.1</v>
      </c>
      <c r="L2" s="15">
        <f>Table2[[#This Row],[After tax salary]]+Table2[[#This Row],[Bonus]]</f>
        <v>65345.1</v>
      </c>
      <c r="O2">
        <f>VLOOKUP(Table2[[#This Row],[Salary]],'Tax rates'!A1:D8,2)</f>
        <v>4453.5</v>
      </c>
      <c r="P2">
        <f>VLOOKUP(Table2[[#This Row],[Salary]],'Tax rates'!A1:D8,3)</f>
        <v>0.22</v>
      </c>
      <c r="Q2">
        <f>VLOOKUP(Table2[[#This Row],[Salary]],'Tax rates'!A1:D8,1)</f>
        <v>38700</v>
      </c>
      <c r="R2" s="36">
        <f>Table2[[#This Row],[Salary]]-Q2</f>
        <v>39870</v>
      </c>
      <c r="S2" s="37">
        <f>O2+P2*R2</f>
        <v>13224.9</v>
      </c>
      <c r="T2" s="37">
        <f>Table2[[#This Row],[Salary]]-S2</f>
        <v>65345.1</v>
      </c>
      <c r="V2">
        <f>VLOOKUP(Table2[[#This Row],[Salary]],'Tax rates'!A1:D8,2)</f>
        <v>4453.5</v>
      </c>
      <c r="W2">
        <f>VLOOKUP(Table2[[#This Row],[Salary]],'Tax rates'!A1:D8,3)</f>
        <v>0.22</v>
      </c>
      <c r="X2">
        <f>VLOOKUP(Table2[[#This Row],[Salary]],'Tax rates'!A1:D8,1)</f>
        <v>38700</v>
      </c>
      <c r="Y2" s="36">
        <f>Table2[[#This Row],[Salary]]-X2</f>
        <v>39870</v>
      </c>
      <c r="Z2" s="37">
        <f>V2+W2*Y2</f>
        <v>13224.9</v>
      </c>
      <c r="AA2" s="37">
        <f>Table2[[#This Row],[Salary]]-Z2</f>
        <v>65345.1</v>
      </c>
    </row>
    <row r="3" spans="1:27" x14ac:dyDescent="0.25">
      <c r="A3" s="5" t="s">
        <v>753</v>
      </c>
      <c r="B3" s="5" t="s">
        <v>6</v>
      </c>
      <c r="C3" s="5" t="s">
        <v>2</v>
      </c>
      <c r="D3" s="5" t="s">
        <v>16</v>
      </c>
      <c r="E3" s="6">
        <v>35806</v>
      </c>
      <c r="F3" s="7"/>
      <c r="G3" s="10">
        <v>86100</v>
      </c>
      <c r="H3" s="7">
        <v>4</v>
      </c>
      <c r="I3" s="12">
        <f>IF(OR(Table2[[#This Row],[Rating]]=4,Table2[[#This Row],[Rating]]=5), 0.05*Table2[[#This Row],[Salary]],0)</f>
        <v>4305</v>
      </c>
      <c r="J3" s="14">
        <f>VLOOKUP(Table2[[#This Row],[Salary]],'Tax rates'!A$2:C$8, 2) + VLOOKUP(Table2[[#This Row],[Salary]],'Tax rates'!A$2:C$8, 3) * (Table2[[#This Row],[Salary]] - VLOOKUP(Table2[[#This Row],[Salary]],'Tax rates'!A$2:C$8,1))</f>
        <v>14953.5</v>
      </c>
      <c r="K3" s="14">
        <f>Table2[[#This Row],[Salary]]-Table2[[#This Row],[Taxes]]</f>
        <v>71146.5</v>
      </c>
      <c r="L3" s="15">
        <f>Table2[[#This Row],[After tax salary]]+Table2[[#This Row],[Bonus]]</f>
        <v>75451.5</v>
      </c>
    </row>
    <row r="4" spans="1:27" x14ac:dyDescent="0.25">
      <c r="A4" s="5" t="s">
        <v>68</v>
      </c>
      <c r="B4" s="5" t="s">
        <v>27</v>
      </c>
      <c r="C4" s="5" t="s">
        <v>18</v>
      </c>
      <c r="D4" s="5" t="s">
        <v>24</v>
      </c>
      <c r="E4" s="6">
        <v>35807</v>
      </c>
      <c r="F4" s="5" t="s">
        <v>4</v>
      </c>
      <c r="G4" s="10">
        <v>48835</v>
      </c>
      <c r="H4" s="7">
        <v>5</v>
      </c>
      <c r="I4" s="12">
        <f>IF(OR(Table2[[#This Row],[Rating]]=4,Table2[[#This Row],[Rating]]=5), 0.05*Table2[[#This Row],[Salary]],0)</f>
        <v>2441.75</v>
      </c>
      <c r="J4" s="14">
        <f>VLOOKUP(Table2[[#This Row],[Salary]],'Tax rates'!A$2:C$8, 2) + VLOOKUP(Table2[[#This Row],[Salary]],'Tax rates'!A$2:C$8, 3) * (Table2[[#This Row],[Salary]] - VLOOKUP(Table2[[#This Row],[Salary]],'Tax rates'!A$2:C$8,1))</f>
        <v>6683.2</v>
      </c>
      <c r="K4" s="14">
        <f>Table2[[#This Row],[Salary]]-Table2[[#This Row],[Taxes]]</f>
        <v>42151.8</v>
      </c>
      <c r="L4" s="15">
        <f>Table2[[#This Row],[After tax salary]]+Table2[[#This Row],[Bonus]]</f>
        <v>44593.55</v>
      </c>
    </row>
    <row r="5" spans="1:27" x14ac:dyDescent="0.25">
      <c r="A5" s="5" t="s">
        <v>231</v>
      </c>
      <c r="B5" s="5" t="s">
        <v>13</v>
      </c>
      <c r="C5" s="5" t="s">
        <v>30</v>
      </c>
      <c r="D5" s="5" t="s">
        <v>3</v>
      </c>
      <c r="E5" s="6">
        <v>35821</v>
      </c>
      <c r="F5" s="5" t="s">
        <v>21</v>
      </c>
      <c r="G5" s="10">
        <v>22870</v>
      </c>
      <c r="H5" s="7">
        <v>3</v>
      </c>
      <c r="I5" s="12">
        <f>IF(OR(Table2[[#This Row],[Rating]]=4,Table2[[#This Row],[Rating]]=5), 0.05*Table2[[#This Row],[Salary]],0)</f>
        <v>0</v>
      </c>
      <c r="J5" s="14">
        <f>VLOOKUP(Table2[[#This Row],[Salary]],'Tax rates'!A$2:C$8, 2) + VLOOKUP(Table2[[#This Row],[Salary]],'Tax rates'!A$2:C$8, 3) * (Table2[[#This Row],[Salary]] - VLOOKUP(Table2[[#This Row],[Salary]],'Tax rates'!A$2:C$8,1))</f>
        <v>2553.8999999999996</v>
      </c>
      <c r="K5" s="14">
        <f>Table2[[#This Row],[Salary]]-Table2[[#This Row],[Taxes]]</f>
        <v>20316.099999999999</v>
      </c>
      <c r="L5" s="15">
        <f>Table2[[#This Row],[After tax salary]]+Table2[[#This Row],[Bonus]]</f>
        <v>20316.099999999999</v>
      </c>
    </row>
    <row r="6" spans="1:27" x14ac:dyDescent="0.25">
      <c r="A6" s="5" t="s">
        <v>34</v>
      </c>
      <c r="B6" s="5" t="s">
        <v>1</v>
      </c>
      <c r="C6" s="5" t="s">
        <v>35</v>
      </c>
      <c r="D6" s="5" t="s">
        <v>16</v>
      </c>
      <c r="E6" s="6">
        <v>35826</v>
      </c>
      <c r="F6" s="7"/>
      <c r="G6" s="10">
        <v>45030</v>
      </c>
      <c r="H6" s="7">
        <v>3</v>
      </c>
      <c r="I6" s="12">
        <f>IF(OR(Table2[[#This Row],[Rating]]=4,Table2[[#This Row],[Rating]]=5), 0.05*Table2[[#This Row],[Salary]],0)</f>
        <v>0</v>
      </c>
      <c r="J6" s="14">
        <f>VLOOKUP(Table2[[#This Row],[Salary]],'Tax rates'!A$2:C$8, 2) + VLOOKUP(Table2[[#This Row],[Salary]],'Tax rates'!A$2:C$8, 3) * (Table2[[#This Row],[Salary]] - VLOOKUP(Table2[[#This Row],[Salary]],'Tax rates'!A$2:C$8,1))</f>
        <v>5846.1</v>
      </c>
      <c r="K6" s="14">
        <f>Table2[[#This Row],[Salary]]-Table2[[#This Row],[Taxes]]</f>
        <v>39183.9</v>
      </c>
      <c r="L6" s="15">
        <f>Table2[[#This Row],[After tax salary]]+Table2[[#This Row],[Bonus]]</f>
        <v>39183.9</v>
      </c>
    </row>
    <row r="7" spans="1:27" x14ac:dyDescent="0.25">
      <c r="A7" s="5" t="s">
        <v>289</v>
      </c>
      <c r="B7" s="5" t="s">
        <v>51</v>
      </c>
      <c r="C7" s="5" t="s">
        <v>30</v>
      </c>
      <c r="D7" s="5" t="s">
        <v>24</v>
      </c>
      <c r="E7" s="6">
        <v>35826</v>
      </c>
      <c r="F7" s="5" t="s">
        <v>4</v>
      </c>
      <c r="G7" s="10">
        <v>31205</v>
      </c>
      <c r="H7" s="7">
        <v>2</v>
      </c>
      <c r="I7" s="12">
        <f>IF(OR(Table2[[#This Row],[Rating]]=4,Table2[[#This Row],[Rating]]=5), 0.05*Table2[[#This Row],[Salary]],0)</f>
        <v>0</v>
      </c>
      <c r="J7" s="14">
        <f>VLOOKUP(Table2[[#This Row],[Salary]],'Tax rates'!A$2:C$8, 2) + VLOOKUP(Table2[[#This Row],[Salary]],'Tax rates'!A$2:C$8, 3) * (Table2[[#This Row],[Salary]] - VLOOKUP(Table2[[#This Row],[Salary]],'Tax rates'!A$2:C$8,1))</f>
        <v>3554.1</v>
      </c>
      <c r="K7" s="14">
        <f>Table2[[#This Row],[Salary]]-Table2[[#This Row],[Taxes]]</f>
        <v>27650.9</v>
      </c>
      <c r="L7" s="15">
        <f>Table2[[#This Row],[After tax salary]]+Table2[[#This Row],[Bonus]]</f>
        <v>27650.9</v>
      </c>
    </row>
    <row r="8" spans="1:27" x14ac:dyDescent="0.25">
      <c r="A8" s="5" t="s">
        <v>575</v>
      </c>
      <c r="B8" s="5" t="s">
        <v>1</v>
      </c>
      <c r="C8" s="5" t="s">
        <v>75</v>
      </c>
      <c r="D8" s="5" t="s">
        <v>3</v>
      </c>
      <c r="E8" s="6">
        <v>35829</v>
      </c>
      <c r="F8" s="5" t="s">
        <v>4</v>
      </c>
      <c r="G8" s="10">
        <v>61030</v>
      </c>
      <c r="H8" s="7">
        <v>3</v>
      </c>
      <c r="I8" s="12">
        <f>IF(OR(Table2[[#This Row],[Rating]]=4,Table2[[#This Row],[Rating]]=5), 0.05*Table2[[#This Row],[Salary]],0)</f>
        <v>0</v>
      </c>
      <c r="J8" s="14">
        <f>VLOOKUP(Table2[[#This Row],[Salary]],'Tax rates'!A$2:C$8, 2) + VLOOKUP(Table2[[#This Row],[Salary]],'Tax rates'!A$2:C$8, 3) * (Table2[[#This Row],[Salary]] - VLOOKUP(Table2[[#This Row],[Salary]],'Tax rates'!A$2:C$8,1))</f>
        <v>9366.1</v>
      </c>
      <c r="K8" s="14">
        <f>Table2[[#This Row],[Salary]]-Table2[[#This Row],[Taxes]]</f>
        <v>51663.9</v>
      </c>
      <c r="L8" s="15">
        <f>Table2[[#This Row],[After tax salary]]+Table2[[#This Row],[Bonus]]</f>
        <v>51663.9</v>
      </c>
    </row>
    <row r="9" spans="1:27" x14ac:dyDescent="0.25">
      <c r="A9" s="5" t="s">
        <v>482</v>
      </c>
      <c r="B9" s="5" t="s">
        <v>13</v>
      </c>
      <c r="C9" s="5" t="s">
        <v>18</v>
      </c>
      <c r="D9" s="5" t="s">
        <v>32</v>
      </c>
      <c r="E9" s="6">
        <v>35829</v>
      </c>
      <c r="F9" s="7"/>
      <c r="G9" s="10">
        <v>29176</v>
      </c>
      <c r="H9" s="7">
        <v>3</v>
      </c>
      <c r="I9" s="12">
        <f>IF(OR(Table2[[#This Row],[Rating]]=4,Table2[[#This Row],[Rating]]=5), 0.05*Table2[[#This Row],[Salary]],0)</f>
        <v>0</v>
      </c>
      <c r="J9" s="14">
        <f>VLOOKUP(Table2[[#This Row],[Salary]],'Tax rates'!A$2:C$8, 2) + VLOOKUP(Table2[[#This Row],[Salary]],'Tax rates'!A$2:C$8, 3) * (Table2[[#This Row],[Salary]] - VLOOKUP(Table2[[#This Row],[Salary]],'Tax rates'!A$2:C$8,1))</f>
        <v>3310.62</v>
      </c>
      <c r="K9" s="14">
        <f>Table2[[#This Row],[Salary]]-Table2[[#This Row],[Taxes]]</f>
        <v>25865.38</v>
      </c>
      <c r="L9" s="15">
        <f>Table2[[#This Row],[After tax salary]]+Table2[[#This Row],[Bonus]]</f>
        <v>25865.38</v>
      </c>
    </row>
    <row r="10" spans="1:27" x14ac:dyDescent="0.25">
      <c r="A10" s="5" t="s">
        <v>722</v>
      </c>
      <c r="B10" s="5" t="s">
        <v>29</v>
      </c>
      <c r="C10" s="5" t="s">
        <v>18</v>
      </c>
      <c r="D10" s="5" t="s">
        <v>3</v>
      </c>
      <c r="E10" s="6">
        <v>35830</v>
      </c>
      <c r="F10" s="5" t="s">
        <v>21</v>
      </c>
      <c r="G10" s="10">
        <v>35460</v>
      </c>
      <c r="H10" s="7">
        <v>5</v>
      </c>
      <c r="I10" s="12">
        <f>IF(OR(Table2[[#This Row],[Rating]]=4,Table2[[#This Row],[Rating]]=5), 0.05*Table2[[#This Row],[Salary]],0)</f>
        <v>1773</v>
      </c>
      <c r="J10" s="14">
        <f>VLOOKUP(Table2[[#This Row],[Salary]],'Tax rates'!A$2:C$8, 2) + VLOOKUP(Table2[[#This Row],[Salary]],'Tax rates'!A$2:C$8, 3) * (Table2[[#This Row],[Salary]] - VLOOKUP(Table2[[#This Row],[Salary]],'Tax rates'!A$2:C$8,1))</f>
        <v>4064.7</v>
      </c>
      <c r="K10" s="14">
        <f>Table2[[#This Row],[Salary]]-Table2[[#This Row],[Taxes]]</f>
        <v>31395.3</v>
      </c>
      <c r="L10" s="15">
        <f>Table2[[#This Row],[After tax salary]]+Table2[[#This Row],[Bonus]]</f>
        <v>33168.300000000003</v>
      </c>
    </row>
    <row r="11" spans="1:27" x14ac:dyDescent="0.25">
      <c r="A11" s="5" t="s">
        <v>514</v>
      </c>
      <c r="B11" s="5" t="s">
        <v>6</v>
      </c>
      <c r="C11" s="5" t="s">
        <v>75</v>
      </c>
      <c r="D11" s="5" t="s">
        <v>24</v>
      </c>
      <c r="E11" s="6">
        <v>35842</v>
      </c>
      <c r="F11" s="5" t="s">
        <v>9</v>
      </c>
      <c r="G11" s="10">
        <v>23380</v>
      </c>
      <c r="H11" s="7">
        <v>4</v>
      </c>
      <c r="I11" s="12">
        <f>IF(OR(Table2[[#This Row],[Rating]]=4,Table2[[#This Row],[Rating]]=5), 0.05*Table2[[#This Row],[Salary]],0)</f>
        <v>1169</v>
      </c>
      <c r="J11" s="14">
        <f>VLOOKUP(Table2[[#This Row],[Salary]],'Tax rates'!A$2:C$8, 2) + VLOOKUP(Table2[[#This Row],[Salary]],'Tax rates'!A$2:C$8, 3) * (Table2[[#This Row],[Salary]] - VLOOKUP(Table2[[#This Row],[Salary]],'Tax rates'!A$2:C$8,1))</f>
        <v>2615.1</v>
      </c>
      <c r="K11" s="14">
        <f>Table2[[#This Row],[Salary]]-Table2[[#This Row],[Taxes]]</f>
        <v>20764.900000000001</v>
      </c>
      <c r="L11" s="15">
        <f>Table2[[#This Row],[After tax salary]]+Table2[[#This Row],[Bonus]]</f>
        <v>21933.9</v>
      </c>
    </row>
    <row r="12" spans="1:27" x14ac:dyDescent="0.25">
      <c r="A12" s="5" t="s">
        <v>581</v>
      </c>
      <c r="B12" s="5" t="s">
        <v>51</v>
      </c>
      <c r="C12" s="5" t="s">
        <v>2</v>
      </c>
      <c r="D12" s="5" t="s">
        <v>24</v>
      </c>
      <c r="E12" s="6">
        <v>35842</v>
      </c>
      <c r="F12" s="5" t="s">
        <v>21</v>
      </c>
      <c r="G12" s="10">
        <v>39530</v>
      </c>
      <c r="H12" s="7">
        <v>5</v>
      </c>
      <c r="I12" s="12">
        <f>IF(OR(Table2[[#This Row],[Rating]]=4,Table2[[#This Row],[Rating]]=5), 0.05*Table2[[#This Row],[Salary]],0)</f>
        <v>1976.5</v>
      </c>
      <c r="J12" s="14">
        <f>VLOOKUP(Table2[[#This Row],[Salary]],'Tax rates'!A$2:C$8, 2) + VLOOKUP(Table2[[#This Row],[Salary]],'Tax rates'!A$2:C$8, 3) * (Table2[[#This Row],[Salary]] - VLOOKUP(Table2[[#This Row],[Salary]],'Tax rates'!A$2:C$8,1))</f>
        <v>4636.1000000000004</v>
      </c>
      <c r="K12" s="14">
        <f>Table2[[#This Row],[Salary]]-Table2[[#This Row],[Taxes]]</f>
        <v>34893.9</v>
      </c>
      <c r="L12" s="15">
        <f>Table2[[#This Row],[After tax salary]]+Table2[[#This Row],[Bonus]]</f>
        <v>36870.400000000001</v>
      </c>
    </row>
    <row r="13" spans="1:27" x14ac:dyDescent="0.25">
      <c r="A13" s="5" t="s">
        <v>108</v>
      </c>
      <c r="B13" s="5" t="s">
        <v>6</v>
      </c>
      <c r="C13" s="5" t="s">
        <v>75</v>
      </c>
      <c r="D13" s="5" t="s">
        <v>16</v>
      </c>
      <c r="E13" s="6">
        <v>35848</v>
      </c>
      <c r="F13" s="7"/>
      <c r="G13" s="10">
        <v>85480</v>
      </c>
      <c r="H13" s="7">
        <v>5</v>
      </c>
      <c r="I13" s="12">
        <f>IF(OR(Table2[[#This Row],[Rating]]=4,Table2[[#This Row],[Rating]]=5), 0.05*Table2[[#This Row],[Salary]],0)</f>
        <v>4274</v>
      </c>
      <c r="J13" s="14">
        <f>VLOOKUP(Table2[[#This Row],[Salary]],'Tax rates'!A$2:C$8, 2) + VLOOKUP(Table2[[#This Row],[Salary]],'Tax rates'!A$2:C$8, 3) * (Table2[[#This Row],[Salary]] - VLOOKUP(Table2[[#This Row],[Salary]],'Tax rates'!A$2:C$8,1))</f>
        <v>14804.7</v>
      </c>
      <c r="K13" s="14">
        <f>Table2[[#This Row],[Salary]]-Table2[[#This Row],[Taxes]]</f>
        <v>70675.3</v>
      </c>
      <c r="L13" s="15">
        <f>Table2[[#This Row],[After tax salary]]+Table2[[#This Row],[Bonus]]</f>
        <v>74949.3</v>
      </c>
    </row>
    <row r="14" spans="1:27" x14ac:dyDescent="0.25">
      <c r="A14" s="5" t="s">
        <v>553</v>
      </c>
      <c r="B14" s="5" t="s">
        <v>13</v>
      </c>
      <c r="C14" s="5" t="s">
        <v>59</v>
      </c>
      <c r="D14" s="5" t="s">
        <v>3</v>
      </c>
      <c r="E14" s="6">
        <v>35856</v>
      </c>
      <c r="F14" s="5" t="s">
        <v>9</v>
      </c>
      <c r="G14" s="10">
        <v>86830</v>
      </c>
      <c r="H14" s="7">
        <v>3</v>
      </c>
      <c r="I14" s="12">
        <f>IF(OR(Table2[[#This Row],[Rating]]=4,Table2[[#This Row],[Rating]]=5), 0.05*Table2[[#This Row],[Salary]],0)</f>
        <v>0</v>
      </c>
      <c r="J14" s="14">
        <f>VLOOKUP(Table2[[#This Row],[Salary]],'Tax rates'!A$2:C$8, 2) + VLOOKUP(Table2[[#This Row],[Salary]],'Tax rates'!A$2:C$8, 3) * (Table2[[#This Row],[Salary]] - VLOOKUP(Table2[[#This Row],[Salary]],'Tax rates'!A$2:C$8,1))</f>
        <v>15128.7</v>
      </c>
      <c r="K14" s="14">
        <f>Table2[[#This Row],[Salary]]-Table2[[#This Row],[Taxes]]</f>
        <v>71701.3</v>
      </c>
      <c r="L14" s="15">
        <f>Table2[[#This Row],[After tax salary]]+Table2[[#This Row],[Bonus]]</f>
        <v>71701.3</v>
      </c>
    </row>
    <row r="15" spans="1:27" x14ac:dyDescent="0.25">
      <c r="A15" s="5" t="s">
        <v>154</v>
      </c>
      <c r="B15" s="5" t="s">
        <v>6</v>
      </c>
      <c r="C15" s="5" t="s">
        <v>59</v>
      </c>
      <c r="D15" s="5" t="s">
        <v>3</v>
      </c>
      <c r="E15" s="6">
        <v>35857</v>
      </c>
      <c r="F15" s="5" t="s">
        <v>11</v>
      </c>
      <c r="G15" s="10">
        <v>82110</v>
      </c>
      <c r="H15" s="7">
        <v>3</v>
      </c>
      <c r="I15" s="12">
        <f>IF(OR(Table2[[#This Row],[Rating]]=4,Table2[[#This Row],[Rating]]=5), 0.05*Table2[[#This Row],[Salary]],0)</f>
        <v>0</v>
      </c>
      <c r="J15" s="14">
        <f>VLOOKUP(Table2[[#This Row],[Salary]],'Tax rates'!A$2:C$8, 2) + VLOOKUP(Table2[[#This Row],[Salary]],'Tax rates'!A$2:C$8, 3) * (Table2[[#This Row],[Salary]] - VLOOKUP(Table2[[#This Row],[Salary]],'Tax rates'!A$2:C$8,1))</f>
        <v>14003.7</v>
      </c>
      <c r="K15" s="14">
        <f>Table2[[#This Row],[Salary]]-Table2[[#This Row],[Taxes]]</f>
        <v>68106.3</v>
      </c>
      <c r="L15" s="15">
        <f>Table2[[#This Row],[After tax salary]]+Table2[[#This Row],[Bonus]]</f>
        <v>68106.3</v>
      </c>
    </row>
    <row r="16" spans="1:27" x14ac:dyDescent="0.25">
      <c r="A16" s="5" t="s">
        <v>55</v>
      </c>
      <c r="B16" s="5" t="s">
        <v>6</v>
      </c>
      <c r="C16" s="5" t="s">
        <v>2</v>
      </c>
      <c r="D16" s="5" t="s">
        <v>32</v>
      </c>
      <c r="E16" s="6">
        <v>35861</v>
      </c>
      <c r="F16" s="7"/>
      <c r="G16" s="10">
        <v>12836</v>
      </c>
      <c r="H16" s="7">
        <v>5</v>
      </c>
      <c r="I16" s="12">
        <f>IF(OR(Table2[[#This Row],[Rating]]=4,Table2[[#This Row],[Rating]]=5), 0.05*Table2[[#This Row],[Salary]],0)</f>
        <v>641.80000000000007</v>
      </c>
      <c r="J16" s="14">
        <f>VLOOKUP(Table2[[#This Row],[Salary]],'Tax rates'!A$2:C$8, 2) + VLOOKUP(Table2[[#This Row],[Salary]],'Tax rates'!A$2:C$8, 3) * (Table2[[#This Row],[Salary]] - VLOOKUP(Table2[[#This Row],[Salary]],'Tax rates'!A$2:C$8,1))</f>
        <v>1349.82</v>
      </c>
      <c r="K16" s="14">
        <f>Table2[[#This Row],[Salary]]-Table2[[#This Row],[Taxes]]</f>
        <v>11486.18</v>
      </c>
      <c r="L16" s="15">
        <f>Table2[[#This Row],[After tax salary]]+Table2[[#This Row],[Bonus]]</f>
        <v>12127.98</v>
      </c>
    </row>
    <row r="17" spans="1:12" x14ac:dyDescent="0.25">
      <c r="A17" s="5" t="s">
        <v>706</v>
      </c>
      <c r="B17" s="5" t="s">
        <v>13</v>
      </c>
      <c r="C17" s="5" t="s">
        <v>2</v>
      </c>
      <c r="D17" s="5" t="s">
        <v>32</v>
      </c>
      <c r="E17" s="6">
        <v>35869</v>
      </c>
      <c r="F17" s="7"/>
      <c r="G17" s="10">
        <v>17912</v>
      </c>
      <c r="H17" s="7">
        <v>5</v>
      </c>
      <c r="I17" s="12">
        <f>IF(OR(Table2[[#This Row],[Rating]]=4,Table2[[#This Row],[Rating]]=5), 0.05*Table2[[#This Row],[Salary]],0)</f>
        <v>895.6</v>
      </c>
      <c r="J17" s="14">
        <f>VLOOKUP(Table2[[#This Row],[Salary]],'Tax rates'!A$2:C$8, 2) + VLOOKUP(Table2[[#This Row],[Salary]],'Tax rates'!A$2:C$8, 3) * (Table2[[#This Row],[Salary]] - VLOOKUP(Table2[[#This Row],[Salary]],'Tax rates'!A$2:C$8,1))</f>
        <v>1958.94</v>
      </c>
      <c r="K17" s="14">
        <f>Table2[[#This Row],[Salary]]-Table2[[#This Row],[Taxes]]</f>
        <v>15953.06</v>
      </c>
      <c r="L17" s="15">
        <f>Table2[[#This Row],[After tax salary]]+Table2[[#This Row],[Bonus]]</f>
        <v>16848.66</v>
      </c>
    </row>
    <row r="18" spans="1:12" x14ac:dyDescent="0.25">
      <c r="A18" s="5" t="s">
        <v>330</v>
      </c>
      <c r="B18" s="5" t="s">
        <v>1</v>
      </c>
      <c r="C18" s="5" t="s">
        <v>2</v>
      </c>
      <c r="D18" s="5" t="s">
        <v>3</v>
      </c>
      <c r="E18" s="6">
        <v>35896</v>
      </c>
      <c r="F18" s="5" t="s">
        <v>11</v>
      </c>
      <c r="G18" s="10">
        <v>70280</v>
      </c>
      <c r="H18" s="7">
        <v>3</v>
      </c>
      <c r="I18" s="12">
        <f>IF(OR(Table2[[#This Row],[Rating]]=4,Table2[[#This Row],[Rating]]=5), 0.05*Table2[[#This Row],[Salary]],0)</f>
        <v>0</v>
      </c>
      <c r="J18" s="14">
        <f>VLOOKUP(Table2[[#This Row],[Salary]],'Tax rates'!A$2:C$8, 2) + VLOOKUP(Table2[[#This Row],[Salary]],'Tax rates'!A$2:C$8, 3) * (Table2[[#This Row],[Salary]] - VLOOKUP(Table2[[#This Row],[Salary]],'Tax rates'!A$2:C$8,1))</f>
        <v>11401.1</v>
      </c>
      <c r="K18" s="14">
        <f>Table2[[#This Row],[Salary]]-Table2[[#This Row],[Taxes]]</f>
        <v>58878.9</v>
      </c>
      <c r="L18" s="15">
        <f>Table2[[#This Row],[After tax salary]]+Table2[[#This Row],[Bonus]]</f>
        <v>58878.9</v>
      </c>
    </row>
    <row r="19" spans="1:12" x14ac:dyDescent="0.25">
      <c r="A19" s="5" t="s">
        <v>413</v>
      </c>
      <c r="B19" s="5" t="s">
        <v>6</v>
      </c>
      <c r="C19" s="5" t="s">
        <v>75</v>
      </c>
      <c r="D19" s="5" t="s">
        <v>16</v>
      </c>
      <c r="E19" s="6">
        <v>35902</v>
      </c>
      <c r="F19" s="7"/>
      <c r="G19" s="10">
        <v>63340</v>
      </c>
      <c r="H19" s="7">
        <v>3</v>
      </c>
      <c r="I19" s="12">
        <f>IF(OR(Table2[[#This Row],[Rating]]=4,Table2[[#This Row],[Rating]]=5), 0.05*Table2[[#This Row],[Salary]],0)</f>
        <v>0</v>
      </c>
      <c r="J19" s="14">
        <f>VLOOKUP(Table2[[#This Row],[Salary]],'Tax rates'!A$2:C$8, 2) + VLOOKUP(Table2[[#This Row],[Salary]],'Tax rates'!A$2:C$8, 3) * (Table2[[#This Row],[Salary]] - VLOOKUP(Table2[[#This Row],[Salary]],'Tax rates'!A$2:C$8,1))</f>
        <v>9874.2999999999993</v>
      </c>
      <c r="K19" s="14">
        <f>Table2[[#This Row],[Salary]]-Table2[[#This Row],[Taxes]]</f>
        <v>53465.7</v>
      </c>
      <c r="L19" s="15">
        <f>Table2[[#This Row],[After tax salary]]+Table2[[#This Row],[Bonus]]</f>
        <v>53465.7</v>
      </c>
    </row>
    <row r="20" spans="1:12" x14ac:dyDescent="0.25">
      <c r="A20" s="5" t="s">
        <v>267</v>
      </c>
      <c r="B20" s="5" t="s">
        <v>1</v>
      </c>
      <c r="C20" s="5" t="s">
        <v>23</v>
      </c>
      <c r="D20" s="5" t="s">
        <v>3</v>
      </c>
      <c r="E20" s="6">
        <v>35903</v>
      </c>
      <c r="F20" s="5" t="s">
        <v>4</v>
      </c>
      <c r="G20" s="10">
        <v>68520</v>
      </c>
      <c r="H20" s="7">
        <v>5</v>
      </c>
      <c r="I20" s="12">
        <f>IF(OR(Table2[[#This Row],[Rating]]=4,Table2[[#This Row],[Rating]]=5), 0.05*Table2[[#This Row],[Salary]],0)</f>
        <v>3426</v>
      </c>
      <c r="J20" s="14">
        <f>VLOOKUP(Table2[[#This Row],[Salary]],'Tax rates'!A$2:C$8, 2) + VLOOKUP(Table2[[#This Row],[Salary]],'Tax rates'!A$2:C$8, 3) * (Table2[[#This Row],[Salary]] - VLOOKUP(Table2[[#This Row],[Salary]],'Tax rates'!A$2:C$8,1))</f>
        <v>11013.9</v>
      </c>
      <c r="K20" s="14">
        <f>Table2[[#This Row],[Salary]]-Table2[[#This Row],[Taxes]]</f>
        <v>57506.1</v>
      </c>
      <c r="L20" s="15">
        <f>Table2[[#This Row],[After tax salary]]+Table2[[#This Row],[Bonus]]</f>
        <v>60932.1</v>
      </c>
    </row>
    <row r="21" spans="1:12" x14ac:dyDescent="0.25">
      <c r="A21" s="5" t="s">
        <v>376</v>
      </c>
      <c r="B21" s="5" t="s">
        <v>27</v>
      </c>
      <c r="C21" s="5" t="s">
        <v>30</v>
      </c>
      <c r="D21" s="5" t="s">
        <v>3</v>
      </c>
      <c r="E21" s="6">
        <v>35918</v>
      </c>
      <c r="F21" s="5" t="s">
        <v>25</v>
      </c>
      <c r="G21" s="10">
        <v>73740</v>
      </c>
      <c r="H21" s="7">
        <v>4</v>
      </c>
      <c r="I21" s="12">
        <f>IF(OR(Table2[[#This Row],[Rating]]=4,Table2[[#This Row],[Rating]]=5), 0.05*Table2[[#This Row],[Salary]],0)</f>
        <v>3687</v>
      </c>
      <c r="J21" s="14">
        <f>VLOOKUP(Table2[[#This Row],[Salary]],'Tax rates'!A$2:C$8, 2) + VLOOKUP(Table2[[#This Row],[Salary]],'Tax rates'!A$2:C$8, 3) * (Table2[[#This Row],[Salary]] - VLOOKUP(Table2[[#This Row],[Salary]],'Tax rates'!A$2:C$8,1))</f>
        <v>12162.3</v>
      </c>
      <c r="K21" s="14">
        <f>Table2[[#This Row],[Salary]]-Table2[[#This Row],[Taxes]]</f>
        <v>61577.7</v>
      </c>
      <c r="L21" s="15">
        <f>Table2[[#This Row],[After tax salary]]+Table2[[#This Row],[Bonus]]</f>
        <v>65264.7</v>
      </c>
    </row>
    <row r="22" spans="1:12" x14ac:dyDescent="0.25">
      <c r="A22" s="5" t="s">
        <v>213</v>
      </c>
      <c r="B22" s="5" t="s">
        <v>51</v>
      </c>
      <c r="C22" s="5" t="s">
        <v>23</v>
      </c>
      <c r="D22" s="5" t="s">
        <v>16</v>
      </c>
      <c r="E22" s="6">
        <v>35921</v>
      </c>
      <c r="F22" s="7"/>
      <c r="G22" s="10">
        <v>63330</v>
      </c>
      <c r="H22" s="7">
        <v>4</v>
      </c>
      <c r="I22" s="12">
        <f>IF(OR(Table2[[#This Row],[Rating]]=4,Table2[[#This Row],[Rating]]=5), 0.05*Table2[[#This Row],[Salary]],0)</f>
        <v>3166.5</v>
      </c>
      <c r="J22" s="14">
        <f>VLOOKUP(Table2[[#This Row],[Salary]],'Tax rates'!A$2:C$8, 2) + VLOOKUP(Table2[[#This Row],[Salary]],'Tax rates'!A$2:C$8, 3) * (Table2[[#This Row],[Salary]] - VLOOKUP(Table2[[#This Row],[Salary]],'Tax rates'!A$2:C$8,1))</f>
        <v>9872.1</v>
      </c>
      <c r="K22" s="14">
        <f>Table2[[#This Row],[Salary]]-Table2[[#This Row],[Taxes]]</f>
        <v>53457.9</v>
      </c>
      <c r="L22" s="15">
        <f>Table2[[#This Row],[After tax salary]]+Table2[[#This Row],[Bonus]]</f>
        <v>56624.4</v>
      </c>
    </row>
    <row r="23" spans="1:12" x14ac:dyDescent="0.25">
      <c r="A23" s="5" t="s">
        <v>235</v>
      </c>
      <c r="B23" s="5" t="s">
        <v>27</v>
      </c>
      <c r="C23" s="5" t="s">
        <v>18</v>
      </c>
      <c r="D23" s="5" t="s">
        <v>16</v>
      </c>
      <c r="E23" s="6">
        <v>35927</v>
      </c>
      <c r="F23" s="7"/>
      <c r="G23" s="10">
        <v>76910</v>
      </c>
      <c r="H23" s="7">
        <v>1</v>
      </c>
      <c r="I23" s="12">
        <f>IF(OR(Table2[[#This Row],[Rating]]=4,Table2[[#This Row],[Rating]]=5), 0.05*Table2[[#This Row],[Salary]],0)</f>
        <v>0</v>
      </c>
      <c r="J23" s="14">
        <f>VLOOKUP(Table2[[#This Row],[Salary]],'Tax rates'!A$2:C$8, 2) + VLOOKUP(Table2[[#This Row],[Salary]],'Tax rates'!A$2:C$8, 3) * (Table2[[#This Row],[Salary]] - VLOOKUP(Table2[[#This Row],[Salary]],'Tax rates'!A$2:C$8,1))</f>
        <v>12859.7</v>
      </c>
      <c r="K23" s="14">
        <f>Table2[[#This Row],[Salary]]-Table2[[#This Row],[Taxes]]</f>
        <v>64050.3</v>
      </c>
      <c r="L23" s="15">
        <f>Table2[[#This Row],[After tax salary]]+Table2[[#This Row],[Bonus]]</f>
        <v>64050.3</v>
      </c>
    </row>
    <row r="24" spans="1:12" x14ac:dyDescent="0.25">
      <c r="A24" s="5" t="s">
        <v>119</v>
      </c>
      <c r="B24" s="5" t="s">
        <v>1</v>
      </c>
      <c r="C24" s="5" t="s">
        <v>18</v>
      </c>
      <c r="D24" s="5" t="s">
        <v>3</v>
      </c>
      <c r="E24" s="6">
        <v>35932</v>
      </c>
      <c r="F24" s="5" t="s">
        <v>11</v>
      </c>
      <c r="G24" s="10">
        <v>89740</v>
      </c>
      <c r="H24" s="7">
        <v>5</v>
      </c>
      <c r="I24" s="12">
        <f>IF(OR(Table2[[#This Row],[Rating]]=4,Table2[[#This Row],[Rating]]=5), 0.05*Table2[[#This Row],[Salary]],0)</f>
        <v>4487</v>
      </c>
      <c r="J24" s="14">
        <f>VLOOKUP(Table2[[#This Row],[Salary]],'Tax rates'!A$2:C$8, 2) + VLOOKUP(Table2[[#This Row],[Salary]],'Tax rates'!A$2:C$8, 3) * (Table2[[#This Row],[Salary]] - VLOOKUP(Table2[[#This Row],[Salary]],'Tax rates'!A$2:C$8,1))</f>
        <v>15827.1</v>
      </c>
      <c r="K24" s="14">
        <f>Table2[[#This Row],[Salary]]-Table2[[#This Row],[Taxes]]</f>
        <v>73912.899999999994</v>
      </c>
      <c r="L24" s="15">
        <f>Table2[[#This Row],[After tax salary]]+Table2[[#This Row],[Bonus]]</f>
        <v>78399.899999999994</v>
      </c>
    </row>
    <row r="25" spans="1:12" x14ac:dyDescent="0.25">
      <c r="A25" s="5" t="s">
        <v>476</v>
      </c>
      <c r="B25" s="5" t="s">
        <v>13</v>
      </c>
      <c r="C25" s="5" t="s">
        <v>18</v>
      </c>
      <c r="D25" s="5" t="s">
        <v>3</v>
      </c>
      <c r="E25" s="6">
        <v>35938</v>
      </c>
      <c r="F25" s="5" t="s">
        <v>21</v>
      </c>
      <c r="G25" s="10">
        <v>55450</v>
      </c>
      <c r="H25" s="7">
        <v>5</v>
      </c>
      <c r="I25" s="12">
        <f>IF(OR(Table2[[#This Row],[Rating]]=4,Table2[[#This Row],[Rating]]=5), 0.05*Table2[[#This Row],[Salary]],0)</f>
        <v>2772.5</v>
      </c>
      <c r="J25" s="14">
        <f>VLOOKUP(Table2[[#This Row],[Salary]],'Tax rates'!A$2:C$8, 2) + VLOOKUP(Table2[[#This Row],[Salary]],'Tax rates'!A$2:C$8, 3) * (Table2[[#This Row],[Salary]] - VLOOKUP(Table2[[#This Row],[Salary]],'Tax rates'!A$2:C$8,1))</f>
        <v>8138.5</v>
      </c>
      <c r="K25" s="14">
        <f>Table2[[#This Row],[Salary]]-Table2[[#This Row],[Taxes]]</f>
        <v>47311.5</v>
      </c>
      <c r="L25" s="15">
        <f>Table2[[#This Row],[After tax salary]]+Table2[[#This Row],[Bonus]]</f>
        <v>50084</v>
      </c>
    </row>
    <row r="26" spans="1:12" x14ac:dyDescent="0.25">
      <c r="A26" s="5" t="s">
        <v>262</v>
      </c>
      <c r="B26" s="5" t="s">
        <v>6</v>
      </c>
      <c r="C26" s="5" t="s">
        <v>8</v>
      </c>
      <c r="D26" s="5" t="s">
        <v>16</v>
      </c>
      <c r="E26" s="6">
        <v>35939</v>
      </c>
      <c r="F26" s="7"/>
      <c r="G26" s="10">
        <v>25120</v>
      </c>
      <c r="H26" s="7">
        <v>5</v>
      </c>
      <c r="I26" s="12">
        <f>IF(OR(Table2[[#This Row],[Rating]]=4,Table2[[#This Row],[Rating]]=5), 0.05*Table2[[#This Row],[Salary]],0)</f>
        <v>1256</v>
      </c>
      <c r="J26" s="14">
        <f>VLOOKUP(Table2[[#This Row],[Salary]],'Tax rates'!A$2:C$8, 2) + VLOOKUP(Table2[[#This Row],[Salary]],'Tax rates'!A$2:C$8, 3) * (Table2[[#This Row],[Salary]] - VLOOKUP(Table2[[#This Row],[Salary]],'Tax rates'!A$2:C$8,1))</f>
        <v>2823.8999999999996</v>
      </c>
      <c r="K26" s="14">
        <f>Table2[[#This Row],[Salary]]-Table2[[#This Row],[Taxes]]</f>
        <v>22296.1</v>
      </c>
      <c r="L26" s="15">
        <f>Table2[[#This Row],[After tax salary]]+Table2[[#This Row],[Bonus]]</f>
        <v>23552.1</v>
      </c>
    </row>
    <row r="27" spans="1:12" x14ac:dyDescent="0.25">
      <c r="A27" s="5" t="s">
        <v>724</v>
      </c>
      <c r="B27" s="5" t="s">
        <v>29</v>
      </c>
      <c r="C27" s="5" t="s">
        <v>75</v>
      </c>
      <c r="D27" s="5" t="s">
        <v>16</v>
      </c>
      <c r="E27" s="6">
        <v>35940</v>
      </c>
      <c r="F27" s="7"/>
      <c r="G27" s="10">
        <v>88000</v>
      </c>
      <c r="H27" s="7">
        <v>5</v>
      </c>
      <c r="I27" s="12">
        <f>IF(OR(Table2[[#This Row],[Rating]]=4,Table2[[#This Row],[Rating]]=5), 0.05*Table2[[#This Row],[Salary]],0)</f>
        <v>4400</v>
      </c>
      <c r="J27" s="14">
        <f>VLOOKUP(Table2[[#This Row],[Salary]],'Tax rates'!A$2:C$8, 2) + VLOOKUP(Table2[[#This Row],[Salary]],'Tax rates'!A$2:C$8, 3) * (Table2[[#This Row],[Salary]] - VLOOKUP(Table2[[#This Row],[Salary]],'Tax rates'!A$2:C$8,1))</f>
        <v>15409.5</v>
      </c>
      <c r="K27" s="14">
        <f>Table2[[#This Row],[Salary]]-Table2[[#This Row],[Taxes]]</f>
        <v>72590.5</v>
      </c>
      <c r="L27" s="15">
        <f>Table2[[#This Row],[After tax salary]]+Table2[[#This Row],[Bonus]]</f>
        <v>76990.5</v>
      </c>
    </row>
    <row r="28" spans="1:12" x14ac:dyDescent="0.25">
      <c r="A28" s="5" t="s">
        <v>93</v>
      </c>
      <c r="B28" s="5" t="s">
        <v>13</v>
      </c>
      <c r="C28" s="5" t="s">
        <v>30</v>
      </c>
      <c r="D28" s="5" t="s">
        <v>32</v>
      </c>
      <c r="E28" s="6">
        <v>35946</v>
      </c>
      <c r="F28" s="7"/>
      <c r="G28" s="10">
        <v>14332</v>
      </c>
      <c r="H28" s="7">
        <v>5</v>
      </c>
      <c r="I28" s="12">
        <f>IF(OR(Table2[[#This Row],[Rating]]=4,Table2[[#This Row],[Rating]]=5), 0.05*Table2[[#This Row],[Salary]],0)</f>
        <v>716.6</v>
      </c>
      <c r="J28" s="14">
        <f>VLOOKUP(Table2[[#This Row],[Salary]],'Tax rates'!A$2:C$8, 2) + VLOOKUP(Table2[[#This Row],[Salary]],'Tax rates'!A$2:C$8, 3) * (Table2[[#This Row],[Salary]] - VLOOKUP(Table2[[#This Row],[Salary]],'Tax rates'!A$2:C$8,1))</f>
        <v>1529.3400000000001</v>
      </c>
      <c r="K28" s="14">
        <f>Table2[[#This Row],[Salary]]-Table2[[#This Row],[Taxes]]</f>
        <v>12802.66</v>
      </c>
      <c r="L28" s="15">
        <f>Table2[[#This Row],[After tax salary]]+Table2[[#This Row],[Bonus]]</f>
        <v>13519.26</v>
      </c>
    </row>
    <row r="29" spans="1:12" x14ac:dyDescent="0.25">
      <c r="A29" s="5" t="s">
        <v>373</v>
      </c>
      <c r="B29" s="5" t="s">
        <v>1</v>
      </c>
      <c r="C29" s="5" t="s">
        <v>30</v>
      </c>
      <c r="D29" s="5" t="s">
        <v>3</v>
      </c>
      <c r="E29" s="6">
        <v>35958</v>
      </c>
      <c r="F29" s="5" t="s">
        <v>11</v>
      </c>
      <c r="G29" s="10">
        <v>61420</v>
      </c>
      <c r="H29" s="7">
        <v>4</v>
      </c>
      <c r="I29" s="12">
        <f>IF(OR(Table2[[#This Row],[Rating]]=4,Table2[[#This Row],[Rating]]=5), 0.05*Table2[[#This Row],[Salary]],0)</f>
        <v>3071</v>
      </c>
      <c r="J29" s="14">
        <f>VLOOKUP(Table2[[#This Row],[Salary]],'Tax rates'!A$2:C$8, 2) + VLOOKUP(Table2[[#This Row],[Salary]],'Tax rates'!A$2:C$8, 3) * (Table2[[#This Row],[Salary]] - VLOOKUP(Table2[[#This Row],[Salary]],'Tax rates'!A$2:C$8,1))</f>
        <v>9451.9</v>
      </c>
      <c r="K29" s="14">
        <f>Table2[[#This Row],[Salary]]-Table2[[#This Row],[Taxes]]</f>
        <v>51968.1</v>
      </c>
      <c r="L29" s="15">
        <f>Table2[[#This Row],[After tax salary]]+Table2[[#This Row],[Bonus]]</f>
        <v>55039.1</v>
      </c>
    </row>
    <row r="30" spans="1:12" x14ac:dyDescent="0.25">
      <c r="A30" s="5" t="s">
        <v>607</v>
      </c>
      <c r="B30" s="5" t="s">
        <v>6</v>
      </c>
      <c r="C30" s="5" t="s">
        <v>20</v>
      </c>
      <c r="D30" s="5" t="s">
        <v>16</v>
      </c>
      <c r="E30" s="6">
        <v>35959</v>
      </c>
      <c r="F30" s="7"/>
      <c r="G30" s="10">
        <v>64470</v>
      </c>
      <c r="H30" s="7">
        <v>3</v>
      </c>
      <c r="I30" s="12">
        <f>IF(OR(Table2[[#This Row],[Rating]]=4,Table2[[#This Row],[Rating]]=5), 0.05*Table2[[#This Row],[Salary]],0)</f>
        <v>0</v>
      </c>
      <c r="J30" s="14">
        <f>VLOOKUP(Table2[[#This Row],[Salary]],'Tax rates'!A$2:C$8, 2) + VLOOKUP(Table2[[#This Row],[Salary]],'Tax rates'!A$2:C$8, 3) * (Table2[[#This Row],[Salary]] - VLOOKUP(Table2[[#This Row],[Salary]],'Tax rates'!A$2:C$8,1))</f>
        <v>10122.9</v>
      </c>
      <c r="K30" s="14">
        <f>Table2[[#This Row],[Salary]]-Table2[[#This Row],[Taxes]]</f>
        <v>54347.1</v>
      </c>
      <c r="L30" s="15">
        <f>Table2[[#This Row],[After tax salary]]+Table2[[#This Row],[Bonus]]</f>
        <v>54347.1</v>
      </c>
    </row>
    <row r="31" spans="1:12" x14ac:dyDescent="0.25">
      <c r="A31" s="5" t="s">
        <v>538</v>
      </c>
      <c r="B31" s="5" t="s">
        <v>6</v>
      </c>
      <c r="C31" s="5" t="s">
        <v>37</v>
      </c>
      <c r="D31" s="5" t="s">
        <v>24</v>
      </c>
      <c r="E31" s="6">
        <v>35961</v>
      </c>
      <c r="F31" s="5" t="s">
        <v>4</v>
      </c>
      <c r="G31" s="10">
        <v>20500</v>
      </c>
      <c r="H31" s="7">
        <v>3</v>
      </c>
      <c r="I31" s="12">
        <f>IF(OR(Table2[[#This Row],[Rating]]=4,Table2[[#This Row],[Rating]]=5), 0.05*Table2[[#This Row],[Salary]],0)</f>
        <v>0</v>
      </c>
      <c r="J31" s="14">
        <f>VLOOKUP(Table2[[#This Row],[Salary]],'Tax rates'!A$2:C$8, 2) + VLOOKUP(Table2[[#This Row],[Salary]],'Tax rates'!A$2:C$8, 3) * (Table2[[#This Row],[Salary]] - VLOOKUP(Table2[[#This Row],[Salary]],'Tax rates'!A$2:C$8,1))</f>
        <v>2269.5</v>
      </c>
      <c r="K31" s="14">
        <f>Table2[[#This Row],[Salary]]-Table2[[#This Row],[Taxes]]</f>
        <v>18230.5</v>
      </c>
      <c r="L31" s="15">
        <f>Table2[[#This Row],[After tax salary]]+Table2[[#This Row],[Bonus]]</f>
        <v>18230.5</v>
      </c>
    </row>
    <row r="32" spans="1:12" x14ac:dyDescent="0.25">
      <c r="A32" s="5" t="s">
        <v>313</v>
      </c>
      <c r="B32" s="5" t="s">
        <v>13</v>
      </c>
      <c r="C32" s="5" t="s">
        <v>75</v>
      </c>
      <c r="D32" s="5" t="s">
        <v>3</v>
      </c>
      <c r="E32" s="6">
        <v>35965</v>
      </c>
      <c r="F32" s="5" t="s">
        <v>21</v>
      </c>
      <c r="G32" s="10">
        <v>34780</v>
      </c>
      <c r="H32" s="7">
        <v>4</v>
      </c>
      <c r="I32" s="12">
        <f>IF(OR(Table2[[#This Row],[Rating]]=4,Table2[[#This Row],[Rating]]=5), 0.05*Table2[[#This Row],[Salary]],0)</f>
        <v>1739</v>
      </c>
      <c r="J32" s="14">
        <f>VLOOKUP(Table2[[#This Row],[Salary]],'Tax rates'!A$2:C$8, 2) + VLOOKUP(Table2[[#This Row],[Salary]],'Tax rates'!A$2:C$8, 3) * (Table2[[#This Row],[Salary]] - VLOOKUP(Table2[[#This Row],[Salary]],'Tax rates'!A$2:C$8,1))</f>
        <v>3983.1</v>
      </c>
      <c r="K32" s="14">
        <f>Table2[[#This Row],[Salary]]-Table2[[#This Row],[Taxes]]</f>
        <v>30796.9</v>
      </c>
      <c r="L32" s="15">
        <f>Table2[[#This Row],[After tax salary]]+Table2[[#This Row],[Bonus]]</f>
        <v>32535.9</v>
      </c>
    </row>
    <row r="33" spans="1:12" x14ac:dyDescent="0.25">
      <c r="A33" s="5" t="s">
        <v>626</v>
      </c>
      <c r="B33" s="5" t="s">
        <v>6</v>
      </c>
      <c r="C33" s="5" t="s">
        <v>23</v>
      </c>
      <c r="D33" s="5" t="s">
        <v>3</v>
      </c>
      <c r="E33" s="6">
        <v>35969</v>
      </c>
      <c r="F33" s="5" t="s">
        <v>4</v>
      </c>
      <c r="G33" s="10">
        <v>74530</v>
      </c>
      <c r="H33" s="7">
        <v>5</v>
      </c>
      <c r="I33" s="12">
        <f>IF(OR(Table2[[#This Row],[Rating]]=4,Table2[[#This Row],[Rating]]=5), 0.05*Table2[[#This Row],[Salary]],0)</f>
        <v>3726.5</v>
      </c>
      <c r="J33" s="14">
        <f>VLOOKUP(Table2[[#This Row],[Salary]],'Tax rates'!A$2:C$8, 2) + VLOOKUP(Table2[[#This Row],[Salary]],'Tax rates'!A$2:C$8, 3) * (Table2[[#This Row],[Salary]] - VLOOKUP(Table2[[#This Row],[Salary]],'Tax rates'!A$2:C$8,1))</f>
        <v>12336.1</v>
      </c>
      <c r="K33" s="14">
        <f>Table2[[#This Row],[Salary]]-Table2[[#This Row],[Taxes]]</f>
        <v>62193.9</v>
      </c>
      <c r="L33" s="15">
        <f>Table2[[#This Row],[After tax salary]]+Table2[[#This Row],[Bonus]]</f>
        <v>65920.399999999994</v>
      </c>
    </row>
    <row r="34" spans="1:12" x14ac:dyDescent="0.25">
      <c r="A34" s="5" t="s">
        <v>99</v>
      </c>
      <c r="B34" s="5" t="s">
        <v>1</v>
      </c>
      <c r="C34" s="5" t="s">
        <v>18</v>
      </c>
      <c r="D34" s="5" t="s">
        <v>16</v>
      </c>
      <c r="E34" s="6">
        <v>35972</v>
      </c>
      <c r="F34" s="7"/>
      <c r="G34" s="10">
        <v>71710</v>
      </c>
      <c r="H34" s="7">
        <v>5</v>
      </c>
      <c r="I34" s="12">
        <f>IF(OR(Table2[[#This Row],[Rating]]=4,Table2[[#This Row],[Rating]]=5), 0.05*Table2[[#This Row],[Salary]],0)</f>
        <v>3585.5</v>
      </c>
      <c r="J34" s="14">
        <f>VLOOKUP(Table2[[#This Row],[Salary]],'Tax rates'!A$2:C$8, 2) + VLOOKUP(Table2[[#This Row],[Salary]],'Tax rates'!A$2:C$8, 3) * (Table2[[#This Row],[Salary]] - VLOOKUP(Table2[[#This Row],[Salary]],'Tax rates'!A$2:C$8,1))</f>
        <v>11715.7</v>
      </c>
      <c r="K34" s="14">
        <f>Table2[[#This Row],[Salary]]-Table2[[#This Row],[Taxes]]</f>
        <v>59994.3</v>
      </c>
      <c r="L34" s="15">
        <f>Table2[[#This Row],[After tax salary]]+Table2[[#This Row],[Bonus]]</f>
        <v>63579.8</v>
      </c>
    </row>
    <row r="35" spans="1:12" x14ac:dyDescent="0.25">
      <c r="A35" s="5" t="s">
        <v>39</v>
      </c>
      <c r="B35" s="5" t="s">
        <v>1</v>
      </c>
      <c r="C35" s="5" t="s">
        <v>18</v>
      </c>
      <c r="D35" s="5" t="s">
        <v>32</v>
      </c>
      <c r="E35" s="6">
        <v>35982</v>
      </c>
      <c r="F35" s="7"/>
      <c r="G35" s="10">
        <v>8904</v>
      </c>
      <c r="H35" s="7">
        <v>3</v>
      </c>
      <c r="I35" s="12">
        <f>IF(OR(Table2[[#This Row],[Rating]]=4,Table2[[#This Row],[Rating]]=5), 0.05*Table2[[#This Row],[Salary]],0)</f>
        <v>0</v>
      </c>
      <c r="J35" s="14">
        <f>VLOOKUP(Table2[[#This Row],[Salary]],'Tax rates'!A$2:C$8, 2) + VLOOKUP(Table2[[#This Row],[Salary]],'Tax rates'!A$2:C$8, 3) * (Table2[[#This Row],[Salary]] - VLOOKUP(Table2[[#This Row],[Salary]],'Tax rates'!A$2:C$8,1))</f>
        <v>890.40000000000009</v>
      </c>
      <c r="K35" s="14">
        <f>Table2[[#This Row],[Salary]]-Table2[[#This Row],[Taxes]]</f>
        <v>8013.6</v>
      </c>
      <c r="L35" s="15">
        <f>Table2[[#This Row],[After tax salary]]+Table2[[#This Row],[Bonus]]</f>
        <v>8013.6</v>
      </c>
    </row>
    <row r="36" spans="1:12" x14ac:dyDescent="0.25">
      <c r="A36" s="5" t="s">
        <v>634</v>
      </c>
      <c r="B36" s="5" t="s">
        <v>27</v>
      </c>
      <c r="C36" s="5" t="s">
        <v>8</v>
      </c>
      <c r="D36" s="5" t="s">
        <v>3</v>
      </c>
      <c r="E36" s="6">
        <v>35989</v>
      </c>
      <c r="F36" s="5" t="s">
        <v>25</v>
      </c>
      <c r="G36" s="10">
        <v>71010</v>
      </c>
      <c r="H36" s="7">
        <v>5</v>
      </c>
      <c r="I36" s="12">
        <f>IF(OR(Table2[[#This Row],[Rating]]=4,Table2[[#This Row],[Rating]]=5), 0.05*Table2[[#This Row],[Salary]],0)</f>
        <v>3550.5</v>
      </c>
      <c r="J36" s="14">
        <f>VLOOKUP(Table2[[#This Row],[Salary]],'Tax rates'!A$2:C$8, 2) + VLOOKUP(Table2[[#This Row],[Salary]],'Tax rates'!A$2:C$8, 3) * (Table2[[#This Row],[Salary]] - VLOOKUP(Table2[[#This Row],[Salary]],'Tax rates'!A$2:C$8,1))</f>
        <v>11561.7</v>
      </c>
      <c r="K36" s="14">
        <f>Table2[[#This Row],[Salary]]-Table2[[#This Row],[Taxes]]</f>
        <v>59448.3</v>
      </c>
      <c r="L36" s="15">
        <f>Table2[[#This Row],[After tax salary]]+Table2[[#This Row],[Bonus]]</f>
        <v>62998.8</v>
      </c>
    </row>
    <row r="37" spans="1:12" x14ac:dyDescent="0.25">
      <c r="A37" s="5" t="s">
        <v>577</v>
      </c>
      <c r="B37" s="5" t="s">
        <v>6</v>
      </c>
      <c r="C37" s="5" t="s">
        <v>30</v>
      </c>
      <c r="D37" s="5" t="s">
        <v>3</v>
      </c>
      <c r="E37" s="6">
        <v>35990</v>
      </c>
      <c r="F37" s="5" t="s">
        <v>9</v>
      </c>
      <c r="G37" s="10">
        <v>36890</v>
      </c>
      <c r="H37" s="7">
        <v>1</v>
      </c>
      <c r="I37" s="12">
        <f>IF(OR(Table2[[#This Row],[Rating]]=4,Table2[[#This Row],[Rating]]=5), 0.05*Table2[[#This Row],[Salary]],0)</f>
        <v>0</v>
      </c>
      <c r="J37" s="14">
        <f>VLOOKUP(Table2[[#This Row],[Salary]],'Tax rates'!A$2:C$8, 2) + VLOOKUP(Table2[[#This Row],[Salary]],'Tax rates'!A$2:C$8, 3) * (Table2[[#This Row],[Salary]] - VLOOKUP(Table2[[#This Row],[Salary]],'Tax rates'!A$2:C$8,1))</f>
        <v>4236.2999999999993</v>
      </c>
      <c r="K37" s="14">
        <f>Table2[[#This Row],[Salary]]-Table2[[#This Row],[Taxes]]</f>
        <v>32653.7</v>
      </c>
      <c r="L37" s="15">
        <f>Table2[[#This Row],[After tax salary]]+Table2[[#This Row],[Bonus]]</f>
        <v>32653.7</v>
      </c>
    </row>
    <row r="38" spans="1:12" x14ac:dyDescent="0.25">
      <c r="A38" s="5" t="s">
        <v>148</v>
      </c>
      <c r="B38" s="5" t="s">
        <v>6</v>
      </c>
      <c r="C38" s="5" t="s">
        <v>18</v>
      </c>
      <c r="D38" s="5" t="s">
        <v>16</v>
      </c>
      <c r="E38" s="6">
        <v>35992</v>
      </c>
      <c r="F38" s="7"/>
      <c r="G38" s="10">
        <v>68260</v>
      </c>
      <c r="H38" s="7">
        <v>5</v>
      </c>
      <c r="I38" s="12">
        <f>IF(OR(Table2[[#This Row],[Rating]]=4,Table2[[#This Row],[Rating]]=5), 0.05*Table2[[#This Row],[Salary]],0)</f>
        <v>3413</v>
      </c>
      <c r="J38" s="14">
        <f>VLOOKUP(Table2[[#This Row],[Salary]],'Tax rates'!A$2:C$8, 2) + VLOOKUP(Table2[[#This Row],[Salary]],'Tax rates'!A$2:C$8, 3) * (Table2[[#This Row],[Salary]] - VLOOKUP(Table2[[#This Row],[Salary]],'Tax rates'!A$2:C$8,1))</f>
        <v>10956.7</v>
      </c>
      <c r="K38" s="14">
        <f>Table2[[#This Row],[Salary]]-Table2[[#This Row],[Taxes]]</f>
        <v>57303.3</v>
      </c>
      <c r="L38" s="15">
        <f>Table2[[#This Row],[After tax salary]]+Table2[[#This Row],[Bonus]]</f>
        <v>60716.3</v>
      </c>
    </row>
    <row r="39" spans="1:12" x14ac:dyDescent="0.25">
      <c r="A39" s="5" t="s">
        <v>374</v>
      </c>
      <c r="B39" s="5" t="s">
        <v>6</v>
      </c>
      <c r="C39" s="5" t="s">
        <v>18</v>
      </c>
      <c r="D39" s="5" t="s">
        <v>3</v>
      </c>
      <c r="E39" s="6">
        <v>35996</v>
      </c>
      <c r="F39" s="5" t="s">
        <v>4</v>
      </c>
      <c r="G39" s="10">
        <v>40340</v>
      </c>
      <c r="H39" s="7">
        <v>2</v>
      </c>
      <c r="I39" s="12">
        <f>IF(OR(Table2[[#This Row],[Rating]]=4,Table2[[#This Row],[Rating]]=5), 0.05*Table2[[#This Row],[Salary]],0)</f>
        <v>0</v>
      </c>
      <c r="J39" s="14">
        <f>VLOOKUP(Table2[[#This Row],[Salary]],'Tax rates'!A$2:C$8, 2) + VLOOKUP(Table2[[#This Row],[Salary]],'Tax rates'!A$2:C$8, 3) * (Table2[[#This Row],[Salary]] - VLOOKUP(Table2[[#This Row],[Salary]],'Tax rates'!A$2:C$8,1))</f>
        <v>4814.3</v>
      </c>
      <c r="K39" s="14">
        <f>Table2[[#This Row],[Salary]]-Table2[[#This Row],[Taxes]]</f>
        <v>35525.699999999997</v>
      </c>
      <c r="L39" s="15">
        <f>Table2[[#This Row],[After tax salary]]+Table2[[#This Row],[Bonus]]</f>
        <v>35525.699999999997</v>
      </c>
    </row>
    <row r="40" spans="1:12" x14ac:dyDescent="0.25">
      <c r="A40" s="5" t="s">
        <v>757</v>
      </c>
      <c r="B40" s="5" t="s">
        <v>1</v>
      </c>
      <c r="C40" s="5" t="s">
        <v>18</v>
      </c>
      <c r="D40" s="5" t="s">
        <v>16</v>
      </c>
      <c r="E40" s="6">
        <v>35997</v>
      </c>
      <c r="F40" s="7"/>
      <c r="G40" s="10">
        <v>72520</v>
      </c>
      <c r="H40" s="7">
        <v>3</v>
      </c>
      <c r="I40" s="12">
        <f>IF(OR(Table2[[#This Row],[Rating]]=4,Table2[[#This Row],[Rating]]=5), 0.05*Table2[[#This Row],[Salary]],0)</f>
        <v>0</v>
      </c>
      <c r="J40" s="14">
        <f>VLOOKUP(Table2[[#This Row],[Salary]],'Tax rates'!A$2:C$8, 2) + VLOOKUP(Table2[[#This Row],[Salary]],'Tax rates'!A$2:C$8, 3) * (Table2[[#This Row],[Salary]] - VLOOKUP(Table2[[#This Row],[Salary]],'Tax rates'!A$2:C$8,1))</f>
        <v>11893.9</v>
      </c>
      <c r="K40" s="14">
        <f>Table2[[#This Row],[Salary]]-Table2[[#This Row],[Taxes]]</f>
        <v>60626.1</v>
      </c>
      <c r="L40" s="15">
        <f>Table2[[#This Row],[After tax salary]]+Table2[[#This Row],[Bonus]]</f>
        <v>60626.1</v>
      </c>
    </row>
    <row r="41" spans="1:12" x14ac:dyDescent="0.25">
      <c r="A41" s="5" t="s">
        <v>675</v>
      </c>
      <c r="B41" s="5" t="s">
        <v>6</v>
      </c>
      <c r="C41" s="5" t="s">
        <v>18</v>
      </c>
      <c r="D41" s="5" t="s">
        <v>3</v>
      </c>
      <c r="E41" s="6">
        <v>36009</v>
      </c>
      <c r="F41" s="5" t="s">
        <v>4</v>
      </c>
      <c r="G41" s="10">
        <v>75120</v>
      </c>
      <c r="H41" s="7">
        <v>5</v>
      </c>
      <c r="I41" s="12">
        <f>IF(OR(Table2[[#This Row],[Rating]]=4,Table2[[#This Row],[Rating]]=5), 0.05*Table2[[#This Row],[Salary]],0)</f>
        <v>3756</v>
      </c>
      <c r="J41" s="14">
        <f>VLOOKUP(Table2[[#This Row],[Salary]],'Tax rates'!A$2:C$8, 2) + VLOOKUP(Table2[[#This Row],[Salary]],'Tax rates'!A$2:C$8, 3) * (Table2[[#This Row],[Salary]] - VLOOKUP(Table2[[#This Row],[Salary]],'Tax rates'!A$2:C$8,1))</f>
        <v>12465.9</v>
      </c>
      <c r="K41" s="14">
        <f>Table2[[#This Row],[Salary]]-Table2[[#This Row],[Taxes]]</f>
        <v>62654.1</v>
      </c>
      <c r="L41" s="15">
        <f>Table2[[#This Row],[After tax salary]]+Table2[[#This Row],[Bonus]]</f>
        <v>66410.100000000006</v>
      </c>
    </row>
    <row r="42" spans="1:12" x14ac:dyDescent="0.25">
      <c r="A42" s="5" t="s">
        <v>546</v>
      </c>
      <c r="B42" s="5" t="s">
        <v>51</v>
      </c>
      <c r="C42" s="5" t="s">
        <v>18</v>
      </c>
      <c r="D42" s="5" t="s">
        <v>16</v>
      </c>
      <c r="E42" s="6">
        <v>36011</v>
      </c>
      <c r="F42" s="7"/>
      <c r="G42" s="10">
        <v>45050</v>
      </c>
      <c r="H42" s="7">
        <v>1</v>
      </c>
      <c r="I42" s="12">
        <f>IF(OR(Table2[[#This Row],[Rating]]=4,Table2[[#This Row],[Rating]]=5), 0.05*Table2[[#This Row],[Salary]],0)</f>
        <v>0</v>
      </c>
      <c r="J42" s="14">
        <f>VLOOKUP(Table2[[#This Row],[Salary]],'Tax rates'!A$2:C$8, 2) + VLOOKUP(Table2[[#This Row],[Salary]],'Tax rates'!A$2:C$8, 3) * (Table2[[#This Row],[Salary]] - VLOOKUP(Table2[[#This Row],[Salary]],'Tax rates'!A$2:C$8,1))</f>
        <v>5850.5</v>
      </c>
      <c r="K42" s="14">
        <f>Table2[[#This Row],[Salary]]-Table2[[#This Row],[Taxes]]</f>
        <v>39199.5</v>
      </c>
      <c r="L42" s="15">
        <f>Table2[[#This Row],[After tax salary]]+Table2[[#This Row],[Bonus]]</f>
        <v>39199.5</v>
      </c>
    </row>
    <row r="43" spans="1:12" x14ac:dyDescent="0.25">
      <c r="A43" s="5" t="s">
        <v>483</v>
      </c>
      <c r="B43" s="5" t="s">
        <v>6</v>
      </c>
      <c r="C43" s="5" t="s">
        <v>2</v>
      </c>
      <c r="D43" s="5" t="s">
        <v>3</v>
      </c>
      <c r="E43" s="6">
        <v>36012</v>
      </c>
      <c r="F43" s="5" t="s">
        <v>25</v>
      </c>
      <c r="G43" s="10">
        <v>78950</v>
      </c>
      <c r="H43" s="7">
        <v>1</v>
      </c>
      <c r="I43" s="12">
        <f>IF(OR(Table2[[#This Row],[Rating]]=4,Table2[[#This Row],[Rating]]=5), 0.05*Table2[[#This Row],[Salary]],0)</f>
        <v>0</v>
      </c>
      <c r="J43" s="14">
        <f>VLOOKUP(Table2[[#This Row],[Salary]],'Tax rates'!A$2:C$8, 2) + VLOOKUP(Table2[[#This Row],[Salary]],'Tax rates'!A$2:C$8, 3) * (Table2[[#This Row],[Salary]] - VLOOKUP(Table2[[#This Row],[Salary]],'Tax rates'!A$2:C$8,1))</f>
        <v>13308.5</v>
      </c>
      <c r="K43" s="14">
        <f>Table2[[#This Row],[Salary]]-Table2[[#This Row],[Taxes]]</f>
        <v>65641.5</v>
      </c>
      <c r="L43" s="15">
        <f>Table2[[#This Row],[After tax salary]]+Table2[[#This Row],[Bonus]]</f>
        <v>65641.5</v>
      </c>
    </row>
    <row r="44" spans="1:12" x14ac:dyDescent="0.25">
      <c r="A44" s="5" t="s">
        <v>183</v>
      </c>
      <c r="B44" s="5" t="s">
        <v>1</v>
      </c>
      <c r="C44" s="5" t="s">
        <v>35</v>
      </c>
      <c r="D44" s="5" t="s">
        <v>3</v>
      </c>
      <c r="E44" s="6">
        <v>36025</v>
      </c>
      <c r="F44" s="5" t="s">
        <v>25</v>
      </c>
      <c r="G44" s="10">
        <v>64470</v>
      </c>
      <c r="H44" s="7">
        <v>5</v>
      </c>
      <c r="I44" s="12">
        <f>IF(OR(Table2[[#This Row],[Rating]]=4,Table2[[#This Row],[Rating]]=5), 0.05*Table2[[#This Row],[Salary]],0)</f>
        <v>3223.5</v>
      </c>
      <c r="J44" s="14">
        <f>VLOOKUP(Table2[[#This Row],[Salary]],'Tax rates'!A$2:C$8, 2) + VLOOKUP(Table2[[#This Row],[Salary]],'Tax rates'!A$2:C$8, 3) * (Table2[[#This Row],[Salary]] - VLOOKUP(Table2[[#This Row],[Salary]],'Tax rates'!A$2:C$8,1))</f>
        <v>10122.9</v>
      </c>
      <c r="K44" s="14">
        <f>Table2[[#This Row],[Salary]]-Table2[[#This Row],[Taxes]]</f>
        <v>54347.1</v>
      </c>
      <c r="L44" s="15">
        <f>Table2[[#This Row],[After tax salary]]+Table2[[#This Row],[Bonus]]</f>
        <v>57570.6</v>
      </c>
    </row>
    <row r="45" spans="1:12" x14ac:dyDescent="0.25">
      <c r="A45" s="5" t="s">
        <v>31</v>
      </c>
      <c r="B45" s="5" t="s">
        <v>1</v>
      </c>
      <c r="C45" s="5" t="s">
        <v>30</v>
      </c>
      <c r="D45" s="5" t="s">
        <v>32</v>
      </c>
      <c r="E45" s="6">
        <v>36028</v>
      </c>
      <c r="F45" s="7"/>
      <c r="G45" s="10">
        <v>16688</v>
      </c>
      <c r="H45" s="7">
        <v>3</v>
      </c>
      <c r="I45" s="12">
        <f>IF(OR(Table2[[#This Row],[Rating]]=4,Table2[[#This Row],[Rating]]=5), 0.05*Table2[[#This Row],[Salary]],0)</f>
        <v>0</v>
      </c>
      <c r="J45" s="14">
        <f>VLOOKUP(Table2[[#This Row],[Salary]],'Tax rates'!A$2:C$8, 2) + VLOOKUP(Table2[[#This Row],[Salary]],'Tax rates'!A$2:C$8, 3) * (Table2[[#This Row],[Salary]] - VLOOKUP(Table2[[#This Row],[Salary]],'Tax rates'!A$2:C$8,1))</f>
        <v>1812.06</v>
      </c>
      <c r="K45" s="14">
        <f>Table2[[#This Row],[Salary]]-Table2[[#This Row],[Taxes]]</f>
        <v>14875.94</v>
      </c>
      <c r="L45" s="15">
        <f>Table2[[#This Row],[After tax salary]]+Table2[[#This Row],[Bonus]]</f>
        <v>14875.94</v>
      </c>
    </row>
    <row r="46" spans="1:12" x14ac:dyDescent="0.25">
      <c r="A46" s="5" t="s">
        <v>176</v>
      </c>
      <c r="B46" s="5" t="s">
        <v>51</v>
      </c>
      <c r="C46" s="5" t="s">
        <v>75</v>
      </c>
      <c r="D46" s="5" t="s">
        <v>16</v>
      </c>
      <c r="E46" s="6">
        <v>36038</v>
      </c>
      <c r="F46" s="7"/>
      <c r="G46" s="10">
        <v>30340</v>
      </c>
      <c r="H46" s="7">
        <v>3</v>
      </c>
      <c r="I46" s="12">
        <f>IF(OR(Table2[[#This Row],[Rating]]=4,Table2[[#This Row],[Rating]]=5), 0.05*Table2[[#This Row],[Salary]],0)</f>
        <v>0</v>
      </c>
      <c r="J46" s="14">
        <f>VLOOKUP(Table2[[#This Row],[Salary]],'Tax rates'!A$2:C$8, 2) + VLOOKUP(Table2[[#This Row],[Salary]],'Tax rates'!A$2:C$8, 3) * (Table2[[#This Row],[Salary]] - VLOOKUP(Table2[[#This Row],[Salary]],'Tax rates'!A$2:C$8,1))</f>
        <v>3450.2999999999997</v>
      </c>
      <c r="K46" s="14">
        <f>Table2[[#This Row],[Salary]]-Table2[[#This Row],[Taxes]]</f>
        <v>26889.7</v>
      </c>
      <c r="L46" s="15">
        <f>Table2[[#This Row],[After tax salary]]+Table2[[#This Row],[Bonus]]</f>
        <v>26889.7</v>
      </c>
    </row>
    <row r="47" spans="1:12" x14ac:dyDescent="0.25">
      <c r="A47" s="5" t="s">
        <v>457</v>
      </c>
      <c r="B47" s="5" t="s">
        <v>13</v>
      </c>
      <c r="C47" s="5" t="s">
        <v>37</v>
      </c>
      <c r="D47" s="5" t="s">
        <v>16</v>
      </c>
      <c r="E47" s="6">
        <v>36047</v>
      </c>
      <c r="F47" s="7"/>
      <c r="G47" s="10">
        <v>72480</v>
      </c>
      <c r="H47" s="7">
        <v>2</v>
      </c>
      <c r="I47" s="12">
        <f>IF(OR(Table2[[#This Row],[Rating]]=4,Table2[[#This Row],[Rating]]=5), 0.05*Table2[[#This Row],[Salary]],0)</f>
        <v>0</v>
      </c>
      <c r="J47" s="14">
        <f>VLOOKUP(Table2[[#This Row],[Salary]],'Tax rates'!A$2:C$8, 2) + VLOOKUP(Table2[[#This Row],[Salary]],'Tax rates'!A$2:C$8, 3) * (Table2[[#This Row],[Salary]] - VLOOKUP(Table2[[#This Row],[Salary]],'Tax rates'!A$2:C$8,1))</f>
        <v>11885.1</v>
      </c>
      <c r="K47" s="14">
        <f>Table2[[#This Row],[Salary]]-Table2[[#This Row],[Taxes]]</f>
        <v>60594.9</v>
      </c>
      <c r="L47" s="15">
        <f>Table2[[#This Row],[After tax salary]]+Table2[[#This Row],[Bonus]]</f>
        <v>60594.9</v>
      </c>
    </row>
    <row r="48" spans="1:12" x14ac:dyDescent="0.25">
      <c r="A48" s="5" t="s">
        <v>185</v>
      </c>
      <c r="B48" s="5" t="s">
        <v>51</v>
      </c>
      <c r="C48" s="5" t="s">
        <v>35</v>
      </c>
      <c r="D48" s="5" t="s">
        <v>24</v>
      </c>
      <c r="E48" s="6">
        <v>36053</v>
      </c>
      <c r="F48" s="5" t="s">
        <v>9</v>
      </c>
      <c r="G48" s="10">
        <v>46105</v>
      </c>
      <c r="H48" s="7">
        <v>5</v>
      </c>
      <c r="I48" s="12">
        <f>IF(OR(Table2[[#This Row],[Rating]]=4,Table2[[#This Row],[Rating]]=5), 0.05*Table2[[#This Row],[Salary]],0)</f>
        <v>2305.25</v>
      </c>
      <c r="J48" s="14">
        <f>VLOOKUP(Table2[[#This Row],[Salary]],'Tax rates'!A$2:C$8, 2) + VLOOKUP(Table2[[#This Row],[Salary]],'Tax rates'!A$2:C$8, 3) * (Table2[[#This Row],[Salary]] - VLOOKUP(Table2[[#This Row],[Salary]],'Tax rates'!A$2:C$8,1))</f>
        <v>6082.6</v>
      </c>
      <c r="K48" s="14">
        <f>Table2[[#This Row],[Salary]]-Table2[[#This Row],[Taxes]]</f>
        <v>40022.400000000001</v>
      </c>
      <c r="L48" s="15">
        <f>Table2[[#This Row],[After tax salary]]+Table2[[#This Row],[Bonus]]</f>
        <v>42327.65</v>
      </c>
    </row>
    <row r="49" spans="1:12" x14ac:dyDescent="0.25">
      <c r="A49" s="5" t="s">
        <v>478</v>
      </c>
      <c r="B49" s="5" t="s">
        <v>13</v>
      </c>
      <c r="C49" s="5" t="s">
        <v>75</v>
      </c>
      <c r="D49" s="5" t="s">
        <v>32</v>
      </c>
      <c r="E49" s="6">
        <v>36059</v>
      </c>
      <c r="F49" s="7"/>
      <c r="G49" s="10">
        <v>18500</v>
      </c>
      <c r="H49" s="7">
        <v>5</v>
      </c>
      <c r="I49" s="12">
        <f>IF(OR(Table2[[#This Row],[Rating]]=4,Table2[[#This Row],[Rating]]=5), 0.05*Table2[[#This Row],[Salary]],0)</f>
        <v>925</v>
      </c>
      <c r="J49" s="14">
        <f>VLOOKUP(Table2[[#This Row],[Salary]],'Tax rates'!A$2:C$8, 2) + VLOOKUP(Table2[[#This Row],[Salary]],'Tax rates'!A$2:C$8, 3) * (Table2[[#This Row],[Salary]] - VLOOKUP(Table2[[#This Row],[Salary]],'Tax rates'!A$2:C$8,1))</f>
        <v>2029.5</v>
      </c>
      <c r="K49" s="14">
        <f>Table2[[#This Row],[Salary]]-Table2[[#This Row],[Taxes]]</f>
        <v>16470.5</v>
      </c>
      <c r="L49" s="15">
        <f>Table2[[#This Row],[After tax salary]]+Table2[[#This Row],[Bonus]]</f>
        <v>17395.5</v>
      </c>
    </row>
    <row r="50" spans="1:12" x14ac:dyDescent="0.25">
      <c r="A50" s="5" t="s">
        <v>557</v>
      </c>
      <c r="B50" s="5" t="s">
        <v>51</v>
      </c>
      <c r="C50" s="5" t="s">
        <v>18</v>
      </c>
      <c r="D50" s="5" t="s">
        <v>32</v>
      </c>
      <c r="E50" s="6">
        <v>36067</v>
      </c>
      <c r="F50" s="7"/>
      <c r="G50" s="10">
        <v>37612</v>
      </c>
      <c r="H50" s="7">
        <v>4</v>
      </c>
      <c r="I50" s="12">
        <f>IF(OR(Table2[[#This Row],[Rating]]=4,Table2[[#This Row],[Rating]]=5), 0.05*Table2[[#This Row],[Salary]],0)</f>
        <v>1880.6000000000001</v>
      </c>
      <c r="J50" s="14">
        <f>VLOOKUP(Table2[[#This Row],[Salary]],'Tax rates'!A$2:C$8, 2) + VLOOKUP(Table2[[#This Row],[Salary]],'Tax rates'!A$2:C$8, 3) * (Table2[[#This Row],[Salary]] - VLOOKUP(Table2[[#This Row],[Salary]],'Tax rates'!A$2:C$8,1))</f>
        <v>4322.9400000000005</v>
      </c>
      <c r="K50" s="14">
        <f>Table2[[#This Row],[Salary]]-Table2[[#This Row],[Taxes]]</f>
        <v>33289.06</v>
      </c>
      <c r="L50" s="15">
        <f>Table2[[#This Row],[After tax salary]]+Table2[[#This Row],[Bonus]]</f>
        <v>35169.659999999996</v>
      </c>
    </row>
    <row r="51" spans="1:12" x14ac:dyDescent="0.25">
      <c r="A51" s="5" t="s">
        <v>461</v>
      </c>
      <c r="B51" s="5" t="s">
        <v>13</v>
      </c>
      <c r="C51" s="5" t="s">
        <v>2</v>
      </c>
      <c r="D51" s="5" t="s">
        <v>16</v>
      </c>
      <c r="E51" s="6">
        <v>36070</v>
      </c>
      <c r="F51" s="7"/>
      <c r="G51" s="10">
        <v>59050</v>
      </c>
      <c r="H51" s="7">
        <v>4</v>
      </c>
      <c r="I51" s="12">
        <f>IF(OR(Table2[[#This Row],[Rating]]=4,Table2[[#This Row],[Rating]]=5), 0.05*Table2[[#This Row],[Salary]],0)</f>
        <v>2952.5</v>
      </c>
      <c r="J51" s="14">
        <f>VLOOKUP(Table2[[#This Row],[Salary]],'Tax rates'!A$2:C$8, 2) + VLOOKUP(Table2[[#This Row],[Salary]],'Tax rates'!A$2:C$8, 3) * (Table2[[#This Row],[Salary]] - VLOOKUP(Table2[[#This Row],[Salary]],'Tax rates'!A$2:C$8,1))</f>
        <v>8930.5</v>
      </c>
      <c r="K51" s="14">
        <f>Table2[[#This Row],[Salary]]-Table2[[#This Row],[Taxes]]</f>
        <v>50119.5</v>
      </c>
      <c r="L51" s="15">
        <f>Table2[[#This Row],[After tax salary]]+Table2[[#This Row],[Bonus]]</f>
        <v>53072</v>
      </c>
    </row>
    <row r="52" spans="1:12" x14ac:dyDescent="0.25">
      <c r="A52" s="5" t="s">
        <v>466</v>
      </c>
      <c r="B52" s="5" t="s">
        <v>6</v>
      </c>
      <c r="C52" s="5" t="s">
        <v>20</v>
      </c>
      <c r="D52" s="5" t="s">
        <v>3</v>
      </c>
      <c r="E52" s="6">
        <v>36077</v>
      </c>
      <c r="F52" s="5" t="s">
        <v>11</v>
      </c>
      <c r="G52" s="10">
        <v>50110</v>
      </c>
      <c r="H52" s="7">
        <v>1</v>
      </c>
      <c r="I52" s="12">
        <f>IF(OR(Table2[[#This Row],[Rating]]=4,Table2[[#This Row],[Rating]]=5), 0.05*Table2[[#This Row],[Salary]],0)</f>
        <v>0</v>
      </c>
      <c r="J52" s="14">
        <f>VLOOKUP(Table2[[#This Row],[Salary]],'Tax rates'!A$2:C$8, 2) + VLOOKUP(Table2[[#This Row],[Salary]],'Tax rates'!A$2:C$8, 3) * (Table2[[#This Row],[Salary]] - VLOOKUP(Table2[[#This Row],[Salary]],'Tax rates'!A$2:C$8,1))</f>
        <v>6963.7</v>
      </c>
      <c r="K52" s="14">
        <f>Table2[[#This Row],[Salary]]-Table2[[#This Row],[Taxes]]</f>
        <v>43146.3</v>
      </c>
      <c r="L52" s="15">
        <f>Table2[[#This Row],[After tax salary]]+Table2[[#This Row],[Bonus]]</f>
        <v>43146.3</v>
      </c>
    </row>
    <row r="53" spans="1:12" x14ac:dyDescent="0.25">
      <c r="A53" s="5" t="s">
        <v>484</v>
      </c>
      <c r="B53" s="5" t="s">
        <v>6</v>
      </c>
      <c r="C53" s="5" t="s">
        <v>2</v>
      </c>
      <c r="D53" s="5" t="s">
        <v>3</v>
      </c>
      <c r="E53" s="6">
        <v>36078</v>
      </c>
      <c r="F53" s="5" t="s">
        <v>9</v>
      </c>
      <c r="G53" s="10">
        <v>79610</v>
      </c>
      <c r="H53" s="7">
        <v>2</v>
      </c>
      <c r="I53" s="12">
        <f>IF(OR(Table2[[#This Row],[Rating]]=4,Table2[[#This Row],[Rating]]=5), 0.05*Table2[[#This Row],[Salary]],0)</f>
        <v>0</v>
      </c>
      <c r="J53" s="14">
        <f>VLOOKUP(Table2[[#This Row],[Salary]],'Tax rates'!A$2:C$8, 2) + VLOOKUP(Table2[[#This Row],[Salary]],'Tax rates'!A$2:C$8, 3) * (Table2[[#This Row],[Salary]] - VLOOKUP(Table2[[#This Row],[Salary]],'Tax rates'!A$2:C$8,1))</f>
        <v>13453.7</v>
      </c>
      <c r="K53" s="14">
        <f>Table2[[#This Row],[Salary]]-Table2[[#This Row],[Taxes]]</f>
        <v>66156.3</v>
      </c>
      <c r="L53" s="15">
        <f>Table2[[#This Row],[After tax salary]]+Table2[[#This Row],[Bonus]]</f>
        <v>66156.3</v>
      </c>
    </row>
    <row r="54" spans="1:12" x14ac:dyDescent="0.25">
      <c r="A54" s="5" t="s">
        <v>696</v>
      </c>
      <c r="B54" s="5" t="s">
        <v>27</v>
      </c>
      <c r="C54" s="5" t="s">
        <v>35</v>
      </c>
      <c r="D54" s="5" t="s">
        <v>3</v>
      </c>
      <c r="E54" s="6">
        <v>36080</v>
      </c>
      <c r="F54" s="5" t="s">
        <v>11</v>
      </c>
      <c r="G54" s="10">
        <v>48410</v>
      </c>
      <c r="H54" s="7">
        <v>5</v>
      </c>
      <c r="I54" s="12">
        <f>IF(OR(Table2[[#This Row],[Rating]]=4,Table2[[#This Row],[Rating]]=5), 0.05*Table2[[#This Row],[Salary]],0)</f>
        <v>2420.5</v>
      </c>
      <c r="J54" s="14">
        <f>VLOOKUP(Table2[[#This Row],[Salary]],'Tax rates'!A$2:C$8, 2) + VLOOKUP(Table2[[#This Row],[Salary]],'Tax rates'!A$2:C$8, 3) * (Table2[[#This Row],[Salary]] - VLOOKUP(Table2[[#This Row],[Salary]],'Tax rates'!A$2:C$8,1))</f>
        <v>6589.7</v>
      </c>
      <c r="K54" s="14">
        <f>Table2[[#This Row],[Salary]]-Table2[[#This Row],[Taxes]]</f>
        <v>41820.300000000003</v>
      </c>
      <c r="L54" s="15">
        <f>Table2[[#This Row],[After tax salary]]+Table2[[#This Row],[Bonus]]</f>
        <v>44240.800000000003</v>
      </c>
    </row>
    <row r="55" spans="1:12" x14ac:dyDescent="0.25">
      <c r="A55" s="5" t="s">
        <v>448</v>
      </c>
      <c r="B55" s="5" t="s">
        <v>13</v>
      </c>
      <c r="C55" s="5" t="s">
        <v>2</v>
      </c>
      <c r="D55" s="5" t="s">
        <v>3</v>
      </c>
      <c r="E55" s="6">
        <v>36081</v>
      </c>
      <c r="F55" s="5" t="s">
        <v>11</v>
      </c>
      <c r="G55" s="10">
        <v>67407</v>
      </c>
      <c r="H55" s="7">
        <v>5</v>
      </c>
      <c r="I55" s="12">
        <f>IF(OR(Table2[[#This Row],[Rating]]=4,Table2[[#This Row],[Rating]]=5), 0.05*Table2[[#This Row],[Salary]],0)</f>
        <v>3370.3500000000004</v>
      </c>
      <c r="J55" s="14">
        <f>VLOOKUP(Table2[[#This Row],[Salary]],'Tax rates'!A$2:C$8, 2) + VLOOKUP(Table2[[#This Row],[Salary]],'Tax rates'!A$2:C$8, 3) * (Table2[[#This Row],[Salary]] - VLOOKUP(Table2[[#This Row],[Salary]],'Tax rates'!A$2:C$8,1))</f>
        <v>10769.04</v>
      </c>
      <c r="K55" s="14">
        <f>Table2[[#This Row],[Salary]]-Table2[[#This Row],[Taxes]]</f>
        <v>56637.96</v>
      </c>
      <c r="L55" s="15">
        <f>Table2[[#This Row],[After tax salary]]+Table2[[#This Row],[Bonus]]</f>
        <v>60008.31</v>
      </c>
    </row>
    <row r="56" spans="1:12" x14ac:dyDescent="0.25">
      <c r="A56" s="5" t="s">
        <v>155</v>
      </c>
      <c r="B56" s="5" t="s">
        <v>27</v>
      </c>
      <c r="C56" s="5" t="s">
        <v>8</v>
      </c>
      <c r="D56" s="5" t="s">
        <v>3</v>
      </c>
      <c r="E56" s="6">
        <v>36082</v>
      </c>
      <c r="F56" s="5" t="s">
        <v>11</v>
      </c>
      <c r="G56" s="10">
        <v>82400</v>
      </c>
      <c r="H56" s="7">
        <v>2</v>
      </c>
      <c r="I56" s="12">
        <f>IF(OR(Table2[[#This Row],[Rating]]=4,Table2[[#This Row],[Rating]]=5), 0.05*Table2[[#This Row],[Salary]],0)</f>
        <v>0</v>
      </c>
      <c r="J56" s="14">
        <f>VLOOKUP(Table2[[#This Row],[Salary]],'Tax rates'!A$2:C$8, 2) + VLOOKUP(Table2[[#This Row],[Salary]],'Tax rates'!A$2:C$8, 3) * (Table2[[#This Row],[Salary]] - VLOOKUP(Table2[[#This Row],[Salary]],'Tax rates'!A$2:C$8,1))</f>
        <v>14067.5</v>
      </c>
      <c r="K56" s="14">
        <f>Table2[[#This Row],[Salary]]-Table2[[#This Row],[Taxes]]</f>
        <v>68332.5</v>
      </c>
      <c r="L56" s="15">
        <f>Table2[[#This Row],[After tax salary]]+Table2[[#This Row],[Bonus]]</f>
        <v>68332.5</v>
      </c>
    </row>
    <row r="57" spans="1:12" x14ac:dyDescent="0.25">
      <c r="A57" s="5" t="s">
        <v>571</v>
      </c>
      <c r="B57" s="5" t="s">
        <v>6</v>
      </c>
      <c r="C57" s="5" t="s">
        <v>37</v>
      </c>
      <c r="D57" s="5" t="s">
        <v>32</v>
      </c>
      <c r="E57" s="6">
        <v>36084</v>
      </c>
      <c r="F57" s="7"/>
      <c r="G57" s="10">
        <v>21668</v>
      </c>
      <c r="H57" s="7">
        <v>4</v>
      </c>
      <c r="I57" s="12">
        <f>IF(OR(Table2[[#This Row],[Rating]]=4,Table2[[#This Row],[Rating]]=5), 0.05*Table2[[#This Row],[Salary]],0)</f>
        <v>1083.4000000000001</v>
      </c>
      <c r="J57" s="14">
        <f>VLOOKUP(Table2[[#This Row],[Salary]],'Tax rates'!A$2:C$8, 2) + VLOOKUP(Table2[[#This Row],[Salary]],'Tax rates'!A$2:C$8, 3) * (Table2[[#This Row],[Salary]] - VLOOKUP(Table2[[#This Row],[Salary]],'Tax rates'!A$2:C$8,1))</f>
        <v>2409.66</v>
      </c>
      <c r="K57" s="14">
        <f>Table2[[#This Row],[Salary]]-Table2[[#This Row],[Taxes]]</f>
        <v>19258.34</v>
      </c>
      <c r="L57" s="15">
        <f>Table2[[#This Row],[After tax salary]]+Table2[[#This Row],[Bonus]]</f>
        <v>20341.740000000002</v>
      </c>
    </row>
    <row r="58" spans="1:12" x14ac:dyDescent="0.25">
      <c r="A58" s="5" t="s">
        <v>151</v>
      </c>
      <c r="B58" s="5" t="s">
        <v>1</v>
      </c>
      <c r="C58" s="5" t="s">
        <v>30</v>
      </c>
      <c r="D58" s="5" t="s">
        <v>24</v>
      </c>
      <c r="E58" s="6">
        <v>36084</v>
      </c>
      <c r="F58" s="5" t="s">
        <v>25</v>
      </c>
      <c r="G58" s="10">
        <v>45750</v>
      </c>
      <c r="H58" s="7">
        <v>5</v>
      </c>
      <c r="I58" s="12">
        <f>IF(OR(Table2[[#This Row],[Rating]]=4,Table2[[#This Row],[Rating]]=5), 0.05*Table2[[#This Row],[Salary]],0)</f>
        <v>2287.5</v>
      </c>
      <c r="J58" s="14">
        <f>VLOOKUP(Table2[[#This Row],[Salary]],'Tax rates'!A$2:C$8, 2) + VLOOKUP(Table2[[#This Row],[Salary]],'Tax rates'!A$2:C$8, 3) * (Table2[[#This Row],[Salary]] - VLOOKUP(Table2[[#This Row],[Salary]],'Tax rates'!A$2:C$8,1))</f>
        <v>6004.5</v>
      </c>
      <c r="K58" s="14">
        <f>Table2[[#This Row],[Salary]]-Table2[[#This Row],[Taxes]]</f>
        <v>39745.5</v>
      </c>
      <c r="L58" s="15">
        <f>Table2[[#This Row],[After tax salary]]+Table2[[#This Row],[Bonus]]</f>
        <v>42033</v>
      </c>
    </row>
    <row r="59" spans="1:12" x14ac:dyDescent="0.25">
      <c r="A59" s="5" t="s">
        <v>200</v>
      </c>
      <c r="B59" s="5" t="s">
        <v>51</v>
      </c>
      <c r="C59" s="5" t="s">
        <v>18</v>
      </c>
      <c r="D59" s="5" t="s">
        <v>3</v>
      </c>
      <c r="E59" s="6">
        <v>36084</v>
      </c>
      <c r="F59" s="5" t="s">
        <v>4</v>
      </c>
      <c r="G59" s="10">
        <v>33210</v>
      </c>
      <c r="H59" s="7">
        <v>4</v>
      </c>
      <c r="I59" s="12">
        <f>IF(OR(Table2[[#This Row],[Rating]]=4,Table2[[#This Row],[Rating]]=5), 0.05*Table2[[#This Row],[Salary]],0)</f>
        <v>1660.5</v>
      </c>
      <c r="J59" s="14">
        <f>VLOOKUP(Table2[[#This Row],[Salary]],'Tax rates'!A$2:C$8, 2) + VLOOKUP(Table2[[#This Row],[Salary]],'Tax rates'!A$2:C$8, 3) * (Table2[[#This Row],[Salary]] - VLOOKUP(Table2[[#This Row],[Salary]],'Tax rates'!A$2:C$8,1))</f>
        <v>3794.7</v>
      </c>
      <c r="K59" s="14">
        <f>Table2[[#This Row],[Salary]]-Table2[[#This Row],[Taxes]]</f>
        <v>29415.3</v>
      </c>
      <c r="L59" s="15">
        <f>Table2[[#This Row],[After tax salary]]+Table2[[#This Row],[Bonus]]</f>
        <v>31075.8</v>
      </c>
    </row>
    <row r="60" spans="1:12" x14ac:dyDescent="0.25">
      <c r="A60" s="5" t="s">
        <v>96</v>
      </c>
      <c r="B60" s="5" t="s">
        <v>13</v>
      </c>
      <c r="C60" s="5" t="s">
        <v>30</v>
      </c>
      <c r="D60" s="5" t="s">
        <v>16</v>
      </c>
      <c r="E60" s="6">
        <v>36086</v>
      </c>
      <c r="F60" s="7"/>
      <c r="G60" s="10">
        <v>47520</v>
      </c>
      <c r="H60" s="7">
        <v>1</v>
      </c>
      <c r="I60" s="12">
        <f>IF(OR(Table2[[#This Row],[Rating]]=4,Table2[[#This Row],[Rating]]=5), 0.05*Table2[[#This Row],[Salary]],0)</f>
        <v>0</v>
      </c>
      <c r="J60" s="14">
        <f>VLOOKUP(Table2[[#This Row],[Salary]],'Tax rates'!A$2:C$8, 2) + VLOOKUP(Table2[[#This Row],[Salary]],'Tax rates'!A$2:C$8, 3) * (Table2[[#This Row],[Salary]] - VLOOKUP(Table2[[#This Row],[Salary]],'Tax rates'!A$2:C$8,1))</f>
        <v>6393.9</v>
      </c>
      <c r="K60" s="14">
        <f>Table2[[#This Row],[Salary]]-Table2[[#This Row],[Taxes]]</f>
        <v>41126.1</v>
      </c>
      <c r="L60" s="15">
        <f>Table2[[#This Row],[After tax salary]]+Table2[[#This Row],[Bonus]]</f>
        <v>41126.1</v>
      </c>
    </row>
    <row r="61" spans="1:12" x14ac:dyDescent="0.25">
      <c r="A61" s="5" t="s">
        <v>561</v>
      </c>
      <c r="B61" s="5" t="s">
        <v>13</v>
      </c>
      <c r="C61" s="5" t="s">
        <v>75</v>
      </c>
      <c r="D61" s="5" t="s">
        <v>16</v>
      </c>
      <c r="E61" s="6">
        <v>36087</v>
      </c>
      <c r="F61" s="7"/>
      <c r="G61" s="10">
        <v>76930</v>
      </c>
      <c r="H61" s="7">
        <v>1</v>
      </c>
      <c r="I61" s="12">
        <f>IF(OR(Table2[[#This Row],[Rating]]=4,Table2[[#This Row],[Rating]]=5), 0.05*Table2[[#This Row],[Salary]],0)</f>
        <v>0</v>
      </c>
      <c r="J61" s="14">
        <f>VLOOKUP(Table2[[#This Row],[Salary]],'Tax rates'!A$2:C$8, 2) + VLOOKUP(Table2[[#This Row],[Salary]],'Tax rates'!A$2:C$8, 3) * (Table2[[#This Row],[Salary]] - VLOOKUP(Table2[[#This Row],[Salary]],'Tax rates'!A$2:C$8,1))</f>
        <v>12864.1</v>
      </c>
      <c r="K61" s="14">
        <f>Table2[[#This Row],[Salary]]-Table2[[#This Row],[Taxes]]</f>
        <v>64065.9</v>
      </c>
      <c r="L61" s="15">
        <f>Table2[[#This Row],[After tax salary]]+Table2[[#This Row],[Bonus]]</f>
        <v>64065.9</v>
      </c>
    </row>
    <row r="62" spans="1:12" x14ac:dyDescent="0.25">
      <c r="A62" s="5" t="s">
        <v>504</v>
      </c>
      <c r="B62" s="5" t="s">
        <v>6</v>
      </c>
      <c r="C62" s="5" t="s">
        <v>30</v>
      </c>
      <c r="D62" s="5" t="s">
        <v>3</v>
      </c>
      <c r="E62" s="6">
        <v>36088</v>
      </c>
      <c r="F62" s="5" t="s">
        <v>21</v>
      </c>
      <c r="G62" s="10">
        <v>54580</v>
      </c>
      <c r="H62" s="7">
        <v>4</v>
      </c>
      <c r="I62" s="12">
        <f>IF(OR(Table2[[#This Row],[Rating]]=4,Table2[[#This Row],[Rating]]=5), 0.05*Table2[[#This Row],[Salary]],0)</f>
        <v>2729</v>
      </c>
      <c r="J62" s="14">
        <f>VLOOKUP(Table2[[#This Row],[Salary]],'Tax rates'!A$2:C$8, 2) + VLOOKUP(Table2[[#This Row],[Salary]],'Tax rates'!A$2:C$8, 3) * (Table2[[#This Row],[Salary]] - VLOOKUP(Table2[[#This Row],[Salary]],'Tax rates'!A$2:C$8,1))</f>
        <v>7947.1</v>
      </c>
      <c r="K62" s="14">
        <f>Table2[[#This Row],[Salary]]-Table2[[#This Row],[Taxes]]</f>
        <v>46632.9</v>
      </c>
      <c r="L62" s="15">
        <f>Table2[[#This Row],[After tax salary]]+Table2[[#This Row],[Bonus]]</f>
        <v>49361.9</v>
      </c>
    </row>
    <row r="63" spans="1:12" x14ac:dyDescent="0.25">
      <c r="A63" s="5" t="s">
        <v>735</v>
      </c>
      <c r="B63" s="5" t="s">
        <v>1</v>
      </c>
      <c r="C63" s="5" t="s">
        <v>59</v>
      </c>
      <c r="D63" s="5" t="s">
        <v>24</v>
      </c>
      <c r="E63" s="6">
        <v>36094</v>
      </c>
      <c r="F63" s="5" t="s">
        <v>4</v>
      </c>
      <c r="G63" s="10">
        <v>47885</v>
      </c>
      <c r="H63" s="7">
        <v>1</v>
      </c>
      <c r="I63" s="12">
        <f>IF(OR(Table2[[#This Row],[Rating]]=4,Table2[[#This Row],[Rating]]=5), 0.05*Table2[[#This Row],[Salary]],0)</f>
        <v>0</v>
      </c>
      <c r="J63" s="14">
        <f>VLOOKUP(Table2[[#This Row],[Salary]],'Tax rates'!A$2:C$8, 2) + VLOOKUP(Table2[[#This Row],[Salary]],'Tax rates'!A$2:C$8, 3) * (Table2[[#This Row],[Salary]] - VLOOKUP(Table2[[#This Row],[Salary]],'Tax rates'!A$2:C$8,1))</f>
        <v>6474.2</v>
      </c>
      <c r="K63" s="14">
        <f>Table2[[#This Row],[Salary]]-Table2[[#This Row],[Taxes]]</f>
        <v>41410.800000000003</v>
      </c>
      <c r="L63" s="15">
        <f>Table2[[#This Row],[After tax salary]]+Table2[[#This Row],[Bonus]]</f>
        <v>41410.800000000003</v>
      </c>
    </row>
    <row r="64" spans="1:12" x14ac:dyDescent="0.25">
      <c r="A64" s="5" t="s">
        <v>548</v>
      </c>
      <c r="B64" s="5" t="s">
        <v>6</v>
      </c>
      <c r="C64" s="5" t="s">
        <v>18</v>
      </c>
      <c r="D64" s="5" t="s">
        <v>3</v>
      </c>
      <c r="E64" s="6">
        <v>36101</v>
      </c>
      <c r="F64" s="5" t="s">
        <v>4</v>
      </c>
      <c r="G64" s="10">
        <v>88240</v>
      </c>
      <c r="H64" s="7">
        <v>5</v>
      </c>
      <c r="I64" s="12">
        <f>IF(OR(Table2[[#This Row],[Rating]]=4,Table2[[#This Row],[Rating]]=5), 0.05*Table2[[#This Row],[Salary]],0)</f>
        <v>4412</v>
      </c>
      <c r="J64" s="14">
        <f>VLOOKUP(Table2[[#This Row],[Salary]],'Tax rates'!A$2:C$8, 2) + VLOOKUP(Table2[[#This Row],[Salary]],'Tax rates'!A$2:C$8, 3) * (Table2[[#This Row],[Salary]] - VLOOKUP(Table2[[#This Row],[Salary]],'Tax rates'!A$2:C$8,1))</f>
        <v>15467.1</v>
      </c>
      <c r="K64" s="14">
        <f>Table2[[#This Row],[Salary]]-Table2[[#This Row],[Taxes]]</f>
        <v>72772.899999999994</v>
      </c>
      <c r="L64" s="15">
        <f>Table2[[#This Row],[After tax salary]]+Table2[[#This Row],[Bonus]]</f>
        <v>77184.899999999994</v>
      </c>
    </row>
    <row r="65" spans="1:12" x14ac:dyDescent="0.25">
      <c r="A65" s="5" t="s">
        <v>58</v>
      </c>
      <c r="B65" s="5" t="s">
        <v>1</v>
      </c>
      <c r="C65" s="5" t="s">
        <v>59</v>
      </c>
      <c r="D65" s="5" t="s">
        <v>3</v>
      </c>
      <c r="E65" s="6">
        <v>36116</v>
      </c>
      <c r="F65" s="5" t="s">
        <v>9</v>
      </c>
      <c r="G65" s="10">
        <v>49770</v>
      </c>
      <c r="H65" s="7">
        <v>1</v>
      </c>
      <c r="I65" s="12">
        <f>IF(OR(Table2[[#This Row],[Rating]]=4,Table2[[#This Row],[Rating]]=5), 0.05*Table2[[#This Row],[Salary]],0)</f>
        <v>0</v>
      </c>
      <c r="J65" s="14">
        <f>VLOOKUP(Table2[[#This Row],[Salary]],'Tax rates'!A$2:C$8, 2) + VLOOKUP(Table2[[#This Row],[Salary]],'Tax rates'!A$2:C$8, 3) * (Table2[[#This Row],[Salary]] - VLOOKUP(Table2[[#This Row],[Salary]],'Tax rates'!A$2:C$8,1))</f>
        <v>6888.9</v>
      </c>
      <c r="K65" s="14">
        <f>Table2[[#This Row],[Salary]]-Table2[[#This Row],[Taxes]]</f>
        <v>42881.1</v>
      </c>
      <c r="L65" s="15">
        <f>Table2[[#This Row],[After tax salary]]+Table2[[#This Row],[Bonus]]</f>
        <v>42881.1</v>
      </c>
    </row>
    <row r="66" spans="1:12" x14ac:dyDescent="0.25">
      <c r="A66" s="5" t="s">
        <v>379</v>
      </c>
      <c r="B66" s="5" t="s">
        <v>13</v>
      </c>
      <c r="C66" s="5" t="s">
        <v>59</v>
      </c>
      <c r="D66" s="5" t="s">
        <v>24</v>
      </c>
      <c r="E66" s="6">
        <v>36121</v>
      </c>
      <c r="F66" s="5" t="s">
        <v>11</v>
      </c>
      <c r="G66" s="10">
        <v>28880</v>
      </c>
      <c r="H66" s="7">
        <v>3</v>
      </c>
      <c r="I66" s="12">
        <f>IF(OR(Table2[[#This Row],[Rating]]=4,Table2[[#This Row],[Rating]]=5), 0.05*Table2[[#This Row],[Salary]],0)</f>
        <v>0</v>
      </c>
      <c r="J66" s="14">
        <f>VLOOKUP(Table2[[#This Row],[Salary]],'Tax rates'!A$2:C$8, 2) + VLOOKUP(Table2[[#This Row],[Salary]],'Tax rates'!A$2:C$8, 3) * (Table2[[#This Row],[Salary]] - VLOOKUP(Table2[[#This Row],[Salary]],'Tax rates'!A$2:C$8,1))</f>
        <v>3275.1</v>
      </c>
      <c r="K66" s="14">
        <f>Table2[[#This Row],[Salary]]-Table2[[#This Row],[Taxes]]</f>
        <v>25604.9</v>
      </c>
      <c r="L66" s="15">
        <f>Table2[[#This Row],[After tax salary]]+Table2[[#This Row],[Bonus]]</f>
        <v>25604.9</v>
      </c>
    </row>
    <row r="67" spans="1:12" x14ac:dyDescent="0.25">
      <c r="A67" s="5" t="s">
        <v>143</v>
      </c>
      <c r="B67" s="5" t="s">
        <v>13</v>
      </c>
      <c r="C67" s="5" t="s">
        <v>18</v>
      </c>
      <c r="D67" s="5" t="s">
        <v>3</v>
      </c>
      <c r="E67" s="6">
        <v>36122</v>
      </c>
      <c r="F67" s="5" t="s">
        <v>25</v>
      </c>
      <c r="G67" s="10">
        <v>22660</v>
      </c>
      <c r="H67" s="7">
        <v>2</v>
      </c>
      <c r="I67" s="12">
        <f>IF(OR(Table2[[#This Row],[Rating]]=4,Table2[[#This Row],[Rating]]=5), 0.05*Table2[[#This Row],[Salary]],0)</f>
        <v>0</v>
      </c>
      <c r="J67" s="14">
        <f>VLOOKUP(Table2[[#This Row],[Salary]],'Tax rates'!A$2:C$8, 2) + VLOOKUP(Table2[[#This Row],[Salary]],'Tax rates'!A$2:C$8, 3) * (Table2[[#This Row],[Salary]] - VLOOKUP(Table2[[#This Row],[Salary]],'Tax rates'!A$2:C$8,1))</f>
        <v>2528.6999999999998</v>
      </c>
      <c r="K67" s="14">
        <f>Table2[[#This Row],[Salary]]-Table2[[#This Row],[Taxes]]</f>
        <v>20131.3</v>
      </c>
      <c r="L67" s="15">
        <f>Table2[[#This Row],[After tax salary]]+Table2[[#This Row],[Bonus]]</f>
        <v>20131.3</v>
      </c>
    </row>
    <row r="68" spans="1:12" x14ac:dyDescent="0.25">
      <c r="A68" s="5" t="s">
        <v>211</v>
      </c>
      <c r="B68" s="5" t="s">
        <v>27</v>
      </c>
      <c r="C68" s="5" t="s">
        <v>30</v>
      </c>
      <c r="D68" s="5" t="s">
        <v>3</v>
      </c>
      <c r="E68" s="6">
        <v>36136</v>
      </c>
      <c r="F68" s="5" t="s">
        <v>11</v>
      </c>
      <c r="G68" s="10">
        <v>45000</v>
      </c>
      <c r="H68" s="7">
        <v>4</v>
      </c>
      <c r="I68" s="12">
        <f>IF(OR(Table2[[#This Row],[Rating]]=4,Table2[[#This Row],[Rating]]=5), 0.05*Table2[[#This Row],[Salary]],0)</f>
        <v>2250</v>
      </c>
      <c r="J68" s="14">
        <f>VLOOKUP(Table2[[#This Row],[Salary]],'Tax rates'!A$2:C$8, 2) + VLOOKUP(Table2[[#This Row],[Salary]],'Tax rates'!A$2:C$8, 3) * (Table2[[#This Row],[Salary]] - VLOOKUP(Table2[[#This Row],[Salary]],'Tax rates'!A$2:C$8,1))</f>
        <v>5839.5</v>
      </c>
      <c r="K68" s="14">
        <f>Table2[[#This Row],[Salary]]-Table2[[#This Row],[Taxes]]</f>
        <v>39160.5</v>
      </c>
      <c r="L68" s="15">
        <f>Table2[[#This Row],[After tax salary]]+Table2[[#This Row],[Bonus]]</f>
        <v>41410.5</v>
      </c>
    </row>
    <row r="69" spans="1:12" x14ac:dyDescent="0.25">
      <c r="A69" s="5" t="s">
        <v>765</v>
      </c>
      <c r="B69" s="5" t="s">
        <v>27</v>
      </c>
      <c r="C69" s="5" t="s">
        <v>106</v>
      </c>
      <c r="D69" s="5" t="s">
        <v>3</v>
      </c>
      <c r="E69" s="6">
        <v>36143</v>
      </c>
      <c r="F69" s="5" t="s">
        <v>11</v>
      </c>
      <c r="G69" s="10">
        <v>72090</v>
      </c>
      <c r="H69" s="7">
        <v>5</v>
      </c>
      <c r="I69" s="12">
        <f>IF(OR(Table2[[#This Row],[Rating]]=4,Table2[[#This Row],[Rating]]=5), 0.05*Table2[[#This Row],[Salary]],0)</f>
        <v>3604.5</v>
      </c>
      <c r="J69" s="14">
        <f>VLOOKUP(Table2[[#This Row],[Salary]],'Tax rates'!A$2:C$8, 2) + VLOOKUP(Table2[[#This Row],[Salary]],'Tax rates'!A$2:C$8, 3) * (Table2[[#This Row],[Salary]] - VLOOKUP(Table2[[#This Row],[Salary]],'Tax rates'!A$2:C$8,1))</f>
        <v>11799.3</v>
      </c>
      <c r="K69" s="14">
        <f>Table2[[#This Row],[Salary]]-Table2[[#This Row],[Taxes]]</f>
        <v>60290.7</v>
      </c>
      <c r="L69" s="15">
        <f>Table2[[#This Row],[After tax salary]]+Table2[[#This Row],[Bonus]]</f>
        <v>63895.199999999997</v>
      </c>
    </row>
    <row r="70" spans="1:12" x14ac:dyDescent="0.25">
      <c r="A70" s="5" t="s">
        <v>494</v>
      </c>
      <c r="B70" s="5" t="s">
        <v>13</v>
      </c>
      <c r="C70" s="5" t="s">
        <v>59</v>
      </c>
      <c r="D70" s="5" t="s">
        <v>3</v>
      </c>
      <c r="E70" s="6">
        <v>36145</v>
      </c>
      <c r="F70" s="5" t="s">
        <v>25</v>
      </c>
      <c r="G70" s="10">
        <v>31260</v>
      </c>
      <c r="H70" s="7">
        <v>5</v>
      </c>
      <c r="I70" s="12">
        <f>IF(OR(Table2[[#This Row],[Rating]]=4,Table2[[#This Row],[Rating]]=5), 0.05*Table2[[#This Row],[Salary]],0)</f>
        <v>1563</v>
      </c>
      <c r="J70" s="14">
        <f>VLOOKUP(Table2[[#This Row],[Salary]],'Tax rates'!A$2:C$8, 2) + VLOOKUP(Table2[[#This Row],[Salary]],'Tax rates'!A$2:C$8, 3) * (Table2[[#This Row],[Salary]] - VLOOKUP(Table2[[#This Row],[Salary]],'Tax rates'!A$2:C$8,1))</f>
        <v>3560.7</v>
      </c>
      <c r="K70" s="14">
        <f>Table2[[#This Row],[Salary]]-Table2[[#This Row],[Taxes]]</f>
        <v>27699.3</v>
      </c>
      <c r="L70" s="15">
        <f>Table2[[#This Row],[After tax salary]]+Table2[[#This Row],[Bonus]]</f>
        <v>29262.3</v>
      </c>
    </row>
    <row r="71" spans="1:12" x14ac:dyDescent="0.25">
      <c r="A71" s="5" t="s">
        <v>543</v>
      </c>
      <c r="B71" s="5" t="s">
        <v>13</v>
      </c>
      <c r="C71" s="5" t="s">
        <v>197</v>
      </c>
      <c r="D71" s="5" t="s">
        <v>3</v>
      </c>
      <c r="E71" s="6">
        <v>36171</v>
      </c>
      <c r="F71" s="5" t="s">
        <v>4</v>
      </c>
      <c r="G71" s="10">
        <v>54550</v>
      </c>
      <c r="H71" s="7">
        <v>1</v>
      </c>
      <c r="I71" s="12">
        <f>IF(OR(Table2[[#This Row],[Rating]]=4,Table2[[#This Row],[Rating]]=5), 0.05*Table2[[#This Row],[Salary]],0)</f>
        <v>0</v>
      </c>
      <c r="J71" s="14">
        <f>VLOOKUP(Table2[[#This Row],[Salary]],'Tax rates'!A$2:C$8, 2) + VLOOKUP(Table2[[#This Row],[Salary]],'Tax rates'!A$2:C$8, 3) * (Table2[[#This Row],[Salary]] - VLOOKUP(Table2[[#This Row],[Salary]],'Tax rates'!A$2:C$8,1))</f>
        <v>7940.5</v>
      </c>
      <c r="K71" s="14">
        <f>Table2[[#This Row],[Salary]]-Table2[[#This Row],[Taxes]]</f>
        <v>46609.5</v>
      </c>
      <c r="L71" s="15">
        <f>Table2[[#This Row],[After tax salary]]+Table2[[#This Row],[Bonus]]</f>
        <v>46609.5</v>
      </c>
    </row>
    <row r="72" spans="1:12" x14ac:dyDescent="0.25">
      <c r="A72" s="5" t="s">
        <v>418</v>
      </c>
      <c r="B72" s="5" t="s">
        <v>6</v>
      </c>
      <c r="C72" s="5" t="s">
        <v>37</v>
      </c>
      <c r="D72" s="5" t="s">
        <v>3</v>
      </c>
      <c r="E72" s="6">
        <v>36175</v>
      </c>
      <c r="F72" s="5" t="s">
        <v>11</v>
      </c>
      <c r="G72" s="10">
        <v>23520</v>
      </c>
      <c r="H72" s="7">
        <v>2</v>
      </c>
      <c r="I72" s="12">
        <f>IF(OR(Table2[[#This Row],[Rating]]=4,Table2[[#This Row],[Rating]]=5), 0.05*Table2[[#This Row],[Salary]],0)</f>
        <v>0</v>
      </c>
      <c r="J72" s="14">
        <f>VLOOKUP(Table2[[#This Row],[Salary]],'Tax rates'!A$2:C$8, 2) + VLOOKUP(Table2[[#This Row],[Salary]],'Tax rates'!A$2:C$8, 3) * (Table2[[#This Row],[Salary]] - VLOOKUP(Table2[[#This Row],[Salary]],'Tax rates'!A$2:C$8,1))</f>
        <v>2631.8999999999996</v>
      </c>
      <c r="K72" s="14">
        <f>Table2[[#This Row],[Salary]]-Table2[[#This Row],[Taxes]]</f>
        <v>20888.099999999999</v>
      </c>
      <c r="L72" s="15">
        <f>Table2[[#This Row],[After tax salary]]+Table2[[#This Row],[Bonus]]</f>
        <v>20888.099999999999</v>
      </c>
    </row>
    <row r="73" spans="1:12" x14ac:dyDescent="0.25">
      <c r="A73" s="5" t="s">
        <v>452</v>
      </c>
      <c r="B73" s="5" t="s">
        <v>27</v>
      </c>
      <c r="C73" s="5" t="s">
        <v>20</v>
      </c>
      <c r="D73" s="5" t="s">
        <v>16</v>
      </c>
      <c r="E73" s="6">
        <v>36176</v>
      </c>
      <c r="F73" s="7"/>
      <c r="G73" s="10">
        <v>32940</v>
      </c>
      <c r="H73" s="7">
        <v>5</v>
      </c>
      <c r="I73" s="12">
        <f>IF(OR(Table2[[#This Row],[Rating]]=4,Table2[[#This Row],[Rating]]=5), 0.05*Table2[[#This Row],[Salary]],0)</f>
        <v>1647</v>
      </c>
      <c r="J73" s="14">
        <f>VLOOKUP(Table2[[#This Row],[Salary]],'Tax rates'!A$2:C$8, 2) + VLOOKUP(Table2[[#This Row],[Salary]],'Tax rates'!A$2:C$8, 3) * (Table2[[#This Row],[Salary]] - VLOOKUP(Table2[[#This Row],[Salary]],'Tax rates'!A$2:C$8,1))</f>
        <v>3762.2999999999997</v>
      </c>
      <c r="K73" s="14">
        <f>Table2[[#This Row],[Salary]]-Table2[[#This Row],[Taxes]]</f>
        <v>29177.7</v>
      </c>
      <c r="L73" s="15">
        <f>Table2[[#This Row],[After tax salary]]+Table2[[#This Row],[Bonus]]</f>
        <v>30824.7</v>
      </c>
    </row>
    <row r="74" spans="1:12" x14ac:dyDescent="0.25">
      <c r="A74" s="5" t="s">
        <v>479</v>
      </c>
      <c r="B74" s="5" t="s">
        <v>6</v>
      </c>
      <c r="C74" s="5" t="s">
        <v>18</v>
      </c>
      <c r="D74" s="5" t="s">
        <v>24</v>
      </c>
      <c r="E74" s="6">
        <v>36177</v>
      </c>
      <c r="F74" s="5" t="s">
        <v>21</v>
      </c>
      <c r="G74" s="10">
        <v>21670</v>
      </c>
      <c r="H74" s="7">
        <v>2</v>
      </c>
      <c r="I74" s="12">
        <f>IF(OR(Table2[[#This Row],[Rating]]=4,Table2[[#This Row],[Rating]]=5), 0.05*Table2[[#This Row],[Salary]],0)</f>
        <v>0</v>
      </c>
      <c r="J74" s="14">
        <f>VLOOKUP(Table2[[#This Row],[Salary]],'Tax rates'!A$2:C$8, 2) + VLOOKUP(Table2[[#This Row],[Salary]],'Tax rates'!A$2:C$8, 3) * (Table2[[#This Row],[Salary]] - VLOOKUP(Table2[[#This Row],[Salary]],'Tax rates'!A$2:C$8,1))</f>
        <v>2409.8999999999996</v>
      </c>
      <c r="K74" s="14">
        <f>Table2[[#This Row],[Salary]]-Table2[[#This Row],[Taxes]]</f>
        <v>19260.099999999999</v>
      </c>
      <c r="L74" s="15">
        <f>Table2[[#This Row],[After tax salary]]+Table2[[#This Row],[Bonus]]</f>
        <v>19260.099999999999</v>
      </c>
    </row>
    <row r="75" spans="1:12" x14ac:dyDescent="0.25">
      <c r="A75" s="5" t="s">
        <v>282</v>
      </c>
      <c r="B75" s="5" t="s">
        <v>51</v>
      </c>
      <c r="C75" s="5" t="s">
        <v>138</v>
      </c>
      <c r="D75" s="5" t="s">
        <v>3</v>
      </c>
      <c r="E75" s="6">
        <v>36182</v>
      </c>
      <c r="F75" s="5" t="s">
        <v>11</v>
      </c>
      <c r="G75" s="10">
        <v>68300</v>
      </c>
      <c r="H75" s="7">
        <v>5</v>
      </c>
      <c r="I75" s="12">
        <f>IF(OR(Table2[[#This Row],[Rating]]=4,Table2[[#This Row],[Rating]]=5), 0.05*Table2[[#This Row],[Salary]],0)</f>
        <v>3415</v>
      </c>
      <c r="J75" s="14">
        <f>VLOOKUP(Table2[[#This Row],[Salary]],'Tax rates'!A$2:C$8, 2) + VLOOKUP(Table2[[#This Row],[Salary]],'Tax rates'!A$2:C$8, 3) * (Table2[[#This Row],[Salary]] - VLOOKUP(Table2[[#This Row],[Salary]],'Tax rates'!A$2:C$8,1))</f>
        <v>10965.5</v>
      </c>
      <c r="K75" s="14">
        <f>Table2[[#This Row],[Salary]]-Table2[[#This Row],[Taxes]]</f>
        <v>57334.5</v>
      </c>
      <c r="L75" s="15">
        <f>Table2[[#This Row],[After tax salary]]+Table2[[#This Row],[Bonus]]</f>
        <v>60749.5</v>
      </c>
    </row>
    <row r="76" spans="1:12" x14ac:dyDescent="0.25">
      <c r="A76" s="5" t="s">
        <v>442</v>
      </c>
      <c r="B76" s="5" t="s">
        <v>13</v>
      </c>
      <c r="C76" s="5" t="s">
        <v>59</v>
      </c>
      <c r="D76" s="5" t="s">
        <v>16</v>
      </c>
      <c r="E76" s="6">
        <v>36192</v>
      </c>
      <c r="F76" s="7"/>
      <c r="G76" s="10">
        <v>47620</v>
      </c>
      <c r="H76" s="7">
        <v>5</v>
      </c>
      <c r="I76" s="12">
        <f>IF(OR(Table2[[#This Row],[Rating]]=4,Table2[[#This Row],[Rating]]=5), 0.05*Table2[[#This Row],[Salary]],0)</f>
        <v>2381</v>
      </c>
      <c r="J76" s="14">
        <f>VLOOKUP(Table2[[#This Row],[Salary]],'Tax rates'!A$2:C$8, 2) + VLOOKUP(Table2[[#This Row],[Salary]],'Tax rates'!A$2:C$8, 3) * (Table2[[#This Row],[Salary]] - VLOOKUP(Table2[[#This Row],[Salary]],'Tax rates'!A$2:C$8,1))</f>
        <v>6415.9</v>
      </c>
      <c r="K76" s="14">
        <f>Table2[[#This Row],[Salary]]-Table2[[#This Row],[Taxes]]</f>
        <v>41204.1</v>
      </c>
      <c r="L76" s="15">
        <f>Table2[[#This Row],[After tax salary]]+Table2[[#This Row],[Bonus]]</f>
        <v>43585.1</v>
      </c>
    </row>
    <row r="77" spans="1:12" x14ac:dyDescent="0.25">
      <c r="A77" s="5" t="s">
        <v>84</v>
      </c>
      <c r="B77" s="5" t="s">
        <v>13</v>
      </c>
      <c r="C77" s="5" t="s">
        <v>35</v>
      </c>
      <c r="D77" s="5" t="s">
        <v>16</v>
      </c>
      <c r="E77" s="6">
        <v>36193</v>
      </c>
      <c r="F77" s="7"/>
      <c r="G77" s="10">
        <v>58250</v>
      </c>
      <c r="H77" s="7">
        <v>2</v>
      </c>
      <c r="I77" s="12">
        <f>IF(OR(Table2[[#This Row],[Rating]]=4,Table2[[#This Row],[Rating]]=5), 0.05*Table2[[#This Row],[Salary]],0)</f>
        <v>0</v>
      </c>
      <c r="J77" s="14">
        <f>VLOOKUP(Table2[[#This Row],[Salary]],'Tax rates'!A$2:C$8, 2) + VLOOKUP(Table2[[#This Row],[Salary]],'Tax rates'!A$2:C$8, 3) * (Table2[[#This Row],[Salary]] - VLOOKUP(Table2[[#This Row],[Salary]],'Tax rates'!A$2:C$8,1))</f>
        <v>8754.5</v>
      </c>
      <c r="K77" s="14">
        <f>Table2[[#This Row],[Salary]]-Table2[[#This Row],[Taxes]]</f>
        <v>49495.5</v>
      </c>
      <c r="L77" s="15">
        <f>Table2[[#This Row],[After tax salary]]+Table2[[#This Row],[Bonus]]</f>
        <v>49495.5</v>
      </c>
    </row>
    <row r="78" spans="1:12" x14ac:dyDescent="0.25">
      <c r="A78" s="5" t="s">
        <v>144</v>
      </c>
      <c r="B78" s="5" t="s">
        <v>6</v>
      </c>
      <c r="C78" s="5" t="s">
        <v>30</v>
      </c>
      <c r="D78" s="5" t="s">
        <v>3</v>
      </c>
      <c r="E78" s="6">
        <v>36195</v>
      </c>
      <c r="F78" s="5" t="s">
        <v>21</v>
      </c>
      <c r="G78" s="10">
        <v>46360</v>
      </c>
      <c r="H78" s="7">
        <v>5</v>
      </c>
      <c r="I78" s="12">
        <f>IF(OR(Table2[[#This Row],[Rating]]=4,Table2[[#This Row],[Rating]]=5), 0.05*Table2[[#This Row],[Salary]],0)</f>
        <v>2318</v>
      </c>
      <c r="J78" s="14">
        <f>VLOOKUP(Table2[[#This Row],[Salary]],'Tax rates'!A$2:C$8, 2) + VLOOKUP(Table2[[#This Row],[Salary]],'Tax rates'!A$2:C$8, 3) * (Table2[[#This Row],[Salary]] - VLOOKUP(Table2[[#This Row],[Salary]],'Tax rates'!A$2:C$8,1))</f>
        <v>6138.7</v>
      </c>
      <c r="K78" s="14">
        <f>Table2[[#This Row],[Salary]]-Table2[[#This Row],[Taxes]]</f>
        <v>40221.300000000003</v>
      </c>
      <c r="L78" s="15">
        <f>Table2[[#This Row],[After tax salary]]+Table2[[#This Row],[Bonus]]</f>
        <v>42539.3</v>
      </c>
    </row>
    <row r="79" spans="1:12" x14ac:dyDescent="0.25">
      <c r="A79" s="5" t="s">
        <v>464</v>
      </c>
      <c r="B79" s="5" t="s">
        <v>6</v>
      </c>
      <c r="C79" s="5" t="s">
        <v>2</v>
      </c>
      <c r="D79" s="5" t="s">
        <v>24</v>
      </c>
      <c r="E79" s="6">
        <v>36196</v>
      </c>
      <c r="F79" s="5" t="s">
        <v>4</v>
      </c>
      <c r="G79" s="10">
        <v>34980</v>
      </c>
      <c r="H79" s="7">
        <v>2</v>
      </c>
      <c r="I79" s="12">
        <f>IF(OR(Table2[[#This Row],[Rating]]=4,Table2[[#This Row],[Rating]]=5), 0.05*Table2[[#This Row],[Salary]],0)</f>
        <v>0</v>
      </c>
      <c r="J79" s="14">
        <f>VLOOKUP(Table2[[#This Row],[Salary]],'Tax rates'!A$2:C$8, 2) + VLOOKUP(Table2[[#This Row],[Salary]],'Tax rates'!A$2:C$8, 3) * (Table2[[#This Row],[Salary]] - VLOOKUP(Table2[[#This Row],[Salary]],'Tax rates'!A$2:C$8,1))</f>
        <v>4007.1</v>
      </c>
      <c r="K79" s="14">
        <f>Table2[[#This Row],[Salary]]-Table2[[#This Row],[Taxes]]</f>
        <v>30972.9</v>
      </c>
      <c r="L79" s="15">
        <f>Table2[[#This Row],[After tax salary]]+Table2[[#This Row],[Bonus]]</f>
        <v>30972.9</v>
      </c>
    </row>
    <row r="80" spans="1:12" x14ac:dyDescent="0.25">
      <c r="A80" s="5" t="s">
        <v>125</v>
      </c>
      <c r="B80" s="5" t="s">
        <v>27</v>
      </c>
      <c r="C80" s="5" t="s">
        <v>18</v>
      </c>
      <c r="D80" s="5" t="s">
        <v>3</v>
      </c>
      <c r="E80" s="6">
        <v>36198</v>
      </c>
      <c r="F80" s="5" t="s">
        <v>9</v>
      </c>
      <c r="G80" s="10">
        <v>81400</v>
      </c>
      <c r="H80" s="7">
        <v>2</v>
      </c>
      <c r="I80" s="12">
        <f>IF(OR(Table2[[#This Row],[Rating]]=4,Table2[[#This Row],[Rating]]=5), 0.05*Table2[[#This Row],[Salary]],0)</f>
        <v>0</v>
      </c>
      <c r="J80" s="14">
        <f>VLOOKUP(Table2[[#This Row],[Salary]],'Tax rates'!A$2:C$8, 2) + VLOOKUP(Table2[[#This Row],[Salary]],'Tax rates'!A$2:C$8, 3) * (Table2[[#This Row],[Salary]] - VLOOKUP(Table2[[#This Row],[Salary]],'Tax rates'!A$2:C$8,1))</f>
        <v>13847.5</v>
      </c>
      <c r="K80" s="14">
        <f>Table2[[#This Row],[Salary]]-Table2[[#This Row],[Taxes]]</f>
        <v>67552.5</v>
      </c>
      <c r="L80" s="15">
        <f>Table2[[#This Row],[After tax salary]]+Table2[[#This Row],[Bonus]]</f>
        <v>67552.5</v>
      </c>
    </row>
    <row r="81" spans="1:12" x14ac:dyDescent="0.25">
      <c r="A81" s="5" t="s">
        <v>593</v>
      </c>
      <c r="B81" s="5" t="s">
        <v>27</v>
      </c>
      <c r="C81" s="5" t="s">
        <v>59</v>
      </c>
      <c r="D81" s="5" t="s">
        <v>16</v>
      </c>
      <c r="E81" s="6">
        <v>36199</v>
      </c>
      <c r="F81" s="7"/>
      <c r="G81" s="10">
        <v>31270</v>
      </c>
      <c r="H81" s="7">
        <v>5</v>
      </c>
      <c r="I81" s="12">
        <f>IF(OR(Table2[[#This Row],[Rating]]=4,Table2[[#This Row],[Rating]]=5), 0.05*Table2[[#This Row],[Salary]],0)</f>
        <v>1563.5</v>
      </c>
      <c r="J81" s="14">
        <f>VLOOKUP(Table2[[#This Row],[Salary]],'Tax rates'!A$2:C$8, 2) + VLOOKUP(Table2[[#This Row],[Salary]],'Tax rates'!A$2:C$8, 3) * (Table2[[#This Row],[Salary]] - VLOOKUP(Table2[[#This Row],[Salary]],'Tax rates'!A$2:C$8,1))</f>
        <v>3561.9</v>
      </c>
      <c r="K81" s="14">
        <f>Table2[[#This Row],[Salary]]-Table2[[#This Row],[Taxes]]</f>
        <v>27708.1</v>
      </c>
      <c r="L81" s="15">
        <f>Table2[[#This Row],[After tax salary]]+Table2[[#This Row],[Bonus]]</f>
        <v>29271.599999999999</v>
      </c>
    </row>
    <row r="82" spans="1:12" x14ac:dyDescent="0.25">
      <c r="A82" s="5" t="s">
        <v>215</v>
      </c>
      <c r="B82" s="5" t="s">
        <v>1</v>
      </c>
      <c r="C82" s="5" t="s">
        <v>73</v>
      </c>
      <c r="D82" s="5" t="s">
        <v>3</v>
      </c>
      <c r="E82" s="6">
        <v>36214</v>
      </c>
      <c r="F82" s="5" t="s">
        <v>9</v>
      </c>
      <c r="G82" s="10">
        <v>47850</v>
      </c>
      <c r="H82" s="7">
        <v>1</v>
      </c>
      <c r="I82" s="12">
        <f>IF(OR(Table2[[#This Row],[Rating]]=4,Table2[[#This Row],[Rating]]=5), 0.05*Table2[[#This Row],[Salary]],0)</f>
        <v>0</v>
      </c>
      <c r="J82" s="14">
        <f>VLOOKUP(Table2[[#This Row],[Salary]],'Tax rates'!A$2:C$8, 2) + VLOOKUP(Table2[[#This Row],[Salary]],'Tax rates'!A$2:C$8, 3) * (Table2[[#This Row],[Salary]] - VLOOKUP(Table2[[#This Row],[Salary]],'Tax rates'!A$2:C$8,1))</f>
        <v>6466.5</v>
      </c>
      <c r="K82" s="14">
        <f>Table2[[#This Row],[Salary]]-Table2[[#This Row],[Taxes]]</f>
        <v>41383.5</v>
      </c>
      <c r="L82" s="15">
        <f>Table2[[#This Row],[After tax salary]]+Table2[[#This Row],[Bonus]]</f>
        <v>41383.5</v>
      </c>
    </row>
    <row r="83" spans="1:12" x14ac:dyDescent="0.25">
      <c r="A83" s="5" t="s">
        <v>346</v>
      </c>
      <c r="B83" s="5" t="s">
        <v>1</v>
      </c>
      <c r="C83" s="5" t="s">
        <v>2</v>
      </c>
      <c r="D83" s="5" t="s">
        <v>16</v>
      </c>
      <c r="E83" s="6">
        <v>36214</v>
      </c>
      <c r="F83" s="7"/>
      <c r="G83" s="10">
        <v>53310</v>
      </c>
      <c r="H83" s="7">
        <v>5</v>
      </c>
      <c r="I83" s="12">
        <f>IF(OR(Table2[[#This Row],[Rating]]=4,Table2[[#This Row],[Rating]]=5), 0.05*Table2[[#This Row],[Salary]],0)</f>
        <v>2665.5</v>
      </c>
      <c r="J83" s="14">
        <f>VLOOKUP(Table2[[#This Row],[Salary]],'Tax rates'!A$2:C$8, 2) + VLOOKUP(Table2[[#This Row],[Salary]],'Tax rates'!A$2:C$8, 3) * (Table2[[#This Row],[Salary]] - VLOOKUP(Table2[[#This Row],[Salary]],'Tax rates'!A$2:C$8,1))</f>
        <v>7667.7</v>
      </c>
      <c r="K83" s="14">
        <f>Table2[[#This Row],[Salary]]-Table2[[#This Row],[Taxes]]</f>
        <v>45642.3</v>
      </c>
      <c r="L83" s="15">
        <f>Table2[[#This Row],[After tax salary]]+Table2[[#This Row],[Bonus]]</f>
        <v>48307.8</v>
      </c>
    </row>
    <row r="84" spans="1:12" x14ac:dyDescent="0.25">
      <c r="A84" s="5" t="s">
        <v>398</v>
      </c>
      <c r="B84" s="5" t="s">
        <v>51</v>
      </c>
      <c r="C84" s="5" t="s">
        <v>30</v>
      </c>
      <c r="D84" s="5" t="s">
        <v>24</v>
      </c>
      <c r="E84" s="6">
        <v>36217</v>
      </c>
      <c r="F84" s="5" t="s">
        <v>11</v>
      </c>
      <c r="G84" s="10">
        <v>22475</v>
      </c>
      <c r="H84" s="7">
        <v>4</v>
      </c>
      <c r="I84" s="12">
        <f>IF(OR(Table2[[#This Row],[Rating]]=4,Table2[[#This Row],[Rating]]=5), 0.05*Table2[[#This Row],[Salary]],0)</f>
        <v>1123.75</v>
      </c>
      <c r="J84" s="14">
        <f>VLOOKUP(Table2[[#This Row],[Salary]],'Tax rates'!A$2:C$8, 2) + VLOOKUP(Table2[[#This Row],[Salary]],'Tax rates'!A$2:C$8, 3) * (Table2[[#This Row],[Salary]] - VLOOKUP(Table2[[#This Row],[Salary]],'Tax rates'!A$2:C$8,1))</f>
        <v>2506.5</v>
      </c>
      <c r="K84" s="14">
        <f>Table2[[#This Row],[Salary]]-Table2[[#This Row],[Taxes]]</f>
        <v>19968.5</v>
      </c>
      <c r="L84" s="15">
        <f>Table2[[#This Row],[After tax salary]]+Table2[[#This Row],[Bonus]]</f>
        <v>21092.25</v>
      </c>
    </row>
    <row r="85" spans="1:12" x14ac:dyDescent="0.25">
      <c r="A85" s="5" t="s">
        <v>529</v>
      </c>
      <c r="B85" s="5" t="s">
        <v>27</v>
      </c>
      <c r="C85" s="5" t="s">
        <v>106</v>
      </c>
      <c r="D85" s="5" t="s">
        <v>24</v>
      </c>
      <c r="E85" s="6">
        <v>36217</v>
      </c>
      <c r="F85" s="5" t="s">
        <v>4</v>
      </c>
      <c r="G85" s="10">
        <v>15240</v>
      </c>
      <c r="H85" s="7">
        <v>1</v>
      </c>
      <c r="I85" s="12">
        <f>IF(OR(Table2[[#This Row],[Rating]]=4,Table2[[#This Row],[Rating]]=5), 0.05*Table2[[#This Row],[Salary]],0)</f>
        <v>0</v>
      </c>
      <c r="J85" s="14">
        <f>VLOOKUP(Table2[[#This Row],[Salary]],'Tax rates'!A$2:C$8, 2) + VLOOKUP(Table2[[#This Row],[Salary]],'Tax rates'!A$2:C$8, 3) * (Table2[[#This Row],[Salary]] - VLOOKUP(Table2[[#This Row],[Salary]],'Tax rates'!A$2:C$8,1))</f>
        <v>1638.3</v>
      </c>
      <c r="K85" s="14">
        <f>Table2[[#This Row],[Salary]]-Table2[[#This Row],[Taxes]]</f>
        <v>13601.7</v>
      </c>
      <c r="L85" s="15">
        <f>Table2[[#This Row],[After tax salary]]+Table2[[#This Row],[Bonus]]</f>
        <v>13601.7</v>
      </c>
    </row>
    <row r="86" spans="1:12" x14ac:dyDescent="0.25">
      <c r="A86" s="5" t="s">
        <v>544</v>
      </c>
      <c r="B86" s="5" t="s">
        <v>51</v>
      </c>
      <c r="C86" s="5" t="s">
        <v>35</v>
      </c>
      <c r="D86" s="5" t="s">
        <v>3</v>
      </c>
      <c r="E86" s="6">
        <v>36243</v>
      </c>
      <c r="F86" s="5" t="s">
        <v>9</v>
      </c>
      <c r="G86" s="10">
        <v>77680</v>
      </c>
      <c r="H86" s="7">
        <v>3</v>
      </c>
      <c r="I86" s="12">
        <f>IF(OR(Table2[[#This Row],[Rating]]=4,Table2[[#This Row],[Rating]]=5), 0.05*Table2[[#This Row],[Salary]],0)</f>
        <v>0</v>
      </c>
      <c r="J86" s="14">
        <f>VLOOKUP(Table2[[#This Row],[Salary]],'Tax rates'!A$2:C$8, 2) + VLOOKUP(Table2[[#This Row],[Salary]],'Tax rates'!A$2:C$8, 3) * (Table2[[#This Row],[Salary]] - VLOOKUP(Table2[[#This Row],[Salary]],'Tax rates'!A$2:C$8,1))</f>
        <v>13029.1</v>
      </c>
      <c r="K86" s="14">
        <f>Table2[[#This Row],[Salary]]-Table2[[#This Row],[Taxes]]</f>
        <v>64650.9</v>
      </c>
      <c r="L86" s="15">
        <f>Table2[[#This Row],[After tax salary]]+Table2[[#This Row],[Bonus]]</f>
        <v>64650.9</v>
      </c>
    </row>
    <row r="87" spans="1:12" x14ac:dyDescent="0.25">
      <c r="A87" s="5" t="s">
        <v>670</v>
      </c>
      <c r="B87" s="5" t="s">
        <v>1</v>
      </c>
      <c r="C87" s="5" t="s">
        <v>2</v>
      </c>
      <c r="D87" s="5" t="s">
        <v>3</v>
      </c>
      <c r="E87" s="6">
        <v>36245</v>
      </c>
      <c r="F87" s="5" t="s">
        <v>4</v>
      </c>
      <c r="G87" s="10">
        <v>58410</v>
      </c>
      <c r="H87" s="7">
        <v>5</v>
      </c>
      <c r="I87" s="12">
        <f>IF(OR(Table2[[#This Row],[Rating]]=4,Table2[[#This Row],[Rating]]=5), 0.05*Table2[[#This Row],[Salary]],0)</f>
        <v>2920.5</v>
      </c>
      <c r="J87" s="14">
        <f>VLOOKUP(Table2[[#This Row],[Salary]],'Tax rates'!A$2:C$8, 2) + VLOOKUP(Table2[[#This Row],[Salary]],'Tax rates'!A$2:C$8, 3) * (Table2[[#This Row],[Salary]] - VLOOKUP(Table2[[#This Row],[Salary]],'Tax rates'!A$2:C$8,1))</f>
        <v>8789.7000000000007</v>
      </c>
      <c r="K87" s="14">
        <f>Table2[[#This Row],[Salary]]-Table2[[#This Row],[Taxes]]</f>
        <v>49620.3</v>
      </c>
      <c r="L87" s="15">
        <f>Table2[[#This Row],[After tax salary]]+Table2[[#This Row],[Bonus]]</f>
        <v>52540.800000000003</v>
      </c>
    </row>
    <row r="88" spans="1:12" x14ac:dyDescent="0.25">
      <c r="A88" s="5" t="s">
        <v>247</v>
      </c>
      <c r="B88" s="5" t="s">
        <v>6</v>
      </c>
      <c r="C88" s="5" t="s">
        <v>138</v>
      </c>
      <c r="D88" s="5" t="s">
        <v>3</v>
      </c>
      <c r="E88" s="6">
        <v>36249</v>
      </c>
      <c r="F88" s="5" t="s">
        <v>4</v>
      </c>
      <c r="G88" s="10">
        <v>49860</v>
      </c>
      <c r="H88" s="7">
        <v>2</v>
      </c>
      <c r="I88" s="12">
        <f>IF(OR(Table2[[#This Row],[Rating]]=4,Table2[[#This Row],[Rating]]=5), 0.05*Table2[[#This Row],[Salary]],0)</f>
        <v>0</v>
      </c>
      <c r="J88" s="14">
        <f>VLOOKUP(Table2[[#This Row],[Salary]],'Tax rates'!A$2:C$8, 2) + VLOOKUP(Table2[[#This Row],[Salary]],'Tax rates'!A$2:C$8, 3) * (Table2[[#This Row],[Salary]] - VLOOKUP(Table2[[#This Row],[Salary]],'Tax rates'!A$2:C$8,1))</f>
        <v>6908.7</v>
      </c>
      <c r="K88" s="14">
        <f>Table2[[#This Row],[Salary]]-Table2[[#This Row],[Taxes]]</f>
        <v>42951.3</v>
      </c>
      <c r="L88" s="15">
        <f>Table2[[#This Row],[After tax salary]]+Table2[[#This Row],[Bonus]]</f>
        <v>42951.3</v>
      </c>
    </row>
    <row r="89" spans="1:12" x14ac:dyDescent="0.25">
      <c r="A89" s="5" t="s">
        <v>752</v>
      </c>
      <c r="B89" s="5" t="s">
        <v>1</v>
      </c>
      <c r="C89" s="5" t="s">
        <v>106</v>
      </c>
      <c r="D89" s="5" t="s">
        <v>3</v>
      </c>
      <c r="E89" s="6">
        <v>36260</v>
      </c>
      <c r="F89" s="5" t="s">
        <v>4</v>
      </c>
      <c r="G89" s="10">
        <v>75150</v>
      </c>
      <c r="H89" s="7">
        <v>1</v>
      </c>
      <c r="I89" s="12">
        <f>IF(OR(Table2[[#This Row],[Rating]]=4,Table2[[#This Row],[Rating]]=5), 0.05*Table2[[#This Row],[Salary]],0)</f>
        <v>0</v>
      </c>
      <c r="J89" s="14">
        <f>VLOOKUP(Table2[[#This Row],[Salary]],'Tax rates'!A$2:C$8, 2) + VLOOKUP(Table2[[#This Row],[Salary]],'Tax rates'!A$2:C$8, 3) * (Table2[[#This Row],[Salary]] - VLOOKUP(Table2[[#This Row],[Salary]],'Tax rates'!A$2:C$8,1))</f>
        <v>12472.5</v>
      </c>
      <c r="K89" s="14">
        <f>Table2[[#This Row],[Salary]]-Table2[[#This Row],[Taxes]]</f>
        <v>62677.5</v>
      </c>
      <c r="L89" s="15">
        <f>Table2[[#This Row],[After tax salary]]+Table2[[#This Row],[Bonus]]</f>
        <v>62677.5</v>
      </c>
    </row>
    <row r="90" spans="1:12" x14ac:dyDescent="0.25">
      <c r="A90" s="5" t="s">
        <v>491</v>
      </c>
      <c r="B90" s="5" t="s">
        <v>51</v>
      </c>
      <c r="C90" s="5" t="s">
        <v>8</v>
      </c>
      <c r="D90" s="5" t="s">
        <v>32</v>
      </c>
      <c r="E90" s="6">
        <v>36263</v>
      </c>
      <c r="F90" s="7"/>
      <c r="G90" s="10">
        <v>38768</v>
      </c>
      <c r="H90" s="7">
        <v>4</v>
      </c>
      <c r="I90" s="12">
        <f>IF(OR(Table2[[#This Row],[Rating]]=4,Table2[[#This Row],[Rating]]=5), 0.05*Table2[[#This Row],[Salary]],0)</f>
        <v>1938.4</v>
      </c>
      <c r="J90" s="14">
        <f>VLOOKUP(Table2[[#This Row],[Salary]],'Tax rates'!A$2:C$8, 2) + VLOOKUP(Table2[[#This Row],[Salary]],'Tax rates'!A$2:C$8, 3) * (Table2[[#This Row],[Salary]] - VLOOKUP(Table2[[#This Row],[Salary]],'Tax rates'!A$2:C$8,1))</f>
        <v>4468.46</v>
      </c>
      <c r="K90" s="14">
        <f>Table2[[#This Row],[Salary]]-Table2[[#This Row],[Taxes]]</f>
        <v>34299.54</v>
      </c>
      <c r="L90" s="15">
        <f>Table2[[#This Row],[After tax salary]]+Table2[[#This Row],[Bonus]]</f>
        <v>36237.94</v>
      </c>
    </row>
    <row r="91" spans="1:12" x14ac:dyDescent="0.25">
      <c r="A91" s="5" t="s">
        <v>252</v>
      </c>
      <c r="B91" s="5" t="s">
        <v>6</v>
      </c>
      <c r="C91" s="5" t="s">
        <v>18</v>
      </c>
      <c r="D91" s="5" t="s">
        <v>24</v>
      </c>
      <c r="E91" s="6">
        <v>36269</v>
      </c>
      <c r="F91" s="5" t="s">
        <v>11</v>
      </c>
      <c r="G91" s="10">
        <v>48190</v>
      </c>
      <c r="H91" s="7">
        <v>1</v>
      </c>
      <c r="I91" s="12">
        <f>IF(OR(Table2[[#This Row],[Rating]]=4,Table2[[#This Row],[Rating]]=5), 0.05*Table2[[#This Row],[Salary]],0)</f>
        <v>0</v>
      </c>
      <c r="J91" s="14">
        <f>VLOOKUP(Table2[[#This Row],[Salary]],'Tax rates'!A$2:C$8, 2) + VLOOKUP(Table2[[#This Row],[Salary]],'Tax rates'!A$2:C$8, 3) * (Table2[[#This Row],[Salary]] - VLOOKUP(Table2[[#This Row],[Salary]],'Tax rates'!A$2:C$8,1))</f>
        <v>6541.3</v>
      </c>
      <c r="K91" s="14">
        <f>Table2[[#This Row],[Salary]]-Table2[[#This Row],[Taxes]]</f>
        <v>41648.699999999997</v>
      </c>
      <c r="L91" s="15">
        <f>Table2[[#This Row],[After tax salary]]+Table2[[#This Row],[Bonus]]</f>
        <v>41648.699999999997</v>
      </c>
    </row>
    <row r="92" spans="1:12" x14ac:dyDescent="0.25">
      <c r="A92" s="5" t="s">
        <v>763</v>
      </c>
      <c r="B92" s="5" t="s">
        <v>1</v>
      </c>
      <c r="C92" s="5" t="s">
        <v>20</v>
      </c>
      <c r="D92" s="5" t="s">
        <v>3</v>
      </c>
      <c r="E92" s="6">
        <v>36269</v>
      </c>
      <c r="F92" s="5" t="s">
        <v>11</v>
      </c>
      <c r="G92" s="10">
        <v>61330</v>
      </c>
      <c r="H92" s="7">
        <v>1</v>
      </c>
      <c r="I92" s="12">
        <f>IF(OR(Table2[[#This Row],[Rating]]=4,Table2[[#This Row],[Rating]]=5), 0.05*Table2[[#This Row],[Salary]],0)</f>
        <v>0</v>
      </c>
      <c r="J92" s="14">
        <f>VLOOKUP(Table2[[#This Row],[Salary]],'Tax rates'!A$2:C$8, 2) + VLOOKUP(Table2[[#This Row],[Salary]],'Tax rates'!A$2:C$8, 3) * (Table2[[#This Row],[Salary]] - VLOOKUP(Table2[[#This Row],[Salary]],'Tax rates'!A$2:C$8,1))</f>
        <v>9432.1</v>
      </c>
      <c r="K92" s="14">
        <f>Table2[[#This Row],[Salary]]-Table2[[#This Row],[Taxes]]</f>
        <v>51897.9</v>
      </c>
      <c r="L92" s="15">
        <f>Table2[[#This Row],[After tax salary]]+Table2[[#This Row],[Bonus]]</f>
        <v>51897.9</v>
      </c>
    </row>
    <row r="93" spans="1:12" x14ac:dyDescent="0.25">
      <c r="A93" s="5" t="s">
        <v>772</v>
      </c>
      <c r="B93" s="5" t="s">
        <v>6</v>
      </c>
      <c r="C93" s="5" t="s">
        <v>18</v>
      </c>
      <c r="D93" s="5" t="s">
        <v>3</v>
      </c>
      <c r="E93" s="6">
        <v>36273</v>
      </c>
      <c r="F93" s="5" t="s">
        <v>11</v>
      </c>
      <c r="G93" s="10">
        <v>61330</v>
      </c>
      <c r="H93" s="7">
        <v>4</v>
      </c>
      <c r="I93" s="12">
        <f>IF(OR(Table2[[#This Row],[Rating]]=4,Table2[[#This Row],[Rating]]=5), 0.05*Table2[[#This Row],[Salary]],0)</f>
        <v>3066.5</v>
      </c>
      <c r="J93" s="14">
        <f>VLOOKUP(Table2[[#This Row],[Salary]],'Tax rates'!A$2:C$8, 2) + VLOOKUP(Table2[[#This Row],[Salary]],'Tax rates'!A$2:C$8, 3) * (Table2[[#This Row],[Salary]] - VLOOKUP(Table2[[#This Row],[Salary]],'Tax rates'!A$2:C$8,1))</f>
        <v>9432.1</v>
      </c>
      <c r="K93" s="14">
        <f>Table2[[#This Row],[Salary]]-Table2[[#This Row],[Taxes]]</f>
        <v>51897.9</v>
      </c>
      <c r="L93" s="15">
        <f>Table2[[#This Row],[After tax salary]]+Table2[[#This Row],[Bonus]]</f>
        <v>54964.4</v>
      </c>
    </row>
    <row r="94" spans="1:12" x14ac:dyDescent="0.25">
      <c r="A94" s="5" t="s">
        <v>568</v>
      </c>
      <c r="B94" s="5" t="s">
        <v>51</v>
      </c>
      <c r="C94" s="5" t="s">
        <v>18</v>
      </c>
      <c r="D94" s="5" t="s">
        <v>16</v>
      </c>
      <c r="E94" s="6">
        <v>36283</v>
      </c>
      <c r="F94" s="7"/>
      <c r="G94" s="10">
        <v>25130</v>
      </c>
      <c r="H94" s="7">
        <v>5</v>
      </c>
      <c r="I94" s="12">
        <f>IF(OR(Table2[[#This Row],[Rating]]=4,Table2[[#This Row],[Rating]]=5), 0.05*Table2[[#This Row],[Salary]],0)</f>
        <v>1256.5</v>
      </c>
      <c r="J94" s="14">
        <f>VLOOKUP(Table2[[#This Row],[Salary]],'Tax rates'!A$2:C$8, 2) + VLOOKUP(Table2[[#This Row],[Salary]],'Tax rates'!A$2:C$8, 3) * (Table2[[#This Row],[Salary]] - VLOOKUP(Table2[[#This Row],[Salary]],'Tax rates'!A$2:C$8,1))</f>
        <v>2825.1</v>
      </c>
      <c r="K94" s="14">
        <f>Table2[[#This Row],[Salary]]-Table2[[#This Row],[Taxes]]</f>
        <v>22304.9</v>
      </c>
      <c r="L94" s="15">
        <f>Table2[[#This Row],[After tax salary]]+Table2[[#This Row],[Bonus]]</f>
        <v>23561.4</v>
      </c>
    </row>
    <row r="95" spans="1:12" x14ac:dyDescent="0.25">
      <c r="A95" s="5" t="s">
        <v>12</v>
      </c>
      <c r="B95" s="5" t="s">
        <v>13</v>
      </c>
      <c r="C95" s="5" t="s">
        <v>2</v>
      </c>
      <c r="D95" s="5" t="s">
        <v>3</v>
      </c>
      <c r="E95" s="6">
        <v>36290</v>
      </c>
      <c r="F95" s="5" t="s">
        <v>11</v>
      </c>
      <c r="G95" s="10">
        <v>39000</v>
      </c>
      <c r="H95" s="7">
        <v>3</v>
      </c>
      <c r="I95" s="12">
        <f>IF(OR(Table2[[#This Row],[Rating]]=4,Table2[[#This Row],[Rating]]=5), 0.05*Table2[[#This Row],[Salary]],0)</f>
        <v>0</v>
      </c>
      <c r="J95" s="14">
        <f>VLOOKUP(Table2[[#This Row],[Salary]],'Tax rates'!A$2:C$8, 2) + VLOOKUP(Table2[[#This Row],[Salary]],'Tax rates'!A$2:C$8, 3) * (Table2[[#This Row],[Salary]] - VLOOKUP(Table2[[#This Row],[Salary]],'Tax rates'!A$2:C$8,1))</f>
        <v>4519.5</v>
      </c>
      <c r="K95" s="14">
        <f>Table2[[#This Row],[Salary]]-Table2[[#This Row],[Taxes]]</f>
        <v>34480.5</v>
      </c>
      <c r="L95" s="15">
        <f>Table2[[#This Row],[After tax salary]]+Table2[[#This Row],[Bonus]]</f>
        <v>34480.5</v>
      </c>
    </row>
    <row r="96" spans="1:12" x14ac:dyDescent="0.25">
      <c r="A96" s="5" t="s">
        <v>671</v>
      </c>
      <c r="B96" s="5" t="s">
        <v>6</v>
      </c>
      <c r="C96" s="5" t="s">
        <v>30</v>
      </c>
      <c r="D96" s="5" t="s">
        <v>16</v>
      </c>
      <c r="E96" s="6">
        <v>36297</v>
      </c>
      <c r="F96" s="7"/>
      <c r="G96" s="10">
        <v>57990</v>
      </c>
      <c r="H96" s="7">
        <v>5</v>
      </c>
      <c r="I96" s="12">
        <f>IF(OR(Table2[[#This Row],[Rating]]=4,Table2[[#This Row],[Rating]]=5), 0.05*Table2[[#This Row],[Salary]],0)</f>
        <v>2899.5</v>
      </c>
      <c r="J96" s="14">
        <f>VLOOKUP(Table2[[#This Row],[Salary]],'Tax rates'!A$2:C$8, 2) + VLOOKUP(Table2[[#This Row],[Salary]],'Tax rates'!A$2:C$8, 3) * (Table2[[#This Row],[Salary]] - VLOOKUP(Table2[[#This Row],[Salary]],'Tax rates'!A$2:C$8,1))</f>
        <v>8697.2999999999993</v>
      </c>
      <c r="K96" s="14">
        <f>Table2[[#This Row],[Salary]]-Table2[[#This Row],[Taxes]]</f>
        <v>49292.7</v>
      </c>
      <c r="L96" s="15">
        <f>Table2[[#This Row],[After tax salary]]+Table2[[#This Row],[Bonus]]</f>
        <v>52192.2</v>
      </c>
    </row>
    <row r="97" spans="1:12" x14ac:dyDescent="0.25">
      <c r="A97" s="5" t="s">
        <v>429</v>
      </c>
      <c r="B97" s="5" t="s">
        <v>29</v>
      </c>
      <c r="C97" s="5" t="s">
        <v>59</v>
      </c>
      <c r="D97" s="5" t="s">
        <v>3</v>
      </c>
      <c r="E97" s="6">
        <v>36297</v>
      </c>
      <c r="F97" s="5" t="s">
        <v>4</v>
      </c>
      <c r="G97" s="10">
        <v>46030</v>
      </c>
      <c r="H97" s="7">
        <v>2</v>
      </c>
      <c r="I97" s="12">
        <f>IF(OR(Table2[[#This Row],[Rating]]=4,Table2[[#This Row],[Rating]]=5), 0.05*Table2[[#This Row],[Salary]],0)</f>
        <v>0</v>
      </c>
      <c r="J97" s="14">
        <f>VLOOKUP(Table2[[#This Row],[Salary]],'Tax rates'!A$2:C$8, 2) + VLOOKUP(Table2[[#This Row],[Salary]],'Tax rates'!A$2:C$8, 3) * (Table2[[#This Row],[Salary]] - VLOOKUP(Table2[[#This Row],[Salary]],'Tax rates'!A$2:C$8,1))</f>
        <v>6066.1</v>
      </c>
      <c r="K97" s="14">
        <f>Table2[[#This Row],[Salary]]-Table2[[#This Row],[Taxes]]</f>
        <v>39963.9</v>
      </c>
      <c r="L97" s="15">
        <f>Table2[[#This Row],[After tax salary]]+Table2[[#This Row],[Bonus]]</f>
        <v>39963.9</v>
      </c>
    </row>
    <row r="98" spans="1:12" x14ac:dyDescent="0.25">
      <c r="A98" s="5" t="s">
        <v>370</v>
      </c>
      <c r="B98" s="5" t="s">
        <v>6</v>
      </c>
      <c r="C98" s="5" t="s">
        <v>18</v>
      </c>
      <c r="D98" s="5" t="s">
        <v>32</v>
      </c>
      <c r="E98" s="6">
        <v>36305</v>
      </c>
      <c r="F98" s="7"/>
      <c r="G98" s="10">
        <v>9424</v>
      </c>
      <c r="H98" s="7">
        <v>4</v>
      </c>
      <c r="I98" s="12">
        <f>IF(OR(Table2[[#This Row],[Rating]]=4,Table2[[#This Row],[Rating]]=5), 0.05*Table2[[#This Row],[Salary]],0)</f>
        <v>471.20000000000005</v>
      </c>
      <c r="J98" s="14">
        <f>VLOOKUP(Table2[[#This Row],[Salary]],'Tax rates'!A$2:C$8, 2) + VLOOKUP(Table2[[#This Row],[Salary]],'Tax rates'!A$2:C$8, 3) * (Table2[[#This Row],[Salary]] - VLOOKUP(Table2[[#This Row],[Salary]],'Tax rates'!A$2:C$8,1))</f>
        <v>942.40000000000009</v>
      </c>
      <c r="K98" s="14">
        <f>Table2[[#This Row],[Salary]]-Table2[[#This Row],[Taxes]]</f>
        <v>8481.6</v>
      </c>
      <c r="L98" s="15">
        <f>Table2[[#This Row],[After tax salary]]+Table2[[#This Row],[Bonus]]</f>
        <v>8952.8000000000011</v>
      </c>
    </row>
    <row r="99" spans="1:12" x14ac:dyDescent="0.25">
      <c r="A99" s="5" t="s">
        <v>260</v>
      </c>
      <c r="B99" s="5" t="s">
        <v>1</v>
      </c>
      <c r="C99" s="5" t="s">
        <v>2</v>
      </c>
      <c r="D99" s="5" t="s">
        <v>3</v>
      </c>
      <c r="E99" s="6">
        <v>36312</v>
      </c>
      <c r="F99" s="5" t="s">
        <v>4</v>
      </c>
      <c r="G99" s="10">
        <v>69200</v>
      </c>
      <c r="H99" s="7">
        <v>4</v>
      </c>
      <c r="I99" s="12">
        <f>IF(OR(Table2[[#This Row],[Rating]]=4,Table2[[#This Row],[Rating]]=5), 0.05*Table2[[#This Row],[Salary]],0)</f>
        <v>3460</v>
      </c>
      <c r="J99" s="14">
        <f>VLOOKUP(Table2[[#This Row],[Salary]],'Tax rates'!A$2:C$8, 2) + VLOOKUP(Table2[[#This Row],[Salary]],'Tax rates'!A$2:C$8, 3) * (Table2[[#This Row],[Salary]] - VLOOKUP(Table2[[#This Row],[Salary]],'Tax rates'!A$2:C$8,1))</f>
        <v>11163.5</v>
      </c>
      <c r="K99" s="14">
        <f>Table2[[#This Row],[Salary]]-Table2[[#This Row],[Taxes]]</f>
        <v>58036.5</v>
      </c>
      <c r="L99" s="15">
        <f>Table2[[#This Row],[After tax salary]]+Table2[[#This Row],[Bonus]]</f>
        <v>61496.5</v>
      </c>
    </row>
    <row r="100" spans="1:12" x14ac:dyDescent="0.25">
      <c r="A100" s="5" t="s">
        <v>687</v>
      </c>
      <c r="B100" s="5" t="s">
        <v>1</v>
      </c>
      <c r="C100" s="5" t="s">
        <v>18</v>
      </c>
      <c r="D100" s="5" t="s">
        <v>3</v>
      </c>
      <c r="E100" s="6">
        <v>36318</v>
      </c>
      <c r="F100" s="5" t="s">
        <v>11</v>
      </c>
      <c r="G100" s="10">
        <v>68750</v>
      </c>
      <c r="H100" s="7">
        <v>1</v>
      </c>
      <c r="I100" s="12">
        <f>IF(OR(Table2[[#This Row],[Rating]]=4,Table2[[#This Row],[Rating]]=5), 0.05*Table2[[#This Row],[Salary]],0)</f>
        <v>0</v>
      </c>
      <c r="J100" s="14">
        <f>VLOOKUP(Table2[[#This Row],[Salary]],'Tax rates'!A$2:C$8, 2) + VLOOKUP(Table2[[#This Row],[Salary]],'Tax rates'!A$2:C$8, 3) * (Table2[[#This Row],[Salary]] - VLOOKUP(Table2[[#This Row],[Salary]],'Tax rates'!A$2:C$8,1))</f>
        <v>11064.5</v>
      </c>
      <c r="K100" s="14">
        <f>Table2[[#This Row],[Salary]]-Table2[[#This Row],[Taxes]]</f>
        <v>57685.5</v>
      </c>
      <c r="L100" s="15">
        <f>Table2[[#This Row],[After tax salary]]+Table2[[#This Row],[Bonus]]</f>
        <v>57685.5</v>
      </c>
    </row>
    <row r="101" spans="1:12" x14ac:dyDescent="0.25">
      <c r="A101" s="5" t="s">
        <v>149</v>
      </c>
      <c r="B101" s="5" t="s">
        <v>6</v>
      </c>
      <c r="C101" s="5" t="s">
        <v>23</v>
      </c>
      <c r="D101" s="5" t="s">
        <v>32</v>
      </c>
      <c r="E101" s="6">
        <v>36329</v>
      </c>
      <c r="F101" s="7"/>
      <c r="G101" s="10">
        <v>39764</v>
      </c>
      <c r="H101" s="7">
        <v>1</v>
      </c>
      <c r="I101" s="12">
        <f>IF(OR(Table2[[#This Row],[Rating]]=4,Table2[[#This Row],[Rating]]=5), 0.05*Table2[[#This Row],[Salary]],0)</f>
        <v>0</v>
      </c>
      <c r="J101" s="14">
        <f>VLOOKUP(Table2[[#This Row],[Salary]],'Tax rates'!A$2:C$8, 2) + VLOOKUP(Table2[[#This Row],[Salary]],'Tax rates'!A$2:C$8, 3) * (Table2[[#This Row],[Salary]] - VLOOKUP(Table2[[#This Row],[Salary]],'Tax rates'!A$2:C$8,1))</f>
        <v>4687.58</v>
      </c>
      <c r="K101" s="14">
        <f>Table2[[#This Row],[Salary]]-Table2[[#This Row],[Taxes]]</f>
        <v>35076.42</v>
      </c>
      <c r="L101" s="15">
        <f>Table2[[#This Row],[After tax salary]]+Table2[[#This Row],[Bonus]]</f>
        <v>35076.42</v>
      </c>
    </row>
    <row r="102" spans="1:12" x14ac:dyDescent="0.25">
      <c r="A102" s="5" t="s">
        <v>653</v>
      </c>
      <c r="B102" s="5" t="s">
        <v>6</v>
      </c>
      <c r="C102" s="5" t="s">
        <v>35</v>
      </c>
      <c r="D102" s="5" t="s">
        <v>3</v>
      </c>
      <c r="E102" s="6">
        <v>36330</v>
      </c>
      <c r="F102" s="5" t="s">
        <v>9</v>
      </c>
      <c r="G102" s="10">
        <v>61850</v>
      </c>
      <c r="H102" s="7">
        <v>2</v>
      </c>
      <c r="I102" s="12">
        <f>IF(OR(Table2[[#This Row],[Rating]]=4,Table2[[#This Row],[Rating]]=5), 0.05*Table2[[#This Row],[Salary]],0)</f>
        <v>0</v>
      </c>
      <c r="J102" s="14">
        <f>VLOOKUP(Table2[[#This Row],[Salary]],'Tax rates'!A$2:C$8, 2) + VLOOKUP(Table2[[#This Row],[Salary]],'Tax rates'!A$2:C$8, 3) * (Table2[[#This Row],[Salary]] - VLOOKUP(Table2[[#This Row],[Salary]],'Tax rates'!A$2:C$8,1))</f>
        <v>9546.5</v>
      </c>
      <c r="K102" s="14">
        <f>Table2[[#This Row],[Salary]]-Table2[[#This Row],[Taxes]]</f>
        <v>52303.5</v>
      </c>
      <c r="L102" s="15">
        <f>Table2[[#This Row],[After tax salary]]+Table2[[#This Row],[Bonus]]</f>
        <v>52303.5</v>
      </c>
    </row>
    <row r="103" spans="1:12" x14ac:dyDescent="0.25">
      <c r="A103" s="5" t="s">
        <v>53</v>
      </c>
      <c r="B103" s="5" t="s">
        <v>1</v>
      </c>
      <c r="C103" s="5" t="s">
        <v>18</v>
      </c>
      <c r="D103" s="5" t="s">
        <v>3</v>
      </c>
      <c r="E103" s="6">
        <v>36332</v>
      </c>
      <c r="F103" s="5" t="s">
        <v>21</v>
      </c>
      <c r="G103" s="10">
        <v>37760</v>
      </c>
      <c r="H103" s="7">
        <v>2</v>
      </c>
      <c r="I103" s="12">
        <f>IF(OR(Table2[[#This Row],[Rating]]=4,Table2[[#This Row],[Rating]]=5), 0.05*Table2[[#This Row],[Salary]],0)</f>
        <v>0</v>
      </c>
      <c r="J103" s="14">
        <f>VLOOKUP(Table2[[#This Row],[Salary]],'Tax rates'!A$2:C$8, 2) + VLOOKUP(Table2[[#This Row],[Salary]],'Tax rates'!A$2:C$8, 3) * (Table2[[#This Row],[Salary]] - VLOOKUP(Table2[[#This Row],[Salary]],'Tax rates'!A$2:C$8,1))</f>
        <v>4340.7</v>
      </c>
      <c r="K103" s="14">
        <f>Table2[[#This Row],[Salary]]-Table2[[#This Row],[Taxes]]</f>
        <v>33419.300000000003</v>
      </c>
      <c r="L103" s="15">
        <f>Table2[[#This Row],[After tax salary]]+Table2[[#This Row],[Bonus]]</f>
        <v>33419.300000000003</v>
      </c>
    </row>
    <row r="104" spans="1:12" x14ac:dyDescent="0.25">
      <c r="A104" s="5" t="s">
        <v>422</v>
      </c>
      <c r="B104" s="5" t="s">
        <v>1</v>
      </c>
      <c r="C104" s="5" t="s">
        <v>30</v>
      </c>
      <c r="D104" s="5" t="s">
        <v>32</v>
      </c>
      <c r="E104" s="6">
        <v>36340</v>
      </c>
      <c r="F104" s="7"/>
      <c r="G104" s="10">
        <v>37016</v>
      </c>
      <c r="H104" s="7">
        <v>4</v>
      </c>
      <c r="I104" s="12">
        <f>IF(OR(Table2[[#This Row],[Rating]]=4,Table2[[#This Row],[Rating]]=5), 0.05*Table2[[#This Row],[Salary]],0)</f>
        <v>1850.8000000000002</v>
      </c>
      <c r="J104" s="14">
        <f>VLOOKUP(Table2[[#This Row],[Salary]],'Tax rates'!A$2:C$8, 2) + VLOOKUP(Table2[[#This Row],[Salary]],'Tax rates'!A$2:C$8, 3) * (Table2[[#This Row],[Salary]] - VLOOKUP(Table2[[#This Row],[Salary]],'Tax rates'!A$2:C$8,1))</f>
        <v>4251.42</v>
      </c>
      <c r="K104" s="14">
        <f>Table2[[#This Row],[Salary]]-Table2[[#This Row],[Taxes]]</f>
        <v>32764.58</v>
      </c>
      <c r="L104" s="15">
        <f>Table2[[#This Row],[After tax salary]]+Table2[[#This Row],[Bonus]]</f>
        <v>34615.380000000005</v>
      </c>
    </row>
    <row r="105" spans="1:12" x14ac:dyDescent="0.25">
      <c r="A105" s="5" t="s">
        <v>179</v>
      </c>
      <c r="B105" s="5" t="s">
        <v>29</v>
      </c>
      <c r="C105" s="5" t="s">
        <v>20</v>
      </c>
      <c r="D105" s="5" t="s">
        <v>16</v>
      </c>
      <c r="E105" s="6">
        <v>36342</v>
      </c>
      <c r="F105" s="7"/>
      <c r="G105" s="10">
        <v>86970</v>
      </c>
      <c r="H105" s="7">
        <v>4</v>
      </c>
      <c r="I105" s="12">
        <f>IF(OR(Table2[[#This Row],[Rating]]=4,Table2[[#This Row],[Rating]]=5), 0.05*Table2[[#This Row],[Salary]],0)</f>
        <v>4348.5</v>
      </c>
      <c r="J105" s="14">
        <f>VLOOKUP(Table2[[#This Row],[Salary]],'Tax rates'!A$2:C$8, 2) + VLOOKUP(Table2[[#This Row],[Salary]],'Tax rates'!A$2:C$8, 3) * (Table2[[#This Row],[Salary]] - VLOOKUP(Table2[[#This Row],[Salary]],'Tax rates'!A$2:C$8,1))</f>
        <v>15162.3</v>
      </c>
      <c r="K105" s="14">
        <f>Table2[[#This Row],[Salary]]-Table2[[#This Row],[Taxes]]</f>
        <v>71807.7</v>
      </c>
      <c r="L105" s="15">
        <f>Table2[[#This Row],[After tax salary]]+Table2[[#This Row],[Bonus]]</f>
        <v>76156.2</v>
      </c>
    </row>
    <row r="106" spans="1:12" x14ac:dyDescent="0.25">
      <c r="A106" s="5" t="s">
        <v>556</v>
      </c>
      <c r="B106" s="5" t="s">
        <v>29</v>
      </c>
      <c r="C106" s="5" t="s">
        <v>18</v>
      </c>
      <c r="D106" s="5" t="s">
        <v>16</v>
      </c>
      <c r="E106" s="6">
        <v>36350</v>
      </c>
      <c r="F106" s="7"/>
      <c r="G106" s="10">
        <v>27380</v>
      </c>
      <c r="H106" s="7">
        <v>3</v>
      </c>
      <c r="I106" s="12">
        <f>IF(OR(Table2[[#This Row],[Rating]]=4,Table2[[#This Row],[Rating]]=5), 0.05*Table2[[#This Row],[Salary]],0)</f>
        <v>0</v>
      </c>
      <c r="J106" s="14">
        <f>VLOOKUP(Table2[[#This Row],[Salary]],'Tax rates'!A$2:C$8, 2) + VLOOKUP(Table2[[#This Row],[Salary]],'Tax rates'!A$2:C$8, 3) * (Table2[[#This Row],[Salary]] - VLOOKUP(Table2[[#This Row],[Salary]],'Tax rates'!A$2:C$8,1))</f>
        <v>3095.1</v>
      </c>
      <c r="K106" s="14">
        <f>Table2[[#This Row],[Salary]]-Table2[[#This Row],[Taxes]]</f>
        <v>24284.9</v>
      </c>
      <c r="L106" s="15">
        <f>Table2[[#This Row],[After tax salary]]+Table2[[#This Row],[Bonus]]</f>
        <v>24284.9</v>
      </c>
    </row>
    <row r="107" spans="1:12" x14ac:dyDescent="0.25">
      <c r="A107" s="5" t="s">
        <v>657</v>
      </c>
      <c r="B107" s="5" t="s">
        <v>6</v>
      </c>
      <c r="C107" s="5" t="s">
        <v>20</v>
      </c>
      <c r="D107" s="5" t="s">
        <v>24</v>
      </c>
      <c r="E107" s="6">
        <v>36357</v>
      </c>
      <c r="F107" s="5" t="s">
        <v>9</v>
      </c>
      <c r="G107" s="10">
        <v>42905</v>
      </c>
      <c r="H107" s="7">
        <v>1</v>
      </c>
      <c r="I107" s="12">
        <f>IF(OR(Table2[[#This Row],[Rating]]=4,Table2[[#This Row],[Rating]]=5), 0.05*Table2[[#This Row],[Salary]],0)</f>
        <v>0</v>
      </c>
      <c r="J107" s="14">
        <f>VLOOKUP(Table2[[#This Row],[Salary]],'Tax rates'!A$2:C$8, 2) + VLOOKUP(Table2[[#This Row],[Salary]],'Tax rates'!A$2:C$8, 3) * (Table2[[#This Row],[Salary]] - VLOOKUP(Table2[[#This Row],[Salary]],'Tax rates'!A$2:C$8,1))</f>
        <v>5378.6</v>
      </c>
      <c r="K107" s="14">
        <f>Table2[[#This Row],[Salary]]-Table2[[#This Row],[Taxes]]</f>
        <v>37526.400000000001</v>
      </c>
      <c r="L107" s="15">
        <f>Table2[[#This Row],[After tax salary]]+Table2[[#This Row],[Bonus]]</f>
        <v>37526.400000000001</v>
      </c>
    </row>
    <row r="108" spans="1:12" x14ac:dyDescent="0.25">
      <c r="A108" s="5" t="s">
        <v>496</v>
      </c>
      <c r="B108" s="5" t="s">
        <v>1</v>
      </c>
      <c r="C108" s="5" t="s">
        <v>18</v>
      </c>
      <c r="D108" s="5" t="s">
        <v>24</v>
      </c>
      <c r="E108" s="6">
        <v>36360</v>
      </c>
      <c r="F108" s="5" t="s">
        <v>11</v>
      </c>
      <c r="G108" s="10">
        <v>11065</v>
      </c>
      <c r="H108" s="7">
        <v>1</v>
      </c>
      <c r="I108" s="12">
        <f>IF(OR(Table2[[#This Row],[Rating]]=4,Table2[[#This Row],[Rating]]=5), 0.05*Table2[[#This Row],[Salary]],0)</f>
        <v>0</v>
      </c>
      <c r="J108" s="14">
        <f>VLOOKUP(Table2[[#This Row],[Salary]],'Tax rates'!A$2:C$8, 2) + VLOOKUP(Table2[[#This Row],[Salary]],'Tax rates'!A$2:C$8, 3) * (Table2[[#This Row],[Salary]] - VLOOKUP(Table2[[#This Row],[Salary]],'Tax rates'!A$2:C$8,1))</f>
        <v>1137.3</v>
      </c>
      <c r="K108" s="14">
        <f>Table2[[#This Row],[Salary]]-Table2[[#This Row],[Taxes]]</f>
        <v>9927.7000000000007</v>
      </c>
      <c r="L108" s="15">
        <f>Table2[[#This Row],[After tax salary]]+Table2[[#This Row],[Bonus]]</f>
        <v>9927.7000000000007</v>
      </c>
    </row>
    <row r="109" spans="1:12" x14ac:dyDescent="0.25">
      <c r="A109" s="5" t="s">
        <v>624</v>
      </c>
      <c r="B109" s="5" t="s">
        <v>13</v>
      </c>
      <c r="C109" s="5" t="s">
        <v>2</v>
      </c>
      <c r="D109" s="5" t="s">
        <v>3</v>
      </c>
      <c r="E109" s="6">
        <v>36360</v>
      </c>
      <c r="F109" s="5" t="s">
        <v>11</v>
      </c>
      <c r="G109" s="10">
        <v>67020</v>
      </c>
      <c r="H109" s="7">
        <v>1</v>
      </c>
      <c r="I109" s="12">
        <f>IF(OR(Table2[[#This Row],[Rating]]=4,Table2[[#This Row],[Rating]]=5), 0.05*Table2[[#This Row],[Salary]],0)</f>
        <v>0</v>
      </c>
      <c r="J109" s="14">
        <f>VLOOKUP(Table2[[#This Row],[Salary]],'Tax rates'!A$2:C$8, 2) + VLOOKUP(Table2[[#This Row],[Salary]],'Tax rates'!A$2:C$8, 3) * (Table2[[#This Row],[Salary]] - VLOOKUP(Table2[[#This Row],[Salary]],'Tax rates'!A$2:C$8,1))</f>
        <v>10683.9</v>
      </c>
      <c r="K109" s="14">
        <f>Table2[[#This Row],[Salary]]-Table2[[#This Row],[Taxes]]</f>
        <v>56336.1</v>
      </c>
      <c r="L109" s="15">
        <f>Table2[[#This Row],[After tax salary]]+Table2[[#This Row],[Bonus]]</f>
        <v>56336.1</v>
      </c>
    </row>
    <row r="110" spans="1:12" x14ac:dyDescent="0.25">
      <c r="A110" s="5" t="s">
        <v>547</v>
      </c>
      <c r="B110" s="5" t="s">
        <v>27</v>
      </c>
      <c r="C110" s="5" t="s">
        <v>35</v>
      </c>
      <c r="D110" s="5" t="s">
        <v>24</v>
      </c>
      <c r="E110" s="6">
        <v>36365</v>
      </c>
      <c r="F110" s="5" t="s">
        <v>21</v>
      </c>
      <c r="G110" s="10">
        <v>19825</v>
      </c>
      <c r="H110" s="7">
        <v>2</v>
      </c>
      <c r="I110" s="12">
        <f>IF(OR(Table2[[#This Row],[Rating]]=4,Table2[[#This Row],[Rating]]=5), 0.05*Table2[[#This Row],[Salary]],0)</f>
        <v>0</v>
      </c>
      <c r="J110" s="14">
        <f>VLOOKUP(Table2[[#This Row],[Salary]],'Tax rates'!A$2:C$8, 2) + VLOOKUP(Table2[[#This Row],[Salary]],'Tax rates'!A$2:C$8, 3) * (Table2[[#This Row],[Salary]] - VLOOKUP(Table2[[#This Row],[Salary]],'Tax rates'!A$2:C$8,1))</f>
        <v>2188.5</v>
      </c>
      <c r="K110" s="14">
        <f>Table2[[#This Row],[Salary]]-Table2[[#This Row],[Taxes]]</f>
        <v>17636.5</v>
      </c>
      <c r="L110" s="15">
        <f>Table2[[#This Row],[After tax salary]]+Table2[[#This Row],[Bonus]]</f>
        <v>17636.5</v>
      </c>
    </row>
    <row r="111" spans="1:12" x14ac:dyDescent="0.25">
      <c r="A111" s="5" t="s">
        <v>620</v>
      </c>
      <c r="B111" s="5" t="s">
        <v>51</v>
      </c>
      <c r="C111" s="5" t="s">
        <v>59</v>
      </c>
      <c r="D111" s="5" t="s">
        <v>24</v>
      </c>
      <c r="E111" s="6">
        <v>36371</v>
      </c>
      <c r="F111" s="5" t="s">
        <v>11</v>
      </c>
      <c r="G111" s="10">
        <v>26790</v>
      </c>
      <c r="H111" s="7">
        <v>2</v>
      </c>
      <c r="I111" s="12">
        <f>IF(OR(Table2[[#This Row],[Rating]]=4,Table2[[#This Row],[Rating]]=5), 0.05*Table2[[#This Row],[Salary]],0)</f>
        <v>0</v>
      </c>
      <c r="J111" s="14">
        <f>VLOOKUP(Table2[[#This Row],[Salary]],'Tax rates'!A$2:C$8, 2) + VLOOKUP(Table2[[#This Row],[Salary]],'Tax rates'!A$2:C$8, 3) * (Table2[[#This Row],[Salary]] - VLOOKUP(Table2[[#This Row],[Salary]],'Tax rates'!A$2:C$8,1))</f>
        <v>3024.2999999999997</v>
      </c>
      <c r="K111" s="14">
        <f>Table2[[#This Row],[Salary]]-Table2[[#This Row],[Taxes]]</f>
        <v>23765.7</v>
      </c>
      <c r="L111" s="15">
        <f>Table2[[#This Row],[After tax salary]]+Table2[[#This Row],[Bonus]]</f>
        <v>23765.7</v>
      </c>
    </row>
    <row r="112" spans="1:12" x14ac:dyDescent="0.25">
      <c r="A112" s="5" t="s">
        <v>28</v>
      </c>
      <c r="B112" s="5" t="s">
        <v>29</v>
      </c>
      <c r="C112" s="5" t="s">
        <v>30</v>
      </c>
      <c r="D112" s="5" t="s">
        <v>16</v>
      </c>
      <c r="E112" s="6">
        <v>36375</v>
      </c>
      <c r="F112" s="7"/>
      <c r="G112" s="10">
        <v>71300</v>
      </c>
      <c r="H112" s="7">
        <v>5</v>
      </c>
      <c r="I112" s="12">
        <f>IF(OR(Table2[[#This Row],[Rating]]=4,Table2[[#This Row],[Rating]]=5), 0.05*Table2[[#This Row],[Salary]],0)</f>
        <v>3565</v>
      </c>
      <c r="J112" s="14">
        <f>VLOOKUP(Table2[[#This Row],[Salary]],'Tax rates'!A$2:C$8, 2) + VLOOKUP(Table2[[#This Row],[Salary]],'Tax rates'!A$2:C$8, 3) * (Table2[[#This Row],[Salary]] - VLOOKUP(Table2[[#This Row],[Salary]],'Tax rates'!A$2:C$8,1))</f>
        <v>11625.5</v>
      </c>
      <c r="K112" s="14">
        <f>Table2[[#This Row],[Salary]]-Table2[[#This Row],[Taxes]]</f>
        <v>59674.5</v>
      </c>
      <c r="L112" s="15">
        <f>Table2[[#This Row],[After tax salary]]+Table2[[#This Row],[Bonus]]</f>
        <v>63239.5</v>
      </c>
    </row>
    <row r="113" spans="1:12" x14ac:dyDescent="0.25">
      <c r="A113" s="5" t="s">
        <v>360</v>
      </c>
      <c r="B113" s="5" t="s">
        <v>6</v>
      </c>
      <c r="C113" s="5" t="s">
        <v>30</v>
      </c>
      <c r="D113" s="5" t="s">
        <v>32</v>
      </c>
      <c r="E113" s="6">
        <v>36380</v>
      </c>
      <c r="F113" s="7"/>
      <c r="G113" s="10">
        <v>36052</v>
      </c>
      <c r="H113" s="7">
        <v>5</v>
      </c>
      <c r="I113" s="12">
        <f>IF(OR(Table2[[#This Row],[Rating]]=4,Table2[[#This Row],[Rating]]=5), 0.05*Table2[[#This Row],[Salary]],0)</f>
        <v>1802.6000000000001</v>
      </c>
      <c r="J113" s="14">
        <f>VLOOKUP(Table2[[#This Row],[Salary]],'Tax rates'!A$2:C$8, 2) + VLOOKUP(Table2[[#This Row],[Salary]],'Tax rates'!A$2:C$8, 3) * (Table2[[#This Row],[Salary]] - VLOOKUP(Table2[[#This Row],[Salary]],'Tax rates'!A$2:C$8,1))</f>
        <v>4135.74</v>
      </c>
      <c r="K113" s="14">
        <f>Table2[[#This Row],[Salary]]-Table2[[#This Row],[Taxes]]</f>
        <v>31916.260000000002</v>
      </c>
      <c r="L113" s="15">
        <f>Table2[[#This Row],[After tax salary]]+Table2[[#This Row],[Bonus]]</f>
        <v>33718.86</v>
      </c>
    </row>
    <row r="114" spans="1:12" x14ac:dyDescent="0.25">
      <c r="A114" s="5" t="s">
        <v>384</v>
      </c>
      <c r="B114" s="5" t="s">
        <v>27</v>
      </c>
      <c r="C114" s="5" t="s">
        <v>59</v>
      </c>
      <c r="D114" s="5" t="s">
        <v>3</v>
      </c>
      <c r="E114" s="6">
        <v>36392</v>
      </c>
      <c r="F114" s="5" t="s">
        <v>11</v>
      </c>
      <c r="G114" s="10">
        <v>51410</v>
      </c>
      <c r="H114" s="7">
        <v>4</v>
      </c>
      <c r="I114" s="12">
        <f>IF(OR(Table2[[#This Row],[Rating]]=4,Table2[[#This Row],[Rating]]=5), 0.05*Table2[[#This Row],[Salary]],0)</f>
        <v>2570.5</v>
      </c>
      <c r="J114" s="14">
        <f>VLOOKUP(Table2[[#This Row],[Salary]],'Tax rates'!A$2:C$8, 2) + VLOOKUP(Table2[[#This Row],[Salary]],'Tax rates'!A$2:C$8, 3) * (Table2[[#This Row],[Salary]] - VLOOKUP(Table2[[#This Row],[Salary]],'Tax rates'!A$2:C$8,1))</f>
        <v>7249.7</v>
      </c>
      <c r="K114" s="14">
        <f>Table2[[#This Row],[Salary]]-Table2[[#This Row],[Taxes]]</f>
        <v>44160.3</v>
      </c>
      <c r="L114" s="15">
        <f>Table2[[#This Row],[After tax salary]]+Table2[[#This Row],[Bonus]]</f>
        <v>46730.8</v>
      </c>
    </row>
    <row r="115" spans="1:12" x14ac:dyDescent="0.25">
      <c r="A115" s="5" t="s">
        <v>711</v>
      </c>
      <c r="B115" s="5" t="s">
        <v>6</v>
      </c>
      <c r="C115" s="5" t="s">
        <v>30</v>
      </c>
      <c r="D115" s="5" t="s">
        <v>3</v>
      </c>
      <c r="E115" s="6">
        <v>36393</v>
      </c>
      <c r="F115" s="5" t="s">
        <v>11</v>
      </c>
      <c r="G115" s="10">
        <v>65910</v>
      </c>
      <c r="H115" s="7">
        <v>5</v>
      </c>
      <c r="I115" s="12">
        <f>IF(OR(Table2[[#This Row],[Rating]]=4,Table2[[#This Row],[Rating]]=5), 0.05*Table2[[#This Row],[Salary]],0)</f>
        <v>3295.5</v>
      </c>
      <c r="J115" s="14">
        <f>VLOOKUP(Table2[[#This Row],[Salary]],'Tax rates'!A$2:C$8, 2) + VLOOKUP(Table2[[#This Row],[Salary]],'Tax rates'!A$2:C$8, 3) * (Table2[[#This Row],[Salary]] - VLOOKUP(Table2[[#This Row],[Salary]],'Tax rates'!A$2:C$8,1))</f>
        <v>10439.700000000001</v>
      </c>
      <c r="K115" s="14">
        <f>Table2[[#This Row],[Salary]]-Table2[[#This Row],[Taxes]]</f>
        <v>55470.3</v>
      </c>
      <c r="L115" s="15">
        <f>Table2[[#This Row],[After tax salary]]+Table2[[#This Row],[Bonus]]</f>
        <v>58765.8</v>
      </c>
    </row>
    <row r="116" spans="1:12" x14ac:dyDescent="0.25">
      <c r="A116" s="5" t="s">
        <v>203</v>
      </c>
      <c r="B116" s="5" t="s">
        <v>6</v>
      </c>
      <c r="C116" s="5" t="s">
        <v>2</v>
      </c>
      <c r="D116" s="5" t="s">
        <v>16</v>
      </c>
      <c r="E116" s="6">
        <v>36406</v>
      </c>
      <c r="F116" s="7"/>
      <c r="G116" s="10">
        <v>60800</v>
      </c>
      <c r="H116" s="7">
        <v>4</v>
      </c>
      <c r="I116" s="12">
        <f>IF(OR(Table2[[#This Row],[Rating]]=4,Table2[[#This Row],[Rating]]=5), 0.05*Table2[[#This Row],[Salary]],0)</f>
        <v>3040</v>
      </c>
      <c r="J116" s="14">
        <f>VLOOKUP(Table2[[#This Row],[Salary]],'Tax rates'!A$2:C$8, 2) + VLOOKUP(Table2[[#This Row],[Salary]],'Tax rates'!A$2:C$8, 3) * (Table2[[#This Row],[Salary]] - VLOOKUP(Table2[[#This Row],[Salary]],'Tax rates'!A$2:C$8,1))</f>
        <v>9315.5</v>
      </c>
      <c r="K116" s="14">
        <f>Table2[[#This Row],[Salary]]-Table2[[#This Row],[Taxes]]</f>
        <v>51484.5</v>
      </c>
      <c r="L116" s="15">
        <f>Table2[[#This Row],[After tax salary]]+Table2[[#This Row],[Bonus]]</f>
        <v>54524.5</v>
      </c>
    </row>
    <row r="117" spans="1:12" x14ac:dyDescent="0.25">
      <c r="A117" s="5" t="s">
        <v>169</v>
      </c>
      <c r="B117" s="5" t="s">
        <v>1</v>
      </c>
      <c r="C117" s="5" t="s">
        <v>2</v>
      </c>
      <c r="D117" s="5" t="s">
        <v>3</v>
      </c>
      <c r="E117" s="6">
        <v>36407</v>
      </c>
      <c r="F117" s="5" t="s">
        <v>25</v>
      </c>
      <c r="G117" s="10">
        <v>45880</v>
      </c>
      <c r="H117" s="7">
        <v>5</v>
      </c>
      <c r="I117" s="12">
        <f>IF(OR(Table2[[#This Row],[Rating]]=4,Table2[[#This Row],[Rating]]=5), 0.05*Table2[[#This Row],[Salary]],0)</f>
        <v>2294</v>
      </c>
      <c r="J117" s="14">
        <f>VLOOKUP(Table2[[#This Row],[Salary]],'Tax rates'!A$2:C$8, 2) + VLOOKUP(Table2[[#This Row],[Salary]],'Tax rates'!A$2:C$8, 3) * (Table2[[#This Row],[Salary]] - VLOOKUP(Table2[[#This Row],[Salary]],'Tax rates'!A$2:C$8,1))</f>
        <v>6033.1</v>
      </c>
      <c r="K117" s="14">
        <f>Table2[[#This Row],[Salary]]-Table2[[#This Row],[Taxes]]</f>
        <v>39846.9</v>
      </c>
      <c r="L117" s="15">
        <f>Table2[[#This Row],[After tax salary]]+Table2[[#This Row],[Bonus]]</f>
        <v>42140.9</v>
      </c>
    </row>
    <row r="118" spans="1:12" x14ac:dyDescent="0.25">
      <c r="A118" s="5" t="s">
        <v>237</v>
      </c>
      <c r="B118" s="5" t="s">
        <v>51</v>
      </c>
      <c r="C118" s="5" t="s">
        <v>18</v>
      </c>
      <c r="D118" s="5" t="s">
        <v>3</v>
      </c>
      <c r="E118" s="6">
        <v>36413</v>
      </c>
      <c r="F118" s="5" t="s">
        <v>4</v>
      </c>
      <c r="G118" s="10">
        <v>40060</v>
      </c>
      <c r="H118" s="7">
        <v>3</v>
      </c>
      <c r="I118" s="12">
        <f>IF(OR(Table2[[#This Row],[Rating]]=4,Table2[[#This Row],[Rating]]=5), 0.05*Table2[[#This Row],[Salary]],0)</f>
        <v>0</v>
      </c>
      <c r="J118" s="14">
        <f>VLOOKUP(Table2[[#This Row],[Salary]],'Tax rates'!A$2:C$8, 2) + VLOOKUP(Table2[[#This Row],[Salary]],'Tax rates'!A$2:C$8, 3) * (Table2[[#This Row],[Salary]] - VLOOKUP(Table2[[#This Row],[Salary]],'Tax rates'!A$2:C$8,1))</f>
        <v>4752.7</v>
      </c>
      <c r="K118" s="14">
        <f>Table2[[#This Row],[Salary]]-Table2[[#This Row],[Taxes]]</f>
        <v>35307.300000000003</v>
      </c>
      <c r="L118" s="15">
        <f>Table2[[#This Row],[After tax salary]]+Table2[[#This Row],[Bonus]]</f>
        <v>35307.300000000003</v>
      </c>
    </row>
    <row r="119" spans="1:12" x14ac:dyDescent="0.25">
      <c r="A119" s="5" t="s">
        <v>450</v>
      </c>
      <c r="B119" s="5" t="s">
        <v>51</v>
      </c>
      <c r="C119" s="5" t="s">
        <v>8</v>
      </c>
      <c r="D119" s="5" t="s">
        <v>3</v>
      </c>
      <c r="E119" s="6">
        <v>36414</v>
      </c>
      <c r="F119" s="5" t="s">
        <v>9</v>
      </c>
      <c r="G119" s="10">
        <v>39680</v>
      </c>
      <c r="H119" s="7">
        <v>5</v>
      </c>
      <c r="I119" s="12">
        <f>IF(OR(Table2[[#This Row],[Rating]]=4,Table2[[#This Row],[Rating]]=5), 0.05*Table2[[#This Row],[Salary]],0)</f>
        <v>1984</v>
      </c>
      <c r="J119" s="14">
        <f>VLOOKUP(Table2[[#This Row],[Salary]],'Tax rates'!A$2:C$8, 2) + VLOOKUP(Table2[[#This Row],[Salary]],'Tax rates'!A$2:C$8, 3) * (Table2[[#This Row],[Salary]] - VLOOKUP(Table2[[#This Row],[Salary]],'Tax rates'!A$2:C$8,1))</f>
        <v>4669.1000000000004</v>
      </c>
      <c r="K119" s="14">
        <f>Table2[[#This Row],[Salary]]-Table2[[#This Row],[Taxes]]</f>
        <v>35010.9</v>
      </c>
      <c r="L119" s="15">
        <f>Table2[[#This Row],[After tax salary]]+Table2[[#This Row],[Bonus]]</f>
        <v>36994.9</v>
      </c>
    </row>
    <row r="120" spans="1:12" x14ac:dyDescent="0.25">
      <c r="A120" s="5" t="s">
        <v>555</v>
      </c>
      <c r="B120" s="5" t="s">
        <v>1</v>
      </c>
      <c r="C120" s="5" t="s">
        <v>18</v>
      </c>
      <c r="D120" s="5" t="s">
        <v>24</v>
      </c>
      <c r="E120" s="6">
        <v>36422</v>
      </c>
      <c r="F120" s="5" t="s">
        <v>11</v>
      </c>
      <c r="G120" s="10">
        <v>17270</v>
      </c>
      <c r="H120" s="7">
        <v>5</v>
      </c>
      <c r="I120" s="12">
        <f>IF(OR(Table2[[#This Row],[Rating]]=4,Table2[[#This Row],[Rating]]=5), 0.05*Table2[[#This Row],[Salary]],0)</f>
        <v>863.5</v>
      </c>
      <c r="J120" s="14">
        <f>VLOOKUP(Table2[[#This Row],[Salary]],'Tax rates'!A$2:C$8, 2) + VLOOKUP(Table2[[#This Row],[Salary]],'Tax rates'!A$2:C$8, 3) * (Table2[[#This Row],[Salary]] - VLOOKUP(Table2[[#This Row],[Salary]],'Tax rates'!A$2:C$8,1))</f>
        <v>1881.9</v>
      </c>
      <c r="K120" s="14">
        <f>Table2[[#This Row],[Salary]]-Table2[[#This Row],[Taxes]]</f>
        <v>15388.1</v>
      </c>
      <c r="L120" s="15">
        <f>Table2[[#This Row],[After tax salary]]+Table2[[#This Row],[Bonus]]</f>
        <v>16251.6</v>
      </c>
    </row>
    <row r="121" spans="1:12" x14ac:dyDescent="0.25">
      <c r="A121" s="5" t="s">
        <v>633</v>
      </c>
      <c r="B121" s="5" t="s">
        <v>1</v>
      </c>
      <c r="C121" s="5" t="s">
        <v>2</v>
      </c>
      <c r="D121" s="5" t="s">
        <v>24</v>
      </c>
      <c r="E121" s="6">
        <v>36423</v>
      </c>
      <c r="F121" s="5" t="s">
        <v>9</v>
      </c>
      <c r="G121" s="10">
        <v>47350</v>
      </c>
      <c r="H121" s="7">
        <v>1</v>
      </c>
      <c r="I121" s="12">
        <f>IF(OR(Table2[[#This Row],[Rating]]=4,Table2[[#This Row],[Rating]]=5), 0.05*Table2[[#This Row],[Salary]],0)</f>
        <v>0</v>
      </c>
      <c r="J121" s="14">
        <f>VLOOKUP(Table2[[#This Row],[Salary]],'Tax rates'!A$2:C$8, 2) + VLOOKUP(Table2[[#This Row],[Salary]],'Tax rates'!A$2:C$8, 3) * (Table2[[#This Row],[Salary]] - VLOOKUP(Table2[[#This Row],[Salary]],'Tax rates'!A$2:C$8,1))</f>
        <v>6356.5</v>
      </c>
      <c r="K121" s="14">
        <f>Table2[[#This Row],[Salary]]-Table2[[#This Row],[Taxes]]</f>
        <v>40993.5</v>
      </c>
      <c r="L121" s="15">
        <f>Table2[[#This Row],[After tax salary]]+Table2[[#This Row],[Bonus]]</f>
        <v>40993.5</v>
      </c>
    </row>
    <row r="122" spans="1:12" x14ac:dyDescent="0.25">
      <c r="A122" s="5" t="s">
        <v>472</v>
      </c>
      <c r="B122" s="5" t="s">
        <v>1</v>
      </c>
      <c r="C122" s="5" t="s">
        <v>18</v>
      </c>
      <c r="D122" s="5" t="s">
        <v>3</v>
      </c>
      <c r="E122" s="6">
        <v>36431</v>
      </c>
      <c r="F122" s="5" t="s">
        <v>4</v>
      </c>
      <c r="G122" s="10">
        <v>35820</v>
      </c>
      <c r="H122" s="7">
        <v>2</v>
      </c>
      <c r="I122" s="12">
        <f>IF(OR(Table2[[#This Row],[Rating]]=4,Table2[[#This Row],[Rating]]=5), 0.05*Table2[[#This Row],[Salary]],0)</f>
        <v>0</v>
      </c>
      <c r="J122" s="14">
        <f>VLOOKUP(Table2[[#This Row],[Salary]],'Tax rates'!A$2:C$8, 2) + VLOOKUP(Table2[[#This Row],[Salary]],'Tax rates'!A$2:C$8, 3) * (Table2[[#This Row],[Salary]] - VLOOKUP(Table2[[#This Row],[Salary]],'Tax rates'!A$2:C$8,1))</f>
        <v>4107.8999999999996</v>
      </c>
      <c r="K122" s="14">
        <f>Table2[[#This Row],[Salary]]-Table2[[#This Row],[Taxes]]</f>
        <v>31712.1</v>
      </c>
      <c r="L122" s="15">
        <f>Table2[[#This Row],[After tax salary]]+Table2[[#This Row],[Bonus]]</f>
        <v>31712.1</v>
      </c>
    </row>
    <row r="123" spans="1:12" x14ac:dyDescent="0.25">
      <c r="A123" s="5" t="s">
        <v>473</v>
      </c>
      <c r="B123" s="5" t="s">
        <v>13</v>
      </c>
      <c r="C123" s="5" t="s">
        <v>18</v>
      </c>
      <c r="D123" s="5" t="s">
        <v>3</v>
      </c>
      <c r="E123" s="6">
        <v>36444</v>
      </c>
      <c r="F123" s="5" t="s">
        <v>4</v>
      </c>
      <c r="G123" s="10">
        <v>67280</v>
      </c>
      <c r="H123" s="7">
        <v>3</v>
      </c>
      <c r="I123" s="12">
        <f>IF(OR(Table2[[#This Row],[Rating]]=4,Table2[[#This Row],[Rating]]=5), 0.05*Table2[[#This Row],[Salary]],0)</f>
        <v>0</v>
      </c>
      <c r="J123" s="14">
        <f>VLOOKUP(Table2[[#This Row],[Salary]],'Tax rates'!A$2:C$8, 2) + VLOOKUP(Table2[[#This Row],[Salary]],'Tax rates'!A$2:C$8, 3) * (Table2[[#This Row],[Salary]] - VLOOKUP(Table2[[#This Row],[Salary]],'Tax rates'!A$2:C$8,1))</f>
        <v>10741.1</v>
      </c>
      <c r="K123" s="14">
        <f>Table2[[#This Row],[Salary]]-Table2[[#This Row],[Taxes]]</f>
        <v>56538.9</v>
      </c>
      <c r="L123" s="15">
        <f>Table2[[#This Row],[After tax salary]]+Table2[[#This Row],[Bonus]]</f>
        <v>56538.9</v>
      </c>
    </row>
    <row r="124" spans="1:12" x14ac:dyDescent="0.25">
      <c r="A124" s="5" t="s">
        <v>204</v>
      </c>
      <c r="B124" s="5" t="s">
        <v>6</v>
      </c>
      <c r="C124" s="5" t="s">
        <v>18</v>
      </c>
      <c r="D124" s="5" t="s">
        <v>16</v>
      </c>
      <c r="E124" s="6">
        <v>36455</v>
      </c>
      <c r="F124" s="7"/>
      <c r="G124" s="10">
        <v>23810</v>
      </c>
      <c r="H124" s="7">
        <v>4</v>
      </c>
      <c r="I124" s="12">
        <f>IF(OR(Table2[[#This Row],[Rating]]=4,Table2[[#This Row],[Rating]]=5), 0.05*Table2[[#This Row],[Salary]],0)</f>
        <v>1190.5</v>
      </c>
      <c r="J124" s="14">
        <f>VLOOKUP(Table2[[#This Row],[Salary]],'Tax rates'!A$2:C$8, 2) + VLOOKUP(Table2[[#This Row],[Salary]],'Tax rates'!A$2:C$8, 3) * (Table2[[#This Row],[Salary]] - VLOOKUP(Table2[[#This Row],[Salary]],'Tax rates'!A$2:C$8,1))</f>
        <v>2666.7</v>
      </c>
      <c r="K124" s="14">
        <f>Table2[[#This Row],[Salary]]-Table2[[#This Row],[Taxes]]</f>
        <v>21143.3</v>
      </c>
      <c r="L124" s="15">
        <f>Table2[[#This Row],[After tax salary]]+Table2[[#This Row],[Bonus]]</f>
        <v>22333.8</v>
      </c>
    </row>
    <row r="125" spans="1:12" x14ac:dyDescent="0.25">
      <c r="A125" s="5" t="s">
        <v>129</v>
      </c>
      <c r="B125" s="5" t="s">
        <v>6</v>
      </c>
      <c r="C125" s="5" t="s">
        <v>59</v>
      </c>
      <c r="D125" s="5" t="s">
        <v>3</v>
      </c>
      <c r="E125" s="6">
        <v>36456</v>
      </c>
      <c r="F125" s="5" t="s">
        <v>11</v>
      </c>
      <c r="G125" s="10">
        <v>43460</v>
      </c>
      <c r="H125" s="7">
        <v>5</v>
      </c>
      <c r="I125" s="12">
        <f>IF(OR(Table2[[#This Row],[Rating]]=4,Table2[[#This Row],[Rating]]=5), 0.05*Table2[[#This Row],[Salary]],0)</f>
        <v>2173</v>
      </c>
      <c r="J125" s="14">
        <f>VLOOKUP(Table2[[#This Row],[Salary]],'Tax rates'!A$2:C$8, 2) + VLOOKUP(Table2[[#This Row],[Salary]],'Tax rates'!A$2:C$8, 3) * (Table2[[#This Row],[Salary]] - VLOOKUP(Table2[[#This Row],[Salary]],'Tax rates'!A$2:C$8,1))</f>
        <v>5500.7</v>
      </c>
      <c r="K125" s="14">
        <f>Table2[[#This Row],[Salary]]-Table2[[#This Row],[Taxes]]</f>
        <v>37959.300000000003</v>
      </c>
      <c r="L125" s="15">
        <f>Table2[[#This Row],[After tax salary]]+Table2[[#This Row],[Bonus]]</f>
        <v>40132.300000000003</v>
      </c>
    </row>
    <row r="126" spans="1:12" x14ac:dyDescent="0.25">
      <c r="A126" s="5" t="s">
        <v>411</v>
      </c>
      <c r="B126" s="5" t="s">
        <v>29</v>
      </c>
      <c r="C126" s="5" t="s">
        <v>35</v>
      </c>
      <c r="D126" s="5" t="s">
        <v>32</v>
      </c>
      <c r="E126" s="6">
        <v>36458</v>
      </c>
      <c r="F126" s="7"/>
      <c r="G126" s="10">
        <v>32536</v>
      </c>
      <c r="H126" s="7">
        <v>2</v>
      </c>
      <c r="I126" s="12">
        <f>IF(OR(Table2[[#This Row],[Rating]]=4,Table2[[#This Row],[Rating]]=5), 0.05*Table2[[#This Row],[Salary]],0)</f>
        <v>0</v>
      </c>
      <c r="J126" s="14">
        <f>VLOOKUP(Table2[[#This Row],[Salary]],'Tax rates'!A$2:C$8, 2) + VLOOKUP(Table2[[#This Row],[Salary]],'Tax rates'!A$2:C$8, 3) * (Table2[[#This Row],[Salary]] - VLOOKUP(Table2[[#This Row],[Salary]],'Tax rates'!A$2:C$8,1))</f>
        <v>3713.8199999999997</v>
      </c>
      <c r="K126" s="14">
        <f>Table2[[#This Row],[Salary]]-Table2[[#This Row],[Taxes]]</f>
        <v>28822.18</v>
      </c>
      <c r="L126" s="15">
        <f>Table2[[#This Row],[After tax salary]]+Table2[[#This Row],[Bonus]]</f>
        <v>28822.18</v>
      </c>
    </row>
    <row r="127" spans="1:12" x14ac:dyDescent="0.25">
      <c r="A127" s="5" t="s">
        <v>286</v>
      </c>
      <c r="B127" s="5" t="s">
        <v>1</v>
      </c>
      <c r="C127" s="5" t="s">
        <v>35</v>
      </c>
      <c r="D127" s="5" t="s">
        <v>24</v>
      </c>
      <c r="E127" s="6">
        <v>36462</v>
      </c>
      <c r="F127" s="5" t="s">
        <v>11</v>
      </c>
      <c r="G127" s="10">
        <v>26185</v>
      </c>
      <c r="H127" s="7">
        <v>5</v>
      </c>
      <c r="I127" s="12">
        <f>IF(OR(Table2[[#This Row],[Rating]]=4,Table2[[#This Row],[Rating]]=5), 0.05*Table2[[#This Row],[Salary]],0)</f>
        <v>1309.25</v>
      </c>
      <c r="J127" s="14">
        <f>VLOOKUP(Table2[[#This Row],[Salary]],'Tax rates'!A$2:C$8, 2) + VLOOKUP(Table2[[#This Row],[Salary]],'Tax rates'!A$2:C$8, 3) * (Table2[[#This Row],[Salary]] - VLOOKUP(Table2[[#This Row],[Salary]],'Tax rates'!A$2:C$8,1))</f>
        <v>2951.7</v>
      </c>
      <c r="K127" s="14">
        <f>Table2[[#This Row],[Salary]]-Table2[[#This Row],[Taxes]]</f>
        <v>23233.3</v>
      </c>
      <c r="L127" s="15">
        <f>Table2[[#This Row],[After tax salary]]+Table2[[#This Row],[Bonus]]</f>
        <v>24542.55</v>
      </c>
    </row>
    <row r="128" spans="1:12" x14ac:dyDescent="0.25">
      <c r="A128" s="5" t="s">
        <v>115</v>
      </c>
      <c r="B128" s="5" t="s">
        <v>1</v>
      </c>
      <c r="C128" s="5" t="s">
        <v>59</v>
      </c>
      <c r="D128" s="5" t="s">
        <v>3</v>
      </c>
      <c r="E128" s="6">
        <v>36463</v>
      </c>
      <c r="F128" s="5" t="s">
        <v>4</v>
      </c>
      <c r="G128" s="10">
        <v>44220</v>
      </c>
      <c r="H128" s="7">
        <v>3</v>
      </c>
      <c r="I128" s="12">
        <f>IF(OR(Table2[[#This Row],[Rating]]=4,Table2[[#This Row],[Rating]]=5), 0.05*Table2[[#This Row],[Salary]],0)</f>
        <v>0</v>
      </c>
      <c r="J128" s="14">
        <f>VLOOKUP(Table2[[#This Row],[Salary]],'Tax rates'!A$2:C$8, 2) + VLOOKUP(Table2[[#This Row],[Salary]],'Tax rates'!A$2:C$8, 3) * (Table2[[#This Row],[Salary]] - VLOOKUP(Table2[[#This Row],[Salary]],'Tax rates'!A$2:C$8,1))</f>
        <v>5667.9</v>
      </c>
      <c r="K128" s="14">
        <f>Table2[[#This Row],[Salary]]-Table2[[#This Row],[Taxes]]</f>
        <v>38552.1</v>
      </c>
      <c r="L128" s="15">
        <f>Table2[[#This Row],[After tax salary]]+Table2[[#This Row],[Bonus]]</f>
        <v>38552.1</v>
      </c>
    </row>
    <row r="129" spans="1:12" x14ac:dyDescent="0.25">
      <c r="A129" s="5" t="s">
        <v>254</v>
      </c>
      <c r="B129" s="5" t="s">
        <v>29</v>
      </c>
      <c r="C129" s="5" t="s">
        <v>37</v>
      </c>
      <c r="D129" s="5" t="s">
        <v>3</v>
      </c>
      <c r="E129" s="6">
        <v>36466</v>
      </c>
      <c r="F129" s="5" t="s">
        <v>11</v>
      </c>
      <c r="G129" s="10">
        <v>68410</v>
      </c>
      <c r="H129" s="7">
        <v>5</v>
      </c>
      <c r="I129" s="12">
        <f>IF(OR(Table2[[#This Row],[Rating]]=4,Table2[[#This Row],[Rating]]=5), 0.05*Table2[[#This Row],[Salary]],0)</f>
        <v>3420.5</v>
      </c>
      <c r="J129" s="14">
        <f>VLOOKUP(Table2[[#This Row],[Salary]],'Tax rates'!A$2:C$8, 2) + VLOOKUP(Table2[[#This Row],[Salary]],'Tax rates'!A$2:C$8, 3) * (Table2[[#This Row],[Salary]] - VLOOKUP(Table2[[#This Row],[Salary]],'Tax rates'!A$2:C$8,1))</f>
        <v>10989.7</v>
      </c>
      <c r="K129" s="14">
        <f>Table2[[#This Row],[Salary]]-Table2[[#This Row],[Taxes]]</f>
        <v>57420.3</v>
      </c>
      <c r="L129" s="15">
        <f>Table2[[#This Row],[After tax salary]]+Table2[[#This Row],[Bonus]]</f>
        <v>60840.800000000003</v>
      </c>
    </row>
    <row r="130" spans="1:12" x14ac:dyDescent="0.25">
      <c r="A130" s="5" t="s">
        <v>362</v>
      </c>
      <c r="B130" s="5" t="s">
        <v>13</v>
      </c>
      <c r="C130" s="5" t="s">
        <v>75</v>
      </c>
      <c r="D130" s="5" t="s">
        <v>16</v>
      </c>
      <c r="E130" s="6">
        <v>36470</v>
      </c>
      <c r="F130" s="7"/>
      <c r="G130" s="10">
        <v>23560</v>
      </c>
      <c r="H130" s="7">
        <v>3</v>
      </c>
      <c r="I130" s="12">
        <f>IF(OR(Table2[[#This Row],[Rating]]=4,Table2[[#This Row],[Rating]]=5), 0.05*Table2[[#This Row],[Salary]],0)</f>
        <v>0</v>
      </c>
      <c r="J130" s="14">
        <f>VLOOKUP(Table2[[#This Row],[Salary]],'Tax rates'!A$2:C$8, 2) + VLOOKUP(Table2[[#This Row],[Salary]],'Tax rates'!A$2:C$8, 3) * (Table2[[#This Row],[Salary]] - VLOOKUP(Table2[[#This Row],[Salary]],'Tax rates'!A$2:C$8,1))</f>
        <v>2636.7</v>
      </c>
      <c r="K130" s="14">
        <f>Table2[[#This Row],[Salary]]-Table2[[#This Row],[Taxes]]</f>
        <v>20923.3</v>
      </c>
      <c r="L130" s="15">
        <f>Table2[[#This Row],[After tax salary]]+Table2[[#This Row],[Bonus]]</f>
        <v>20923.3</v>
      </c>
    </row>
    <row r="131" spans="1:12" x14ac:dyDescent="0.25">
      <c r="A131" s="5" t="s">
        <v>199</v>
      </c>
      <c r="B131" s="5" t="s">
        <v>1</v>
      </c>
      <c r="C131" s="5" t="s">
        <v>2</v>
      </c>
      <c r="D131" s="5" t="s">
        <v>16</v>
      </c>
      <c r="E131" s="6">
        <v>36479</v>
      </c>
      <c r="F131" s="7"/>
      <c r="G131" s="10">
        <v>54840</v>
      </c>
      <c r="H131" s="7">
        <v>4</v>
      </c>
      <c r="I131" s="12">
        <f>IF(OR(Table2[[#This Row],[Rating]]=4,Table2[[#This Row],[Rating]]=5), 0.05*Table2[[#This Row],[Salary]],0)</f>
        <v>2742</v>
      </c>
      <c r="J131" s="14">
        <f>VLOOKUP(Table2[[#This Row],[Salary]],'Tax rates'!A$2:C$8, 2) + VLOOKUP(Table2[[#This Row],[Salary]],'Tax rates'!A$2:C$8, 3) * (Table2[[#This Row],[Salary]] - VLOOKUP(Table2[[#This Row],[Salary]],'Tax rates'!A$2:C$8,1))</f>
        <v>8004.3</v>
      </c>
      <c r="K131" s="14">
        <f>Table2[[#This Row],[Salary]]-Table2[[#This Row],[Taxes]]</f>
        <v>46835.7</v>
      </c>
      <c r="L131" s="15">
        <f>Table2[[#This Row],[After tax salary]]+Table2[[#This Row],[Bonus]]</f>
        <v>49577.7</v>
      </c>
    </row>
    <row r="132" spans="1:12" x14ac:dyDescent="0.25">
      <c r="A132" s="5" t="s">
        <v>453</v>
      </c>
      <c r="B132" s="5" t="s">
        <v>13</v>
      </c>
      <c r="C132" s="5" t="s">
        <v>75</v>
      </c>
      <c r="D132" s="5" t="s">
        <v>32</v>
      </c>
      <c r="E132" s="6">
        <v>36487</v>
      </c>
      <c r="F132" s="7"/>
      <c r="G132" s="10">
        <v>33056</v>
      </c>
      <c r="H132" s="7">
        <v>5</v>
      </c>
      <c r="I132" s="12">
        <f>IF(OR(Table2[[#This Row],[Rating]]=4,Table2[[#This Row],[Rating]]=5), 0.05*Table2[[#This Row],[Salary]],0)</f>
        <v>1652.8000000000002</v>
      </c>
      <c r="J132" s="14">
        <f>VLOOKUP(Table2[[#This Row],[Salary]],'Tax rates'!A$2:C$8, 2) + VLOOKUP(Table2[[#This Row],[Salary]],'Tax rates'!A$2:C$8, 3) * (Table2[[#This Row],[Salary]] - VLOOKUP(Table2[[#This Row],[Salary]],'Tax rates'!A$2:C$8,1))</f>
        <v>3776.22</v>
      </c>
      <c r="K132" s="14">
        <f>Table2[[#This Row],[Salary]]-Table2[[#This Row],[Taxes]]</f>
        <v>29279.78</v>
      </c>
      <c r="L132" s="15">
        <f>Table2[[#This Row],[After tax salary]]+Table2[[#This Row],[Bonus]]</f>
        <v>30932.579999999998</v>
      </c>
    </row>
    <row r="133" spans="1:12" x14ac:dyDescent="0.25">
      <c r="A133" s="5" t="s">
        <v>280</v>
      </c>
      <c r="B133" s="5" t="s">
        <v>6</v>
      </c>
      <c r="C133" s="5" t="s">
        <v>18</v>
      </c>
      <c r="D133" s="5" t="s">
        <v>24</v>
      </c>
      <c r="E133" s="6">
        <v>36503</v>
      </c>
      <c r="F133" s="5" t="s">
        <v>21</v>
      </c>
      <c r="G133" s="10">
        <v>41615</v>
      </c>
      <c r="H133" s="7">
        <v>1</v>
      </c>
      <c r="I133" s="12">
        <f>IF(OR(Table2[[#This Row],[Rating]]=4,Table2[[#This Row],[Rating]]=5), 0.05*Table2[[#This Row],[Salary]],0)</f>
        <v>0</v>
      </c>
      <c r="J133" s="14">
        <f>VLOOKUP(Table2[[#This Row],[Salary]],'Tax rates'!A$2:C$8, 2) + VLOOKUP(Table2[[#This Row],[Salary]],'Tax rates'!A$2:C$8, 3) * (Table2[[#This Row],[Salary]] - VLOOKUP(Table2[[#This Row],[Salary]],'Tax rates'!A$2:C$8,1))</f>
        <v>5094.8</v>
      </c>
      <c r="K133" s="14">
        <f>Table2[[#This Row],[Salary]]-Table2[[#This Row],[Taxes]]</f>
        <v>36520.199999999997</v>
      </c>
      <c r="L133" s="15">
        <f>Table2[[#This Row],[After tax salary]]+Table2[[#This Row],[Bonus]]</f>
        <v>36520.199999999997</v>
      </c>
    </row>
    <row r="134" spans="1:12" x14ac:dyDescent="0.25">
      <c r="A134" s="5" t="s">
        <v>161</v>
      </c>
      <c r="B134" s="5" t="s">
        <v>1</v>
      </c>
      <c r="C134" s="5" t="s">
        <v>75</v>
      </c>
      <c r="D134" s="5" t="s">
        <v>3</v>
      </c>
      <c r="E134" s="6">
        <v>36506</v>
      </c>
      <c r="F134" s="5" t="s">
        <v>11</v>
      </c>
      <c r="G134" s="10">
        <v>32100</v>
      </c>
      <c r="H134" s="7">
        <v>1</v>
      </c>
      <c r="I134" s="12">
        <f>IF(OR(Table2[[#This Row],[Rating]]=4,Table2[[#This Row],[Rating]]=5), 0.05*Table2[[#This Row],[Salary]],0)</f>
        <v>0</v>
      </c>
      <c r="J134" s="14">
        <f>VLOOKUP(Table2[[#This Row],[Salary]],'Tax rates'!A$2:C$8, 2) + VLOOKUP(Table2[[#This Row],[Salary]],'Tax rates'!A$2:C$8, 3) * (Table2[[#This Row],[Salary]] - VLOOKUP(Table2[[#This Row],[Salary]],'Tax rates'!A$2:C$8,1))</f>
        <v>3661.5</v>
      </c>
      <c r="K134" s="14">
        <f>Table2[[#This Row],[Salary]]-Table2[[#This Row],[Taxes]]</f>
        <v>28438.5</v>
      </c>
      <c r="L134" s="15">
        <f>Table2[[#This Row],[After tax salary]]+Table2[[#This Row],[Bonus]]</f>
        <v>28438.5</v>
      </c>
    </row>
    <row r="135" spans="1:12" x14ac:dyDescent="0.25">
      <c r="A135" s="5" t="s">
        <v>48</v>
      </c>
      <c r="B135" s="5" t="s">
        <v>29</v>
      </c>
      <c r="C135" s="5" t="s">
        <v>2</v>
      </c>
      <c r="D135" s="5" t="s">
        <v>3</v>
      </c>
      <c r="E135" s="6">
        <v>36514</v>
      </c>
      <c r="F135" s="5" t="s">
        <v>11</v>
      </c>
      <c r="G135" s="10">
        <v>48250</v>
      </c>
      <c r="H135" s="7">
        <v>3</v>
      </c>
      <c r="I135" s="12">
        <f>IF(OR(Table2[[#This Row],[Rating]]=4,Table2[[#This Row],[Rating]]=5), 0.05*Table2[[#This Row],[Salary]],0)</f>
        <v>0</v>
      </c>
      <c r="J135" s="14">
        <f>VLOOKUP(Table2[[#This Row],[Salary]],'Tax rates'!A$2:C$8, 2) + VLOOKUP(Table2[[#This Row],[Salary]],'Tax rates'!A$2:C$8, 3) * (Table2[[#This Row],[Salary]] - VLOOKUP(Table2[[#This Row],[Salary]],'Tax rates'!A$2:C$8,1))</f>
        <v>6554.5</v>
      </c>
      <c r="K135" s="14">
        <f>Table2[[#This Row],[Salary]]-Table2[[#This Row],[Taxes]]</f>
        <v>41695.5</v>
      </c>
      <c r="L135" s="15">
        <f>Table2[[#This Row],[After tax salary]]+Table2[[#This Row],[Bonus]]</f>
        <v>41695.5</v>
      </c>
    </row>
    <row r="136" spans="1:12" x14ac:dyDescent="0.25">
      <c r="A136" s="5" t="s">
        <v>135</v>
      </c>
      <c r="B136" s="5" t="s">
        <v>6</v>
      </c>
      <c r="C136" s="5" t="s">
        <v>92</v>
      </c>
      <c r="D136" s="5" t="s">
        <v>32</v>
      </c>
      <c r="E136" s="6">
        <v>36519</v>
      </c>
      <c r="F136" s="5" t="s">
        <v>11</v>
      </c>
      <c r="G136" s="10">
        <v>61860</v>
      </c>
      <c r="H136" s="7">
        <v>5</v>
      </c>
      <c r="I136" s="12">
        <f>IF(OR(Table2[[#This Row],[Rating]]=4,Table2[[#This Row],[Rating]]=5), 0.05*Table2[[#This Row],[Salary]],0)</f>
        <v>3093</v>
      </c>
      <c r="J136" s="14">
        <f>VLOOKUP(Table2[[#This Row],[Salary]],'Tax rates'!A$2:C$8, 2) + VLOOKUP(Table2[[#This Row],[Salary]],'Tax rates'!A$2:C$8, 3) * (Table2[[#This Row],[Salary]] - VLOOKUP(Table2[[#This Row],[Salary]],'Tax rates'!A$2:C$8,1))</f>
        <v>9548.7000000000007</v>
      </c>
      <c r="K136" s="14">
        <f>Table2[[#This Row],[Salary]]-Table2[[#This Row],[Taxes]]</f>
        <v>52311.3</v>
      </c>
      <c r="L136" s="15">
        <f>Table2[[#This Row],[After tax salary]]+Table2[[#This Row],[Bonus]]</f>
        <v>55404.3</v>
      </c>
    </row>
    <row r="137" spans="1:12" x14ac:dyDescent="0.25">
      <c r="A137" s="5" t="s">
        <v>0</v>
      </c>
      <c r="B137" s="5" t="s">
        <v>1</v>
      </c>
      <c r="C137" s="5" t="s">
        <v>2</v>
      </c>
      <c r="D137" s="5" t="s">
        <v>3</v>
      </c>
      <c r="E137" s="6">
        <v>36526</v>
      </c>
      <c r="F137" s="5" t="s">
        <v>4</v>
      </c>
      <c r="G137" s="10">
        <v>29260</v>
      </c>
      <c r="H137" s="7">
        <v>4</v>
      </c>
      <c r="I137" s="12">
        <f>IF(OR(Table2[[#This Row],[Rating]]=4,Table2[[#This Row],[Rating]]=5), 0.05*Table2[[#This Row],[Salary]],0)</f>
        <v>1463</v>
      </c>
      <c r="J137" s="14">
        <f>VLOOKUP(Table2[[#This Row],[Salary]],'Tax rates'!A$2:C$8, 2) + VLOOKUP(Table2[[#This Row],[Salary]],'Tax rates'!A$2:C$8, 3) * (Table2[[#This Row],[Salary]] - VLOOKUP(Table2[[#This Row],[Salary]],'Tax rates'!A$2:C$8,1))</f>
        <v>3320.7</v>
      </c>
      <c r="K137" s="14">
        <f>Table2[[#This Row],[Salary]]-Table2[[#This Row],[Taxes]]</f>
        <v>25939.3</v>
      </c>
      <c r="L137" s="15">
        <f>Table2[[#This Row],[After tax salary]]+Table2[[#This Row],[Bonus]]</f>
        <v>27402.3</v>
      </c>
    </row>
    <row r="138" spans="1:12" x14ac:dyDescent="0.25">
      <c r="A138" s="5" t="s">
        <v>399</v>
      </c>
      <c r="B138" s="5" t="s">
        <v>6</v>
      </c>
      <c r="C138" s="5" t="s">
        <v>2</v>
      </c>
      <c r="D138" s="5" t="s">
        <v>24</v>
      </c>
      <c r="E138" s="6">
        <v>36531</v>
      </c>
      <c r="F138" s="5" t="s">
        <v>21</v>
      </c>
      <c r="G138" s="10">
        <v>20990</v>
      </c>
      <c r="H138" s="7">
        <v>4</v>
      </c>
      <c r="I138" s="12">
        <f>IF(OR(Table2[[#This Row],[Rating]]=4,Table2[[#This Row],[Rating]]=5), 0.05*Table2[[#This Row],[Salary]],0)</f>
        <v>1049.5</v>
      </c>
      <c r="J138" s="14">
        <f>VLOOKUP(Table2[[#This Row],[Salary]],'Tax rates'!A$2:C$8, 2) + VLOOKUP(Table2[[#This Row],[Salary]],'Tax rates'!A$2:C$8, 3) * (Table2[[#This Row],[Salary]] - VLOOKUP(Table2[[#This Row],[Salary]],'Tax rates'!A$2:C$8,1))</f>
        <v>2328.3000000000002</v>
      </c>
      <c r="K138" s="14">
        <f>Table2[[#This Row],[Salary]]-Table2[[#This Row],[Taxes]]</f>
        <v>18661.7</v>
      </c>
      <c r="L138" s="15">
        <f>Table2[[#This Row],[After tax salary]]+Table2[[#This Row],[Bonus]]</f>
        <v>19711.2</v>
      </c>
    </row>
    <row r="139" spans="1:12" x14ac:dyDescent="0.25">
      <c r="A139" s="5" t="s">
        <v>550</v>
      </c>
      <c r="B139" s="5" t="s">
        <v>6</v>
      </c>
      <c r="C139" s="5" t="s">
        <v>18</v>
      </c>
      <c r="D139" s="5" t="s">
        <v>3</v>
      </c>
      <c r="E139" s="6">
        <v>36535</v>
      </c>
      <c r="F139" s="5" t="s">
        <v>4</v>
      </c>
      <c r="G139" s="10">
        <v>76192</v>
      </c>
      <c r="H139" s="7">
        <v>4</v>
      </c>
      <c r="I139" s="12">
        <f>IF(OR(Table2[[#This Row],[Rating]]=4,Table2[[#This Row],[Rating]]=5), 0.05*Table2[[#This Row],[Salary]],0)</f>
        <v>3809.6000000000004</v>
      </c>
      <c r="J139" s="14">
        <f>VLOOKUP(Table2[[#This Row],[Salary]],'Tax rates'!A$2:C$8, 2) + VLOOKUP(Table2[[#This Row],[Salary]],'Tax rates'!A$2:C$8, 3) * (Table2[[#This Row],[Salary]] - VLOOKUP(Table2[[#This Row],[Salary]],'Tax rates'!A$2:C$8,1))</f>
        <v>12701.74</v>
      </c>
      <c r="K139" s="14">
        <f>Table2[[#This Row],[Salary]]-Table2[[#This Row],[Taxes]]</f>
        <v>63490.26</v>
      </c>
      <c r="L139" s="15">
        <f>Table2[[#This Row],[After tax salary]]+Table2[[#This Row],[Bonus]]</f>
        <v>67299.86</v>
      </c>
    </row>
    <row r="140" spans="1:12" x14ac:dyDescent="0.25">
      <c r="A140" s="5" t="s">
        <v>326</v>
      </c>
      <c r="B140" s="5" t="s">
        <v>6</v>
      </c>
      <c r="C140" s="5" t="s">
        <v>30</v>
      </c>
      <c r="D140" s="5" t="s">
        <v>3</v>
      </c>
      <c r="E140" s="6">
        <v>36536</v>
      </c>
      <c r="F140" s="5" t="s">
        <v>4</v>
      </c>
      <c r="G140" s="10">
        <v>62400</v>
      </c>
      <c r="H140" s="7">
        <v>4</v>
      </c>
      <c r="I140" s="12">
        <f>IF(OR(Table2[[#This Row],[Rating]]=4,Table2[[#This Row],[Rating]]=5), 0.05*Table2[[#This Row],[Salary]],0)</f>
        <v>3120</v>
      </c>
      <c r="J140" s="14">
        <f>VLOOKUP(Table2[[#This Row],[Salary]],'Tax rates'!A$2:C$8, 2) + VLOOKUP(Table2[[#This Row],[Salary]],'Tax rates'!A$2:C$8, 3) * (Table2[[#This Row],[Salary]] - VLOOKUP(Table2[[#This Row],[Salary]],'Tax rates'!A$2:C$8,1))</f>
        <v>9667.5</v>
      </c>
      <c r="K140" s="14">
        <f>Table2[[#This Row],[Salary]]-Table2[[#This Row],[Taxes]]</f>
        <v>52732.5</v>
      </c>
      <c r="L140" s="15">
        <f>Table2[[#This Row],[After tax salary]]+Table2[[#This Row],[Bonus]]</f>
        <v>55852.5</v>
      </c>
    </row>
    <row r="141" spans="1:12" x14ac:dyDescent="0.25">
      <c r="A141" s="5" t="s">
        <v>60</v>
      </c>
      <c r="B141" s="5" t="s">
        <v>1</v>
      </c>
      <c r="C141" s="5" t="s">
        <v>35</v>
      </c>
      <c r="D141" s="5" t="s">
        <v>3</v>
      </c>
      <c r="E141" s="6">
        <v>36549</v>
      </c>
      <c r="F141" s="5" t="s">
        <v>11</v>
      </c>
      <c r="G141" s="10">
        <v>35460</v>
      </c>
      <c r="H141" s="7">
        <v>1</v>
      </c>
      <c r="I141" s="12">
        <f>IF(OR(Table2[[#This Row],[Rating]]=4,Table2[[#This Row],[Rating]]=5), 0.05*Table2[[#This Row],[Salary]],0)</f>
        <v>0</v>
      </c>
      <c r="J141" s="14">
        <f>VLOOKUP(Table2[[#This Row],[Salary]],'Tax rates'!A$2:C$8, 2) + VLOOKUP(Table2[[#This Row],[Salary]],'Tax rates'!A$2:C$8, 3) * (Table2[[#This Row],[Salary]] - VLOOKUP(Table2[[#This Row],[Salary]],'Tax rates'!A$2:C$8,1))</f>
        <v>4064.7</v>
      </c>
      <c r="K141" s="14">
        <f>Table2[[#This Row],[Salary]]-Table2[[#This Row],[Taxes]]</f>
        <v>31395.3</v>
      </c>
      <c r="L141" s="15">
        <f>Table2[[#This Row],[After tax salary]]+Table2[[#This Row],[Bonus]]</f>
        <v>31395.3</v>
      </c>
    </row>
    <row r="142" spans="1:12" x14ac:dyDescent="0.25">
      <c r="A142" s="5" t="s">
        <v>139</v>
      </c>
      <c r="B142" s="5" t="s">
        <v>29</v>
      </c>
      <c r="C142" s="5" t="s">
        <v>2</v>
      </c>
      <c r="D142" s="5" t="s">
        <v>32</v>
      </c>
      <c r="E142" s="6">
        <v>36557</v>
      </c>
      <c r="F142" s="7"/>
      <c r="G142" s="10">
        <v>15552</v>
      </c>
      <c r="H142" s="7">
        <v>4</v>
      </c>
      <c r="I142" s="12">
        <f>IF(OR(Table2[[#This Row],[Rating]]=4,Table2[[#This Row],[Rating]]=5), 0.05*Table2[[#This Row],[Salary]],0)</f>
        <v>777.6</v>
      </c>
      <c r="J142" s="14">
        <f>VLOOKUP(Table2[[#This Row],[Salary]],'Tax rates'!A$2:C$8, 2) + VLOOKUP(Table2[[#This Row],[Salary]],'Tax rates'!A$2:C$8, 3) * (Table2[[#This Row],[Salary]] - VLOOKUP(Table2[[#This Row],[Salary]],'Tax rates'!A$2:C$8,1))</f>
        <v>1675.74</v>
      </c>
      <c r="K142" s="14">
        <f>Table2[[#This Row],[Salary]]-Table2[[#This Row],[Taxes]]</f>
        <v>13876.26</v>
      </c>
      <c r="L142" s="15">
        <f>Table2[[#This Row],[After tax salary]]+Table2[[#This Row],[Bonus]]</f>
        <v>14653.86</v>
      </c>
    </row>
    <row r="143" spans="1:12" x14ac:dyDescent="0.25">
      <c r="A143" s="5" t="s">
        <v>292</v>
      </c>
      <c r="B143" s="5" t="s">
        <v>29</v>
      </c>
      <c r="C143" s="5" t="s">
        <v>102</v>
      </c>
      <c r="D143" s="5" t="s">
        <v>24</v>
      </c>
      <c r="E143" s="6">
        <v>36557</v>
      </c>
      <c r="F143" s="5" t="s">
        <v>4</v>
      </c>
      <c r="G143" s="10">
        <v>31250</v>
      </c>
      <c r="H143" s="7">
        <v>2</v>
      </c>
      <c r="I143" s="12">
        <f>IF(OR(Table2[[#This Row],[Rating]]=4,Table2[[#This Row],[Rating]]=5), 0.05*Table2[[#This Row],[Salary]],0)</f>
        <v>0</v>
      </c>
      <c r="J143" s="14">
        <f>VLOOKUP(Table2[[#This Row],[Salary]],'Tax rates'!A$2:C$8, 2) + VLOOKUP(Table2[[#This Row],[Salary]],'Tax rates'!A$2:C$8, 3) * (Table2[[#This Row],[Salary]] - VLOOKUP(Table2[[#This Row],[Salary]],'Tax rates'!A$2:C$8,1))</f>
        <v>3559.5</v>
      </c>
      <c r="K143" s="14">
        <f>Table2[[#This Row],[Salary]]-Table2[[#This Row],[Taxes]]</f>
        <v>27690.5</v>
      </c>
      <c r="L143" s="15">
        <f>Table2[[#This Row],[After tax salary]]+Table2[[#This Row],[Bonus]]</f>
        <v>27690.5</v>
      </c>
    </row>
    <row r="144" spans="1:12" x14ac:dyDescent="0.25">
      <c r="A144" s="5" t="s">
        <v>391</v>
      </c>
      <c r="B144" s="5" t="s">
        <v>51</v>
      </c>
      <c r="C144" s="5" t="s">
        <v>37</v>
      </c>
      <c r="D144" s="5" t="s">
        <v>3</v>
      </c>
      <c r="E144" s="6">
        <v>36567</v>
      </c>
      <c r="F144" s="5" t="s">
        <v>9</v>
      </c>
      <c r="G144" s="10">
        <v>45450</v>
      </c>
      <c r="H144" s="7">
        <v>5</v>
      </c>
      <c r="I144" s="12">
        <f>IF(OR(Table2[[#This Row],[Rating]]=4,Table2[[#This Row],[Rating]]=5), 0.05*Table2[[#This Row],[Salary]],0)</f>
        <v>2272.5</v>
      </c>
      <c r="J144" s="14">
        <f>VLOOKUP(Table2[[#This Row],[Salary]],'Tax rates'!A$2:C$8, 2) + VLOOKUP(Table2[[#This Row],[Salary]],'Tax rates'!A$2:C$8, 3) * (Table2[[#This Row],[Salary]] - VLOOKUP(Table2[[#This Row],[Salary]],'Tax rates'!A$2:C$8,1))</f>
        <v>5938.5</v>
      </c>
      <c r="K144" s="14">
        <f>Table2[[#This Row],[Salary]]-Table2[[#This Row],[Taxes]]</f>
        <v>39511.5</v>
      </c>
      <c r="L144" s="15">
        <f>Table2[[#This Row],[After tax salary]]+Table2[[#This Row],[Bonus]]</f>
        <v>41784</v>
      </c>
    </row>
    <row r="145" spans="1:12" x14ac:dyDescent="0.25">
      <c r="A145" s="5" t="s">
        <v>516</v>
      </c>
      <c r="B145" s="5" t="s">
        <v>13</v>
      </c>
      <c r="C145" s="5" t="s">
        <v>57</v>
      </c>
      <c r="D145" s="5" t="s">
        <v>3</v>
      </c>
      <c r="E145" s="6">
        <v>36569</v>
      </c>
      <c r="F145" s="5" t="s">
        <v>11</v>
      </c>
      <c r="G145" s="10">
        <v>75060</v>
      </c>
      <c r="H145" s="7">
        <v>5</v>
      </c>
      <c r="I145" s="12">
        <f>IF(OR(Table2[[#This Row],[Rating]]=4,Table2[[#This Row],[Rating]]=5), 0.05*Table2[[#This Row],[Salary]],0)</f>
        <v>3753</v>
      </c>
      <c r="J145" s="14">
        <f>VLOOKUP(Table2[[#This Row],[Salary]],'Tax rates'!A$2:C$8, 2) + VLOOKUP(Table2[[#This Row],[Salary]],'Tax rates'!A$2:C$8, 3) * (Table2[[#This Row],[Salary]] - VLOOKUP(Table2[[#This Row],[Salary]],'Tax rates'!A$2:C$8,1))</f>
        <v>12452.7</v>
      </c>
      <c r="K145" s="14">
        <f>Table2[[#This Row],[Salary]]-Table2[[#This Row],[Taxes]]</f>
        <v>62607.3</v>
      </c>
      <c r="L145" s="15">
        <f>Table2[[#This Row],[After tax salary]]+Table2[[#This Row],[Bonus]]</f>
        <v>66360.3</v>
      </c>
    </row>
    <row r="146" spans="1:12" x14ac:dyDescent="0.25">
      <c r="A146" s="5" t="s">
        <v>167</v>
      </c>
      <c r="B146" s="5" t="s">
        <v>51</v>
      </c>
      <c r="C146" s="5" t="s">
        <v>18</v>
      </c>
      <c r="D146" s="5" t="s">
        <v>16</v>
      </c>
      <c r="E146" s="6">
        <v>36600</v>
      </c>
      <c r="F146" s="7"/>
      <c r="G146" s="10">
        <v>41840</v>
      </c>
      <c r="H146" s="7">
        <v>2</v>
      </c>
      <c r="I146" s="12">
        <f>IF(OR(Table2[[#This Row],[Rating]]=4,Table2[[#This Row],[Rating]]=5), 0.05*Table2[[#This Row],[Salary]],0)</f>
        <v>0</v>
      </c>
      <c r="J146" s="14">
        <f>VLOOKUP(Table2[[#This Row],[Salary]],'Tax rates'!A$2:C$8, 2) + VLOOKUP(Table2[[#This Row],[Salary]],'Tax rates'!A$2:C$8, 3) * (Table2[[#This Row],[Salary]] - VLOOKUP(Table2[[#This Row],[Salary]],'Tax rates'!A$2:C$8,1))</f>
        <v>5144.3</v>
      </c>
      <c r="K146" s="14">
        <f>Table2[[#This Row],[Salary]]-Table2[[#This Row],[Taxes]]</f>
        <v>36695.699999999997</v>
      </c>
      <c r="L146" s="15">
        <f>Table2[[#This Row],[After tax salary]]+Table2[[#This Row],[Bonus]]</f>
        <v>36695.699999999997</v>
      </c>
    </row>
    <row r="147" spans="1:12" x14ac:dyDescent="0.25">
      <c r="A147" s="5" t="s">
        <v>451</v>
      </c>
      <c r="B147" s="5" t="s">
        <v>1</v>
      </c>
      <c r="C147" s="5" t="s">
        <v>75</v>
      </c>
      <c r="D147" s="5" t="s">
        <v>32</v>
      </c>
      <c r="E147" s="6">
        <v>36602</v>
      </c>
      <c r="F147" s="7"/>
      <c r="G147" s="10">
        <v>30080</v>
      </c>
      <c r="H147" s="7">
        <v>3</v>
      </c>
      <c r="I147" s="12">
        <f>IF(OR(Table2[[#This Row],[Rating]]=4,Table2[[#This Row],[Rating]]=5), 0.05*Table2[[#This Row],[Salary]],0)</f>
        <v>0</v>
      </c>
      <c r="J147" s="14">
        <f>VLOOKUP(Table2[[#This Row],[Salary]],'Tax rates'!A$2:C$8, 2) + VLOOKUP(Table2[[#This Row],[Salary]],'Tax rates'!A$2:C$8, 3) * (Table2[[#This Row],[Salary]] - VLOOKUP(Table2[[#This Row],[Salary]],'Tax rates'!A$2:C$8,1))</f>
        <v>3419.1</v>
      </c>
      <c r="K147" s="14">
        <f>Table2[[#This Row],[Salary]]-Table2[[#This Row],[Taxes]]</f>
        <v>26660.9</v>
      </c>
      <c r="L147" s="15">
        <f>Table2[[#This Row],[After tax salary]]+Table2[[#This Row],[Bonus]]</f>
        <v>26660.9</v>
      </c>
    </row>
    <row r="148" spans="1:12" x14ac:dyDescent="0.25">
      <c r="A148" s="5" t="s">
        <v>97</v>
      </c>
      <c r="B148" s="5" t="s">
        <v>1</v>
      </c>
      <c r="C148" s="5" t="s">
        <v>18</v>
      </c>
      <c r="D148" s="5" t="s">
        <v>24</v>
      </c>
      <c r="E148" s="6">
        <v>36604</v>
      </c>
      <c r="F148" s="5" t="s">
        <v>11</v>
      </c>
      <c r="G148" s="10">
        <v>46710</v>
      </c>
      <c r="H148" s="7">
        <v>3</v>
      </c>
      <c r="I148" s="12">
        <f>IF(OR(Table2[[#This Row],[Rating]]=4,Table2[[#This Row],[Rating]]=5), 0.05*Table2[[#This Row],[Salary]],0)</f>
        <v>0</v>
      </c>
      <c r="J148" s="14">
        <f>VLOOKUP(Table2[[#This Row],[Salary]],'Tax rates'!A$2:C$8, 2) + VLOOKUP(Table2[[#This Row],[Salary]],'Tax rates'!A$2:C$8, 3) * (Table2[[#This Row],[Salary]] - VLOOKUP(Table2[[#This Row],[Salary]],'Tax rates'!A$2:C$8,1))</f>
        <v>6215.7</v>
      </c>
      <c r="K148" s="14">
        <f>Table2[[#This Row],[Salary]]-Table2[[#This Row],[Taxes]]</f>
        <v>40494.300000000003</v>
      </c>
      <c r="L148" s="15">
        <f>Table2[[#This Row],[After tax salary]]+Table2[[#This Row],[Bonus]]</f>
        <v>40494.300000000003</v>
      </c>
    </row>
    <row r="149" spans="1:12" x14ac:dyDescent="0.25">
      <c r="A149" s="5" t="s">
        <v>745</v>
      </c>
      <c r="B149" s="5" t="s">
        <v>1</v>
      </c>
      <c r="C149" s="5" t="s">
        <v>35</v>
      </c>
      <c r="D149" s="5" t="s">
        <v>3</v>
      </c>
      <c r="E149" s="6">
        <v>36619</v>
      </c>
      <c r="F149" s="5" t="s">
        <v>25</v>
      </c>
      <c r="G149" s="10">
        <v>71970</v>
      </c>
      <c r="H149" s="7">
        <v>4</v>
      </c>
      <c r="I149" s="12">
        <f>IF(OR(Table2[[#This Row],[Rating]]=4,Table2[[#This Row],[Rating]]=5), 0.05*Table2[[#This Row],[Salary]],0)</f>
        <v>3598.5</v>
      </c>
      <c r="J149" s="14">
        <f>VLOOKUP(Table2[[#This Row],[Salary]],'Tax rates'!A$2:C$8, 2) + VLOOKUP(Table2[[#This Row],[Salary]],'Tax rates'!A$2:C$8, 3) * (Table2[[#This Row],[Salary]] - VLOOKUP(Table2[[#This Row],[Salary]],'Tax rates'!A$2:C$8,1))</f>
        <v>11772.9</v>
      </c>
      <c r="K149" s="14">
        <f>Table2[[#This Row],[Salary]]-Table2[[#This Row],[Taxes]]</f>
        <v>60197.1</v>
      </c>
      <c r="L149" s="15">
        <f>Table2[[#This Row],[After tax salary]]+Table2[[#This Row],[Bonus]]</f>
        <v>63795.6</v>
      </c>
    </row>
    <row r="150" spans="1:12" x14ac:dyDescent="0.25">
      <c r="A150" s="5" t="s">
        <v>142</v>
      </c>
      <c r="B150" s="5" t="s">
        <v>13</v>
      </c>
      <c r="C150" s="5" t="s">
        <v>73</v>
      </c>
      <c r="D150" s="5" t="s">
        <v>3</v>
      </c>
      <c r="E150" s="6">
        <v>36619</v>
      </c>
      <c r="F150" s="5" t="s">
        <v>21</v>
      </c>
      <c r="G150" s="10">
        <v>56440</v>
      </c>
      <c r="H150" s="7">
        <v>1</v>
      </c>
      <c r="I150" s="12">
        <f>IF(OR(Table2[[#This Row],[Rating]]=4,Table2[[#This Row],[Rating]]=5), 0.05*Table2[[#This Row],[Salary]],0)</f>
        <v>0</v>
      </c>
      <c r="J150" s="14">
        <f>VLOOKUP(Table2[[#This Row],[Salary]],'Tax rates'!A$2:C$8, 2) + VLOOKUP(Table2[[#This Row],[Salary]],'Tax rates'!A$2:C$8, 3) * (Table2[[#This Row],[Salary]] - VLOOKUP(Table2[[#This Row],[Salary]],'Tax rates'!A$2:C$8,1))</f>
        <v>8356.2999999999993</v>
      </c>
      <c r="K150" s="14">
        <f>Table2[[#This Row],[Salary]]-Table2[[#This Row],[Taxes]]</f>
        <v>48083.7</v>
      </c>
      <c r="L150" s="15">
        <f>Table2[[#This Row],[After tax salary]]+Table2[[#This Row],[Bonus]]</f>
        <v>48083.7</v>
      </c>
    </row>
    <row r="151" spans="1:12" x14ac:dyDescent="0.25">
      <c r="A151" s="5" t="s">
        <v>540</v>
      </c>
      <c r="B151" s="5" t="s">
        <v>6</v>
      </c>
      <c r="C151" s="5" t="s">
        <v>23</v>
      </c>
      <c r="D151" s="5" t="s">
        <v>16</v>
      </c>
      <c r="E151" s="6">
        <v>36623</v>
      </c>
      <c r="F151" s="7"/>
      <c r="G151" s="10">
        <v>30300</v>
      </c>
      <c r="H151" s="7">
        <v>1</v>
      </c>
      <c r="I151" s="12">
        <f>IF(OR(Table2[[#This Row],[Rating]]=4,Table2[[#This Row],[Rating]]=5), 0.05*Table2[[#This Row],[Salary]],0)</f>
        <v>0</v>
      </c>
      <c r="J151" s="14">
        <f>VLOOKUP(Table2[[#This Row],[Salary]],'Tax rates'!A$2:C$8, 2) + VLOOKUP(Table2[[#This Row],[Salary]],'Tax rates'!A$2:C$8, 3) * (Table2[[#This Row],[Salary]] - VLOOKUP(Table2[[#This Row],[Salary]],'Tax rates'!A$2:C$8,1))</f>
        <v>3445.5</v>
      </c>
      <c r="K151" s="14">
        <f>Table2[[#This Row],[Salary]]-Table2[[#This Row],[Taxes]]</f>
        <v>26854.5</v>
      </c>
      <c r="L151" s="15">
        <f>Table2[[#This Row],[After tax salary]]+Table2[[#This Row],[Bonus]]</f>
        <v>26854.5</v>
      </c>
    </row>
    <row r="152" spans="1:12" x14ac:dyDescent="0.25">
      <c r="A152" s="5" t="s">
        <v>646</v>
      </c>
      <c r="B152" s="5" t="s">
        <v>6</v>
      </c>
      <c r="C152" s="5" t="s">
        <v>18</v>
      </c>
      <c r="D152" s="5" t="s">
        <v>16</v>
      </c>
      <c r="E152" s="6">
        <v>36637</v>
      </c>
      <c r="F152" s="7"/>
      <c r="G152" s="10">
        <v>57600</v>
      </c>
      <c r="H152" s="7">
        <v>3</v>
      </c>
      <c r="I152" s="12">
        <f>IF(OR(Table2[[#This Row],[Rating]]=4,Table2[[#This Row],[Rating]]=5), 0.05*Table2[[#This Row],[Salary]],0)</f>
        <v>0</v>
      </c>
      <c r="J152" s="14">
        <f>VLOOKUP(Table2[[#This Row],[Salary]],'Tax rates'!A$2:C$8, 2) + VLOOKUP(Table2[[#This Row],[Salary]],'Tax rates'!A$2:C$8, 3) * (Table2[[#This Row],[Salary]] - VLOOKUP(Table2[[#This Row],[Salary]],'Tax rates'!A$2:C$8,1))</f>
        <v>8611.5</v>
      </c>
      <c r="K152" s="14">
        <f>Table2[[#This Row],[Salary]]-Table2[[#This Row],[Taxes]]</f>
        <v>48988.5</v>
      </c>
      <c r="L152" s="15">
        <f>Table2[[#This Row],[After tax salary]]+Table2[[#This Row],[Bonus]]</f>
        <v>48988.5</v>
      </c>
    </row>
    <row r="153" spans="1:12" x14ac:dyDescent="0.25">
      <c r="A153" s="5" t="s">
        <v>303</v>
      </c>
      <c r="B153" s="5" t="s">
        <v>6</v>
      </c>
      <c r="C153" s="5" t="s">
        <v>2</v>
      </c>
      <c r="D153" s="5" t="s">
        <v>16</v>
      </c>
      <c r="E153" s="6">
        <v>36642</v>
      </c>
      <c r="F153" s="7"/>
      <c r="G153" s="10">
        <v>77760</v>
      </c>
      <c r="H153" s="7">
        <v>3</v>
      </c>
      <c r="I153" s="12">
        <f>IF(OR(Table2[[#This Row],[Rating]]=4,Table2[[#This Row],[Rating]]=5), 0.05*Table2[[#This Row],[Salary]],0)</f>
        <v>0</v>
      </c>
      <c r="J153" s="14">
        <f>VLOOKUP(Table2[[#This Row],[Salary]],'Tax rates'!A$2:C$8, 2) + VLOOKUP(Table2[[#This Row],[Salary]],'Tax rates'!A$2:C$8, 3) * (Table2[[#This Row],[Salary]] - VLOOKUP(Table2[[#This Row],[Salary]],'Tax rates'!A$2:C$8,1))</f>
        <v>13046.7</v>
      </c>
      <c r="K153" s="14">
        <f>Table2[[#This Row],[Salary]]-Table2[[#This Row],[Taxes]]</f>
        <v>64713.3</v>
      </c>
      <c r="L153" s="15">
        <f>Table2[[#This Row],[After tax salary]]+Table2[[#This Row],[Bonus]]</f>
        <v>64713.3</v>
      </c>
    </row>
    <row r="154" spans="1:12" x14ac:dyDescent="0.25">
      <c r="A154" s="5" t="s">
        <v>417</v>
      </c>
      <c r="B154" s="5" t="s">
        <v>13</v>
      </c>
      <c r="C154" s="5" t="s">
        <v>8</v>
      </c>
      <c r="D154" s="5" t="s">
        <v>3</v>
      </c>
      <c r="E154" s="6">
        <v>36643</v>
      </c>
      <c r="F154" s="5" t="s">
        <v>11</v>
      </c>
      <c r="G154" s="10">
        <v>71380</v>
      </c>
      <c r="H154" s="7">
        <v>2</v>
      </c>
      <c r="I154" s="12">
        <f>IF(OR(Table2[[#This Row],[Rating]]=4,Table2[[#This Row],[Rating]]=5), 0.05*Table2[[#This Row],[Salary]],0)</f>
        <v>0</v>
      </c>
      <c r="J154" s="14">
        <f>VLOOKUP(Table2[[#This Row],[Salary]],'Tax rates'!A$2:C$8, 2) + VLOOKUP(Table2[[#This Row],[Salary]],'Tax rates'!A$2:C$8, 3) * (Table2[[#This Row],[Salary]] - VLOOKUP(Table2[[#This Row],[Salary]],'Tax rates'!A$2:C$8,1))</f>
        <v>11643.1</v>
      </c>
      <c r="K154" s="14">
        <f>Table2[[#This Row],[Salary]]-Table2[[#This Row],[Taxes]]</f>
        <v>59736.9</v>
      </c>
      <c r="L154" s="15">
        <f>Table2[[#This Row],[After tax salary]]+Table2[[#This Row],[Bonus]]</f>
        <v>59736.9</v>
      </c>
    </row>
    <row r="155" spans="1:12" x14ac:dyDescent="0.25">
      <c r="A155" s="5" t="s">
        <v>134</v>
      </c>
      <c r="B155" s="5" t="s">
        <v>13</v>
      </c>
      <c r="C155" s="5" t="s">
        <v>59</v>
      </c>
      <c r="D155" s="5" t="s">
        <v>3</v>
      </c>
      <c r="E155" s="6">
        <v>36662</v>
      </c>
      <c r="F155" s="5" t="s">
        <v>11</v>
      </c>
      <c r="G155" s="10">
        <v>52490</v>
      </c>
      <c r="H155" s="7">
        <v>4</v>
      </c>
      <c r="I155" s="12">
        <f>IF(OR(Table2[[#This Row],[Rating]]=4,Table2[[#This Row],[Rating]]=5), 0.05*Table2[[#This Row],[Salary]],0)</f>
        <v>2624.5</v>
      </c>
      <c r="J155" s="14">
        <f>VLOOKUP(Table2[[#This Row],[Salary]],'Tax rates'!A$2:C$8, 2) + VLOOKUP(Table2[[#This Row],[Salary]],'Tax rates'!A$2:C$8, 3) * (Table2[[#This Row],[Salary]] - VLOOKUP(Table2[[#This Row],[Salary]],'Tax rates'!A$2:C$8,1))</f>
        <v>7487.3</v>
      </c>
      <c r="K155" s="14">
        <f>Table2[[#This Row],[Salary]]-Table2[[#This Row],[Taxes]]</f>
        <v>45002.7</v>
      </c>
      <c r="L155" s="15">
        <f>Table2[[#This Row],[After tax salary]]+Table2[[#This Row],[Bonus]]</f>
        <v>47627.199999999997</v>
      </c>
    </row>
    <row r="156" spans="1:12" x14ac:dyDescent="0.25">
      <c r="A156" s="5" t="s">
        <v>71</v>
      </c>
      <c r="B156" s="5" t="s">
        <v>1</v>
      </c>
      <c r="C156" s="5" t="s">
        <v>35</v>
      </c>
      <c r="D156" s="5" t="s">
        <v>3</v>
      </c>
      <c r="E156" s="6">
        <v>36672</v>
      </c>
      <c r="F156" s="5" t="s">
        <v>25</v>
      </c>
      <c r="G156" s="10">
        <v>65320</v>
      </c>
      <c r="H156" s="7">
        <v>5</v>
      </c>
      <c r="I156" s="12">
        <f>IF(OR(Table2[[#This Row],[Rating]]=4,Table2[[#This Row],[Rating]]=5), 0.05*Table2[[#This Row],[Salary]],0)</f>
        <v>3266</v>
      </c>
      <c r="J156" s="14">
        <f>VLOOKUP(Table2[[#This Row],[Salary]],'Tax rates'!A$2:C$8, 2) + VLOOKUP(Table2[[#This Row],[Salary]],'Tax rates'!A$2:C$8, 3) * (Table2[[#This Row],[Salary]] - VLOOKUP(Table2[[#This Row],[Salary]],'Tax rates'!A$2:C$8,1))</f>
        <v>10309.9</v>
      </c>
      <c r="K156" s="14">
        <f>Table2[[#This Row],[Salary]]-Table2[[#This Row],[Taxes]]</f>
        <v>55010.1</v>
      </c>
      <c r="L156" s="15">
        <f>Table2[[#This Row],[After tax salary]]+Table2[[#This Row],[Bonus]]</f>
        <v>58276.1</v>
      </c>
    </row>
    <row r="157" spans="1:12" x14ac:dyDescent="0.25">
      <c r="A157" s="5" t="s">
        <v>645</v>
      </c>
      <c r="B157" s="5" t="s">
        <v>6</v>
      </c>
      <c r="C157" s="5" t="s">
        <v>30</v>
      </c>
      <c r="D157" s="5" t="s">
        <v>3</v>
      </c>
      <c r="E157" s="6">
        <v>36673</v>
      </c>
      <c r="F157" s="5" t="s">
        <v>9</v>
      </c>
      <c r="G157" s="10">
        <v>48330</v>
      </c>
      <c r="H157" s="7">
        <v>1</v>
      </c>
      <c r="I157" s="12">
        <f>IF(OR(Table2[[#This Row],[Rating]]=4,Table2[[#This Row],[Rating]]=5), 0.05*Table2[[#This Row],[Salary]],0)</f>
        <v>0</v>
      </c>
      <c r="J157" s="14">
        <f>VLOOKUP(Table2[[#This Row],[Salary]],'Tax rates'!A$2:C$8, 2) + VLOOKUP(Table2[[#This Row],[Salary]],'Tax rates'!A$2:C$8, 3) * (Table2[[#This Row],[Salary]] - VLOOKUP(Table2[[#This Row],[Salary]],'Tax rates'!A$2:C$8,1))</f>
        <v>6572.1</v>
      </c>
      <c r="K157" s="14">
        <f>Table2[[#This Row],[Salary]]-Table2[[#This Row],[Taxes]]</f>
        <v>41757.9</v>
      </c>
      <c r="L157" s="15">
        <f>Table2[[#This Row],[After tax salary]]+Table2[[#This Row],[Bonus]]</f>
        <v>41757.9</v>
      </c>
    </row>
    <row r="158" spans="1:12" x14ac:dyDescent="0.25">
      <c r="A158" s="5" t="s">
        <v>587</v>
      </c>
      <c r="B158" s="5" t="s">
        <v>51</v>
      </c>
      <c r="C158" s="5" t="s">
        <v>92</v>
      </c>
      <c r="D158" s="5" t="s">
        <v>16</v>
      </c>
      <c r="E158" s="6">
        <v>36673</v>
      </c>
      <c r="F158" s="5" t="s">
        <v>11</v>
      </c>
      <c r="G158" s="10">
        <v>69410</v>
      </c>
      <c r="H158" s="7">
        <v>4</v>
      </c>
      <c r="I158" s="12">
        <f>IF(OR(Table2[[#This Row],[Rating]]=4,Table2[[#This Row],[Rating]]=5), 0.05*Table2[[#This Row],[Salary]],0)</f>
        <v>3470.5</v>
      </c>
      <c r="J158" s="14">
        <f>VLOOKUP(Table2[[#This Row],[Salary]],'Tax rates'!A$2:C$8, 2) + VLOOKUP(Table2[[#This Row],[Salary]],'Tax rates'!A$2:C$8, 3) * (Table2[[#This Row],[Salary]] - VLOOKUP(Table2[[#This Row],[Salary]],'Tax rates'!A$2:C$8,1))</f>
        <v>11209.7</v>
      </c>
      <c r="K158" s="14">
        <f>Table2[[#This Row],[Salary]]-Table2[[#This Row],[Taxes]]</f>
        <v>58200.3</v>
      </c>
      <c r="L158" s="15">
        <f>Table2[[#This Row],[After tax salary]]+Table2[[#This Row],[Bonus]]</f>
        <v>61670.8</v>
      </c>
    </row>
    <row r="159" spans="1:12" x14ac:dyDescent="0.25">
      <c r="A159" s="5" t="s">
        <v>505</v>
      </c>
      <c r="B159" s="5" t="s">
        <v>1</v>
      </c>
      <c r="C159" s="5" t="s">
        <v>23</v>
      </c>
      <c r="D159" s="5" t="s">
        <v>24</v>
      </c>
      <c r="E159" s="6">
        <v>36695</v>
      </c>
      <c r="F159" s="5" t="s">
        <v>11</v>
      </c>
      <c r="G159" s="10">
        <v>29005</v>
      </c>
      <c r="H159" s="7">
        <v>1</v>
      </c>
      <c r="I159" s="12">
        <f>IF(OR(Table2[[#This Row],[Rating]]=4,Table2[[#This Row],[Rating]]=5), 0.05*Table2[[#This Row],[Salary]],0)</f>
        <v>0</v>
      </c>
      <c r="J159" s="14">
        <f>VLOOKUP(Table2[[#This Row],[Salary]],'Tax rates'!A$2:C$8, 2) + VLOOKUP(Table2[[#This Row],[Salary]],'Tax rates'!A$2:C$8, 3) * (Table2[[#This Row],[Salary]] - VLOOKUP(Table2[[#This Row],[Salary]],'Tax rates'!A$2:C$8,1))</f>
        <v>3290.1</v>
      </c>
      <c r="K159" s="14">
        <f>Table2[[#This Row],[Salary]]-Table2[[#This Row],[Taxes]]</f>
        <v>25714.9</v>
      </c>
      <c r="L159" s="15">
        <f>Table2[[#This Row],[After tax salary]]+Table2[[#This Row],[Bonus]]</f>
        <v>25714.9</v>
      </c>
    </row>
    <row r="160" spans="1:12" x14ac:dyDescent="0.25">
      <c r="A160" s="5" t="s">
        <v>367</v>
      </c>
      <c r="B160" s="5" t="s">
        <v>13</v>
      </c>
      <c r="C160" s="5" t="s">
        <v>18</v>
      </c>
      <c r="D160" s="5" t="s">
        <v>3</v>
      </c>
      <c r="E160" s="6">
        <v>36698</v>
      </c>
      <c r="F160" s="5" t="s">
        <v>21</v>
      </c>
      <c r="G160" s="10">
        <v>23650</v>
      </c>
      <c r="H160" s="7">
        <v>1</v>
      </c>
      <c r="I160" s="12">
        <f>IF(OR(Table2[[#This Row],[Rating]]=4,Table2[[#This Row],[Rating]]=5), 0.05*Table2[[#This Row],[Salary]],0)</f>
        <v>0</v>
      </c>
      <c r="J160" s="14">
        <f>VLOOKUP(Table2[[#This Row],[Salary]],'Tax rates'!A$2:C$8, 2) + VLOOKUP(Table2[[#This Row],[Salary]],'Tax rates'!A$2:C$8, 3) * (Table2[[#This Row],[Salary]] - VLOOKUP(Table2[[#This Row],[Salary]],'Tax rates'!A$2:C$8,1))</f>
        <v>2647.5</v>
      </c>
      <c r="K160" s="14">
        <f>Table2[[#This Row],[Salary]]-Table2[[#This Row],[Taxes]]</f>
        <v>21002.5</v>
      </c>
      <c r="L160" s="15">
        <f>Table2[[#This Row],[After tax salary]]+Table2[[#This Row],[Bonus]]</f>
        <v>21002.5</v>
      </c>
    </row>
    <row r="161" spans="1:12" x14ac:dyDescent="0.25">
      <c r="A161" s="5" t="s">
        <v>474</v>
      </c>
      <c r="B161" s="5" t="s">
        <v>1</v>
      </c>
      <c r="C161" s="5" t="s">
        <v>59</v>
      </c>
      <c r="D161" s="5" t="s">
        <v>16</v>
      </c>
      <c r="E161" s="6">
        <v>36703</v>
      </c>
      <c r="F161" s="7"/>
      <c r="G161" s="10">
        <v>50200</v>
      </c>
      <c r="H161" s="7">
        <v>4</v>
      </c>
      <c r="I161" s="12">
        <f>IF(OR(Table2[[#This Row],[Rating]]=4,Table2[[#This Row],[Rating]]=5), 0.05*Table2[[#This Row],[Salary]],0)</f>
        <v>2510</v>
      </c>
      <c r="J161" s="14">
        <f>VLOOKUP(Table2[[#This Row],[Salary]],'Tax rates'!A$2:C$8, 2) + VLOOKUP(Table2[[#This Row],[Salary]],'Tax rates'!A$2:C$8, 3) * (Table2[[#This Row],[Salary]] - VLOOKUP(Table2[[#This Row],[Salary]],'Tax rates'!A$2:C$8,1))</f>
        <v>6983.5</v>
      </c>
      <c r="K161" s="14">
        <f>Table2[[#This Row],[Salary]]-Table2[[#This Row],[Taxes]]</f>
        <v>43216.5</v>
      </c>
      <c r="L161" s="15">
        <f>Table2[[#This Row],[After tax salary]]+Table2[[#This Row],[Bonus]]</f>
        <v>45726.5</v>
      </c>
    </row>
    <row r="162" spans="1:12" x14ac:dyDescent="0.25">
      <c r="A162" s="5" t="s">
        <v>112</v>
      </c>
      <c r="B162" s="5" t="s">
        <v>51</v>
      </c>
      <c r="C162" s="5" t="s">
        <v>18</v>
      </c>
      <c r="D162" s="5" t="s">
        <v>16</v>
      </c>
      <c r="E162" s="6">
        <v>36704</v>
      </c>
      <c r="F162" s="7"/>
      <c r="G162" s="10">
        <v>57760</v>
      </c>
      <c r="H162" s="7">
        <v>3</v>
      </c>
      <c r="I162" s="12">
        <f>IF(OR(Table2[[#This Row],[Rating]]=4,Table2[[#This Row],[Rating]]=5), 0.05*Table2[[#This Row],[Salary]],0)</f>
        <v>0</v>
      </c>
      <c r="J162" s="14">
        <f>VLOOKUP(Table2[[#This Row],[Salary]],'Tax rates'!A$2:C$8, 2) + VLOOKUP(Table2[[#This Row],[Salary]],'Tax rates'!A$2:C$8, 3) * (Table2[[#This Row],[Salary]] - VLOOKUP(Table2[[#This Row],[Salary]],'Tax rates'!A$2:C$8,1))</f>
        <v>8646.7000000000007</v>
      </c>
      <c r="K162" s="14">
        <f>Table2[[#This Row],[Salary]]-Table2[[#This Row],[Taxes]]</f>
        <v>49113.3</v>
      </c>
      <c r="L162" s="15">
        <f>Table2[[#This Row],[After tax salary]]+Table2[[#This Row],[Bonus]]</f>
        <v>49113.3</v>
      </c>
    </row>
    <row r="163" spans="1:12" x14ac:dyDescent="0.25">
      <c r="A163" s="5" t="s">
        <v>749</v>
      </c>
      <c r="B163" s="5" t="s">
        <v>1</v>
      </c>
      <c r="C163" s="5" t="s">
        <v>18</v>
      </c>
      <c r="D163" s="5" t="s">
        <v>3</v>
      </c>
      <c r="E163" s="6">
        <v>36707</v>
      </c>
      <c r="F163" s="5" t="s">
        <v>9</v>
      </c>
      <c r="G163" s="10">
        <v>38870</v>
      </c>
      <c r="H163" s="7">
        <v>2</v>
      </c>
      <c r="I163" s="12">
        <f>IF(OR(Table2[[#This Row],[Rating]]=4,Table2[[#This Row],[Rating]]=5), 0.05*Table2[[#This Row],[Salary]],0)</f>
        <v>0</v>
      </c>
      <c r="J163" s="14">
        <f>VLOOKUP(Table2[[#This Row],[Salary]],'Tax rates'!A$2:C$8, 2) + VLOOKUP(Table2[[#This Row],[Salary]],'Tax rates'!A$2:C$8, 3) * (Table2[[#This Row],[Salary]] - VLOOKUP(Table2[[#This Row],[Salary]],'Tax rates'!A$2:C$8,1))</f>
        <v>4490.8999999999996</v>
      </c>
      <c r="K163" s="14">
        <f>Table2[[#This Row],[Salary]]-Table2[[#This Row],[Taxes]]</f>
        <v>34379.1</v>
      </c>
      <c r="L163" s="15">
        <f>Table2[[#This Row],[After tax salary]]+Table2[[#This Row],[Bonus]]</f>
        <v>34379.1</v>
      </c>
    </row>
    <row r="164" spans="1:12" x14ac:dyDescent="0.25">
      <c r="A164" s="5" t="s">
        <v>364</v>
      </c>
      <c r="B164" s="5" t="s">
        <v>1</v>
      </c>
      <c r="C164" s="5" t="s">
        <v>18</v>
      </c>
      <c r="D164" s="5" t="s">
        <v>16</v>
      </c>
      <c r="E164" s="6">
        <v>36718</v>
      </c>
      <c r="F164" s="7"/>
      <c r="G164" s="10">
        <v>89520</v>
      </c>
      <c r="H164" s="7">
        <v>5</v>
      </c>
      <c r="I164" s="12">
        <f>IF(OR(Table2[[#This Row],[Rating]]=4,Table2[[#This Row],[Rating]]=5), 0.05*Table2[[#This Row],[Salary]],0)</f>
        <v>4476</v>
      </c>
      <c r="J164" s="14">
        <f>VLOOKUP(Table2[[#This Row],[Salary]],'Tax rates'!A$2:C$8, 2) + VLOOKUP(Table2[[#This Row],[Salary]],'Tax rates'!A$2:C$8, 3) * (Table2[[#This Row],[Salary]] - VLOOKUP(Table2[[#This Row],[Salary]],'Tax rates'!A$2:C$8,1))</f>
        <v>15774.3</v>
      </c>
      <c r="K164" s="14">
        <f>Table2[[#This Row],[Salary]]-Table2[[#This Row],[Taxes]]</f>
        <v>73745.7</v>
      </c>
      <c r="L164" s="15">
        <f>Table2[[#This Row],[After tax salary]]+Table2[[#This Row],[Bonus]]</f>
        <v>78221.7</v>
      </c>
    </row>
    <row r="165" spans="1:12" x14ac:dyDescent="0.25">
      <c r="A165" s="5" t="s">
        <v>444</v>
      </c>
      <c r="B165" s="5" t="s">
        <v>1</v>
      </c>
      <c r="C165" s="5" t="s">
        <v>18</v>
      </c>
      <c r="D165" s="5" t="s">
        <v>16</v>
      </c>
      <c r="E165" s="6">
        <v>36729</v>
      </c>
      <c r="F165" s="7"/>
      <c r="G165" s="10">
        <v>45420</v>
      </c>
      <c r="H165" s="7">
        <v>1</v>
      </c>
      <c r="I165" s="12">
        <f>IF(OR(Table2[[#This Row],[Rating]]=4,Table2[[#This Row],[Rating]]=5), 0.05*Table2[[#This Row],[Salary]],0)</f>
        <v>0</v>
      </c>
      <c r="J165" s="14">
        <f>VLOOKUP(Table2[[#This Row],[Salary]],'Tax rates'!A$2:C$8, 2) + VLOOKUP(Table2[[#This Row],[Salary]],'Tax rates'!A$2:C$8, 3) * (Table2[[#This Row],[Salary]] - VLOOKUP(Table2[[#This Row],[Salary]],'Tax rates'!A$2:C$8,1))</f>
        <v>5931.9</v>
      </c>
      <c r="K165" s="14">
        <f>Table2[[#This Row],[Salary]]-Table2[[#This Row],[Taxes]]</f>
        <v>39488.1</v>
      </c>
      <c r="L165" s="15">
        <f>Table2[[#This Row],[After tax salary]]+Table2[[#This Row],[Bonus]]</f>
        <v>39488.1</v>
      </c>
    </row>
    <row r="166" spans="1:12" x14ac:dyDescent="0.25">
      <c r="A166" s="5" t="s">
        <v>750</v>
      </c>
      <c r="B166" s="5" t="s">
        <v>29</v>
      </c>
      <c r="C166" s="5" t="s">
        <v>106</v>
      </c>
      <c r="D166" s="5" t="s">
        <v>3</v>
      </c>
      <c r="E166" s="6">
        <v>36764</v>
      </c>
      <c r="F166" s="5" t="s">
        <v>9</v>
      </c>
      <c r="G166" s="10">
        <v>74840</v>
      </c>
      <c r="H166" s="7">
        <v>4</v>
      </c>
      <c r="I166" s="12">
        <f>IF(OR(Table2[[#This Row],[Rating]]=4,Table2[[#This Row],[Rating]]=5), 0.05*Table2[[#This Row],[Salary]],0)</f>
        <v>3742</v>
      </c>
      <c r="J166" s="14">
        <f>VLOOKUP(Table2[[#This Row],[Salary]],'Tax rates'!A$2:C$8, 2) + VLOOKUP(Table2[[#This Row],[Salary]],'Tax rates'!A$2:C$8, 3) * (Table2[[#This Row],[Salary]] - VLOOKUP(Table2[[#This Row],[Salary]],'Tax rates'!A$2:C$8,1))</f>
        <v>12404.3</v>
      </c>
      <c r="K166" s="14">
        <f>Table2[[#This Row],[Salary]]-Table2[[#This Row],[Taxes]]</f>
        <v>62435.7</v>
      </c>
      <c r="L166" s="15">
        <f>Table2[[#This Row],[After tax salary]]+Table2[[#This Row],[Bonus]]</f>
        <v>66177.7</v>
      </c>
    </row>
    <row r="167" spans="1:12" x14ac:dyDescent="0.25">
      <c r="A167" s="5" t="s">
        <v>14</v>
      </c>
      <c r="B167" s="5" t="s">
        <v>13</v>
      </c>
      <c r="C167" s="5" t="s">
        <v>15</v>
      </c>
      <c r="D167" s="5" t="s">
        <v>16</v>
      </c>
      <c r="E167" s="6">
        <v>36765</v>
      </c>
      <c r="F167" s="7"/>
      <c r="G167" s="10">
        <v>74500</v>
      </c>
      <c r="H167" s="7">
        <v>4</v>
      </c>
      <c r="I167" s="12">
        <f>IF(OR(Table2[[#This Row],[Rating]]=4,Table2[[#This Row],[Rating]]=5), 0.05*Table2[[#This Row],[Salary]],0)</f>
        <v>3725</v>
      </c>
      <c r="J167" s="14">
        <f>VLOOKUP(Table2[[#This Row],[Salary]],'Tax rates'!A$2:C$8, 2) + VLOOKUP(Table2[[#This Row],[Salary]],'Tax rates'!A$2:C$8, 3) * (Table2[[#This Row],[Salary]] - VLOOKUP(Table2[[#This Row],[Salary]],'Tax rates'!A$2:C$8,1))</f>
        <v>12329.5</v>
      </c>
      <c r="K167" s="14">
        <f>Table2[[#This Row],[Salary]]-Table2[[#This Row],[Taxes]]</f>
        <v>62170.5</v>
      </c>
      <c r="L167" s="15">
        <f>Table2[[#This Row],[After tax salary]]+Table2[[#This Row],[Bonus]]</f>
        <v>65895.5</v>
      </c>
    </row>
    <row r="168" spans="1:12" x14ac:dyDescent="0.25">
      <c r="A168" s="5" t="s">
        <v>622</v>
      </c>
      <c r="B168" s="5" t="s">
        <v>13</v>
      </c>
      <c r="C168" s="5" t="s">
        <v>106</v>
      </c>
      <c r="D168" s="5" t="s">
        <v>16</v>
      </c>
      <c r="E168" s="6">
        <v>36777</v>
      </c>
      <c r="F168" s="7"/>
      <c r="G168" s="10">
        <v>76690</v>
      </c>
      <c r="H168" s="7">
        <v>3</v>
      </c>
      <c r="I168" s="12">
        <f>IF(OR(Table2[[#This Row],[Rating]]=4,Table2[[#This Row],[Rating]]=5), 0.05*Table2[[#This Row],[Salary]],0)</f>
        <v>0</v>
      </c>
      <c r="J168" s="14">
        <f>VLOOKUP(Table2[[#This Row],[Salary]],'Tax rates'!A$2:C$8, 2) + VLOOKUP(Table2[[#This Row],[Salary]],'Tax rates'!A$2:C$8, 3) * (Table2[[#This Row],[Salary]] - VLOOKUP(Table2[[#This Row],[Salary]],'Tax rates'!A$2:C$8,1))</f>
        <v>12811.3</v>
      </c>
      <c r="K168" s="14">
        <f>Table2[[#This Row],[Salary]]-Table2[[#This Row],[Taxes]]</f>
        <v>63878.7</v>
      </c>
      <c r="L168" s="15">
        <f>Table2[[#This Row],[After tax salary]]+Table2[[#This Row],[Bonus]]</f>
        <v>63878.7</v>
      </c>
    </row>
    <row r="169" spans="1:12" x14ac:dyDescent="0.25">
      <c r="A169" s="5" t="s">
        <v>133</v>
      </c>
      <c r="B169" s="5" t="s">
        <v>1</v>
      </c>
      <c r="C169" s="5" t="s">
        <v>30</v>
      </c>
      <c r="D169" s="5" t="s">
        <v>16</v>
      </c>
      <c r="E169" s="6">
        <v>36787</v>
      </c>
      <c r="F169" s="7"/>
      <c r="G169" s="10">
        <v>89640</v>
      </c>
      <c r="H169" s="7">
        <v>4</v>
      </c>
      <c r="I169" s="12">
        <f>IF(OR(Table2[[#This Row],[Rating]]=4,Table2[[#This Row],[Rating]]=5), 0.05*Table2[[#This Row],[Salary]],0)</f>
        <v>4482</v>
      </c>
      <c r="J169" s="14">
        <f>VLOOKUP(Table2[[#This Row],[Salary]],'Tax rates'!A$2:C$8, 2) + VLOOKUP(Table2[[#This Row],[Salary]],'Tax rates'!A$2:C$8, 3) * (Table2[[#This Row],[Salary]] - VLOOKUP(Table2[[#This Row],[Salary]],'Tax rates'!A$2:C$8,1))</f>
        <v>15803.1</v>
      </c>
      <c r="K169" s="14">
        <f>Table2[[#This Row],[Salary]]-Table2[[#This Row],[Taxes]]</f>
        <v>73836.899999999994</v>
      </c>
      <c r="L169" s="15">
        <f>Table2[[#This Row],[After tax salary]]+Table2[[#This Row],[Bonus]]</f>
        <v>78318.899999999994</v>
      </c>
    </row>
    <row r="170" spans="1:12" x14ac:dyDescent="0.25">
      <c r="A170" s="5" t="s">
        <v>284</v>
      </c>
      <c r="B170" s="5" t="s">
        <v>27</v>
      </c>
      <c r="C170" s="5" t="s">
        <v>35</v>
      </c>
      <c r="D170" s="5" t="s">
        <v>3</v>
      </c>
      <c r="E170" s="6">
        <v>36843</v>
      </c>
      <c r="F170" s="5" t="s">
        <v>11</v>
      </c>
      <c r="G170" s="10">
        <v>47630</v>
      </c>
      <c r="H170" s="7">
        <v>3</v>
      </c>
      <c r="I170" s="12">
        <f>IF(OR(Table2[[#This Row],[Rating]]=4,Table2[[#This Row],[Rating]]=5), 0.05*Table2[[#This Row],[Salary]],0)</f>
        <v>0</v>
      </c>
      <c r="J170" s="14">
        <f>VLOOKUP(Table2[[#This Row],[Salary]],'Tax rates'!A$2:C$8, 2) + VLOOKUP(Table2[[#This Row],[Salary]],'Tax rates'!A$2:C$8, 3) * (Table2[[#This Row],[Salary]] - VLOOKUP(Table2[[#This Row],[Salary]],'Tax rates'!A$2:C$8,1))</f>
        <v>6418.1</v>
      </c>
      <c r="K170" s="14">
        <f>Table2[[#This Row],[Salary]]-Table2[[#This Row],[Taxes]]</f>
        <v>41211.9</v>
      </c>
      <c r="L170" s="15">
        <f>Table2[[#This Row],[After tax salary]]+Table2[[#This Row],[Bonus]]</f>
        <v>41211.9</v>
      </c>
    </row>
    <row r="171" spans="1:12" x14ac:dyDescent="0.25">
      <c r="A171" s="5" t="s">
        <v>698</v>
      </c>
      <c r="B171" s="5" t="s">
        <v>13</v>
      </c>
      <c r="C171" s="5" t="s">
        <v>73</v>
      </c>
      <c r="D171" s="5" t="s">
        <v>3</v>
      </c>
      <c r="E171" s="6">
        <v>36893</v>
      </c>
      <c r="F171" s="5" t="s">
        <v>11</v>
      </c>
      <c r="G171" s="10">
        <v>33640</v>
      </c>
      <c r="H171" s="7">
        <v>3</v>
      </c>
      <c r="I171" s="12">
        <f>IF(OR(Table2[[#This Row],[Rating]]=4,Table2[[#This Row],[Rating]]=5), 0.05*Table2[[#This Row],[Salary]],0)</f>
        <v>0</v>
      </c>
      <c r="J171" s="14">
        <f>VLOOKUP(Table2[[#This Row],[Salary]],'Tax rates'!A$2:C$8, 2) + VLOOKUP(Table2[[#This Row],[Salary]],'Tax rates'!A$2:C$8, 3) * (Table2[[#This Row],[Salary]] - VLOOKUP(Table2[[#This Row],[Salary]],'Tax rates'!A$2:C$8,1))</f>
        <v>3846.2999999999997</v>
      </c>
      <c r="K171" s="14">
        <f>Table2[[#This Row],[Salary]]-Table2[[#This Row],[Taxes]]</f>
        <v>29793.7</v>
      </c>
      <c r="L171" s="15">
        <f>Table2[[#This Row],[After tax salary]]+Table2[[#This Row],[Bonus]]</f>
        <v>29793.7</v>
      </c>
    </row>
    <row r="172" spans="1:12" x14ac:dyDescent="0.25">
      <c r="A172" s="5" t="s">
        <v>660</v>
      </c>
      <c r="B172" s="5" t="s">
        <v>29</v>
      </c>
      <c r="C172" s="5" t="s">
        <v>75</v>
      </c>
      <c r="D172" s="5" t="s">
        <v>24</v>
      </c>
      <c r="E172" s="6">
        <v>36896</v>
      </c>
      <c r="F172" s="5" t="s">
        <v>4</v>
      </c>
      <c r="G172" s="10">
        <v>35280</v>
      </c>
      <c r="H172" s="7">
        <v>3</v>
      </c>
      <c r="I172" s="12">
        <f>IF(OR(Table2[[#This Row],[Rating]]=4,Table2[[#This Row],[Rating]]=5), 0.05*Table2[[#This Row],[Salary]],0)</f>
        <v>0</v>
      </c>
      <c r="J172" s="14">
        <f>VLOOKUP(Table2[[#This Row],[Salary]],'Tax rates'!A$2:C$8, 2) + VLOOKUP(Table2[[#This Row],[Salary]],'Tax rates'!A$2:C$8, 3) * (Table2[[#This Row],[Salary]] - VLOOKUP(Table2[[#This Row],[Salary]],'Tax rates'!A$2:C$8,1))</f>
        <v>4043.1</v>
      </c>
      <c r="K172" s="14">
        <f>Table2[[#This Row],[Salary]]-Table2[[#This Row],[Taxes]]</f>
        <v>31236.9</v>
      </c>
      <c r="L172" s="15">
        <f>Table2[[#This Row],[After tax salary]]+Table2[[#This Row],[Bonus]]</f>
        <v>31236.9</v>
      </c>
    </row>
    <row r="173" spans="1:12" x14ac:dyDescent="0.25">
      <c r="A173" s="5" t="s">
        <v>713</v>
      </c>
      <c r="B173" s="5" t="s">
        <v>6</v>
      </c>
      <c r="C173" s="5" t="s">
        <v>37</v>
      </c>
      <c r="D173" s="5" t="s">
        <v>3</v>
      </c>
      <c r="E173" s="6">
        <v>36898</v>
      </c>
      <c r="F173" s="5" t="s">
        <v>4</v>
      </c>
      <c r="G173" s="10">
        <v>71820</v>
      </c>
      <c r="H173" s="7">
        <v>2</v>
      </c>
      <c r="I173" s="12">
        <f>IF(OR(Table2[[#This Row],[Rating]]=4,Table2[[#This Row],[Rating]]=5), 0.05*Table2[[#This Row],[Salary]],0)</f>
        <v>0</v>
      </c>
      <c r="J173" s="14">
        <f>VLOOKUP(Table2[[#This Row],[Salary]],'Tax rates'!A$2:C$8, 2) + VLOOKUP(Table2[[#This Row],[Salary]],'Tax rates'!A$2:C$8, 3) * (Table2[[#This Row],[Salary]] - VLOOKUP(Table2[[#This Row],[Salary]],'Tax rates'!A$2:C$8,1))</f>
        <v>11739.9</v>
      </c>
      <c r="K173" s="14">
        <f>Table2[[#This Row],[Salary]]-Table2[[#This Row],[Taxes]]</f>
        <v>60080.1</v>
      </c>
      <c r="L173" s="15">
        <f>Table2[[#This Row],[After tax salary]]+Table2[[#This Row],[Bonus]]</f>
        <v>60080.1</v>
      </c>
    </row>
    <row r="174" spans="1:12" x14ac:dyDescent="0.25">
      <c r="A174" s="5" t="s">
        <v>582</v>
      </c>
      <c r="B174" s="5" t="s">
        <v>1</v>
      </c>
      <c r="C174" s="5" t="s">
        <v>35</v>
      </c>
      <c r="D174" s="5" t="s">
        <v>24</v>
      </c>
      <c r="E174" s="6">
        <v>36918</v>
      </c>
      <c r="F174" s="5" t="s">
        <v>4</v>
      </c>
      <c r="G174" s="10">
        <v>17205</v>
      </c>
      <c r="H174" s="7">
        <v>5</v>
      </c>
      <c r="I174" s="12">
        <f>IF(OR(Table2[[#This Row],[Rating]]=4,Table2[[#This Row],[Rating]]=5), 0.05*Table2[[#This Row],[Salary]],0)</f>
        <v>860.25</v>
      </c>
      <c r="J174" s="14">
        <f>VLOOKUP(Table2[[#This Row],[Salary]],'Tax rates'!A$2:C$8, 2) + VLOOKUP(Table2[[#This Row],[Salary]],'Tax rates'!A$2:C$8, 3) * (Table2[[#This Row],[Salary]] - VLOOKUP(Table2[[#This Row],[Salary]],'Tax rates'!A$2:C$8,1))</f>
        <v>1874.1</v>
      </c>
      <c r="K174" s="14">
        <f>Table2[[#This Row],[Salary]]-Table2[[#This Row],[Taxes]]</f>
        <v>15330.9</v>
      </c>
      <c r="L174" s="15">
        <f>Table2[[#This Row],[After tax salary]]+Table2[[#This Row],[Bonus]]</f>
        <v>16191.15</v>
      </c>
    </row>
    <row r="175" spans="1:12" x14ac:dyDescent="0.25">
      <c r="A175" s="5" t="s">
        <v>594</v>
      </c>
      <c r="B175" s="5" t="s">
        <v>13</v>
      </c>
      <c r="C175" s="5" t="s">
        <v>59</v>
      </c>
      <c r="D175" s="5" t="s">
        <v>3</v>
      </c>
      <c r="E175" s="6">
        <v>36940</v>
      </c>
      <c r="F175" s="5" t="s">
        <v>4</v>
      </c>
      <c r="G175" s="10">
        <v>48990</v>
      </c>
      <c r="H175" s="7">
        <v>5</v>
      </c>
      <c r="I175" s="12">
        <f>IF(OR(Table2[[#This Row],[Rating]]=4,Table2[[#This Row],[Rating]]=5), 0.05*Table2[[#This Row],[Salary]],0)</f>
        <v>2449.5</v>
      </c>
      <c r="J175" s="14">
        <f>VLOOKUP(Table2[[#This Row],[Salary]],'Tax rates'!A$2:C$8, 2) + VLOOKUP(Table2[[#This Row],[Salary]],'Tax rates'!A$2:C$8, 3) * (Table2[[#This Row],[Salary]] - VLOOKUP(Table2[[#This Row],[Salary]],'Tax rates'!A$2:C$8,1))</f>
        <v>6717.3</v>
      </c>
      <c r="K175" s="14">
        <f>Table2[[#This Row],[Salary]]-Table2[[#This Row],[Taxes]]</f>
        <v>42272.7</v>
      </c>
      <c r="L175" s="15">
        <f>Table2[[#This Row],[After tax salary]]+Table2[[#This Row],[Bonus]]</f>
        <v>44722.2</v>
      </c>
    </row>
    <row r="176" spans="1:12" x14ac:dyDescent="0.25">
      <c r="A176" s="5" t="s">
        <v>192</v>
      </c>
      <c r="B176" s="5" t="s">
        <v>1</v>
      </c>
      <c r="C176" s="5" t="s">
        <v>35</v>
      </c>
      <c r="D176" s="5" t="s">
        <v>3</v>
      </c>
      <c r="E176" s="6">
        <v>36956</v>
      </c>
      <c r="F176" s="5" t="s">
        <v>9</v>
      </c>
      <c r="G176" s="10">
        <v>49930</v>
      </c>
      <c r="H176" s="7">
        <v>1</v>
      </c>
      <c r="I176" s="12">
        <f>IF(OR(Table2[[#This Row],[Rating]]=4,Table2[[#This Row],[Rating]]=5), 0.05*Table2[[#This Row],[Salary]],0)</f>
        <v>0</v>
      </c>
      <c r="J176" s="14">
        <f>VLOOKUP(Table2[[#This Row],[Salary]],'Tax rates'!A$2:C$8, 2) + VLOOKUP(Table2[[#This Row],[Salary]],'Tax rates'!A$2:C$8, 3) * (Table2[[#This Row],[Salary]] - VLOOKUP(Table2[[#This Row],[Salary]],'Tax rates'!A$2:C$8,1))</f>
        <v>6924.1</v>
      </c>
      <c r="K176" s="14">
        <f>Table2[[#This Row],[Salary]]-Table2[[#This Row],[Taxes]]</f>
        <v>43005.9</v>
      </c>
      <c r="L176" s="15">
        <f>Table2[[#This Row],[After tax salary]]+Table2[[#This Row],[Bonus]]</f>
        <v>43005.9</v>
      </c>
    </row>
    <row r="177" spans="1:12" x14ac:dyDescent="0.25">
      <c r="A177" s="5" t="s">
        <v>290</v>
      </c>
      <c r="B177" s="5" t="s">
        <v>1</v>
      </c>
      <c r="C177" s="5" t="s">
        <v>35</v>
      </c>
      <c r="D177" s="5" t="s">
        <v>3</v>
      </c>
      <c r="E177" s="6">
        <v>36967</v>
      </c>
      <c r="F177" s="5" t="s">
        <v>4</v>
      </c>
      <c r="G177" s="10">
        <v>63060</v>
      </c>
      <c r="H177" s="7">
        <v>4</v>
      </c>
      <c r="I177" s="12">
        <f>IF(OR(Table2[[#This Row],[Rating]]=4,Table2[[#This Row],[Rating]]=5), 0.05*Table2[[#This Row],[Salary]],0)</f>
        <v>3153</v>
      </c>
      <c r="J177" s="14">
        <f>VLOOKUP(Table2[[#This Row],[Salary]],'Tax rates'!A$2:C$8, 2) + VLOOKUP(Table2[[#This Row],[Salary]],'Tax rates'!A$2:C$8, 3) * (Table2[[#This Row],[Salary]] - VLOOKUP(Table2[[#This Row],[Salary]],'Tax rates'!A$2:C$8,1))</f>
        <v>9812.7000000000007</v>
      </c>
      <c r="K177" s="14">
        <f>Table2[[#This Row],[Salary]]-Table2[[#This Row],[Taxes]]</f>
        <v>53247.3</v>
      </c>
      <c r="L177" s="15">
        <f>Table2[[#This Row],[After tax salary]]+Table2[[#This Row],[Bonus]]</f>
        <v>56400.3</v>
      </c>
    </row>
    <row r="178" spans="1:12" x14ac:dyDescent="0.25">
      <c r="A178" s="5" t="s">
        <v>412</v>
      </c>
      <c r="B178" s="5" t="s">
        <v>1</v>
      </c>
      <c r="C178" s="5" t="s">
        <v>18</v>
      </c>
      <c r="D178" s="5" t="s">
        <v>16</v>
      </c>
      <c r="E178" s="6">
        <v>36977</v>
      </c>
      <c r="F178" s="7"/>
      <c r="G178" s="10">
        <v>68510</v>
      </c>
      <c r="H178" s="7">
        <v>5</v>
      </c>
      <c r="I178" s="12">
        <f>IF(OR(Table2[[#This Row],[Rating]]=4,Table2[[#This Row],[Rating]]=5), 0.05*Table2[[#This Row],[Salary]],0)</f>
        <v>3425.5</v>
      </c>
      <c r="J178" s="14">
        <f>VLOOKUP(Table2[[#This Row],[Salary]],'Tax rates'!A$2:C$8, 2) + VLOOKUP(Table2[[#This Row],[Salary]],'Tax rates'!A$2:C$8, 3) * (Table2[[#This Row],[Salary]] - VLOOKUP(Table2[[#This Row],[Salary]],'Tax rates'!A$2:C$8,1))</f>
        <v>11011.7</v>
      </c>
      <c r="K178" s="14">
        <f>Table2[[#This Row],[Salary]]-Table2[[#This Row],[Taxes]]</f>
        <v>57498.3</v>
      </c>
      <c r="L178" s="15">
        <f>Table2[[#This Row],[After tax salary]]+Table2[[#This Row],[Bonus]]</f>
        <v>60923.8</v>
      </c>
    </row>
    <row r="179" spans="1:12" x14ac:dyDescent="0.25">
      <c r="A179" s="5" t="s">
        <v>492</v>
      </c>
      <c r="B179" s="5" t="s">
        <v>6</v>
      </c>
      <c r="C179" s="5" t="s">
        <v>46</v>
      </c>
      <c r="D179" s="5" t="s">
        <v>3</v>
      </c>
      <c r="E179" s="6">
        <v>36991</v>
      </c>
      <c r="F179" s="5" t="s">
        <v>4</v>
      </c>
      <c r="G179" s="10">
        <v>63670</v>
      </c>
      <c r="H179" s="7">
        <v>5</v>
      </c>
      <c r="I179" s="12">
        <f>IF(OR(Table2[[#This Row],[Rating]]=4,Table2[[#This Row],[Rating]]=5), 0.05*Table2[[#This Row],[Salary]],0)</f>
        <v>3183.5</v>
      </c>
      <c r="J179" s="14">
        <f>VLOOKUP(Table2[[#This Row],[Salary]],'Tax rates'!A$2:C$8, 2) + VLOOKUP(Table2[[#This Row],[Salary]],'Tax rates'!A$2:C$8, 3) * (Table2[[#This Row],[Salary]] - VLOOKUP(Table2[[#This Row],[Salary]],'Tax rates'!A$2:C$8,1))</f>
        <v>9946.9</v>
      </c>
      <c r="K179" s="14">
        <f>Table2[[#This Row],[Salary]]-Table2[[#This Row],[Taxes]]</f>
        <v>53723.1</v>
      </c>
      <c r="L179" s="15">
        <f>Table2[[#This Row],[After tax salary]]+Table2[[#This Row],[Bonus]]</f>
        <v>56906.6</v>
      </c>
    </row>
    <row r="180" spans="1:12" x14ac:dyDescent="0.25">
      <c r="A180" s="5" t="s">
        <v>654</v>
      </c>
      <c r="B180" s="5" t="s">
        <v>1</v>
      </c>
      <c r="C180" s="5" t="s">
        <v>75</v>
      </c>
      <c r="D180" s="5" t="s">
        <v>3</v>
      </c>
      <c r="E180" s="6">
        <v>37008</v>
      </c>
      <c r="F180" s="5" t="s">
        <v>4</v>
      </c>
      <c r="G180" s="10">
        <v>27180</v>
      </c>
      <c r="H180" s="7">
        <v>4</v>
      </c>
      <c r="I180" s="12">
        <f>IF(OR(Table2[[#This Row],[Rating]]=4,Table2[[#This Row],[Rating]]=5), 0.05*Table2[[#This Row],[Salary]],0)</f>
        <v>1359</v>
      </c>
      <c r="J180" s="14">
        <f>VLOOKUP(Table2[[#This Row],[Salary]],'Tax rates'!A$2:C$8, 2) + VLOOKUP(Table2[[#This Row],[Salary]],'Tax rates'!A$2:C$8, 3) * (Table2[[#This Row],[Salary]] - VLOOKUP(Table2[[#This Row],[Salary]],'Tax rates'!A$2:C$8,1))</f>
        <v>3071.1</v>
      </c>
      <c r="K180" s="14">
        <f>Table2[[#This Row],[Salary]]-Table2[[#This Row],[Taxes]]</f>
        <v>24108.9</v>
      </c>
      <c r="L180" s="15">
        <f>Table2[[#This Row],[After tax salary]]+Table2[[#This Row],[Bonus]]</f>
        <v>25467.9</v>
      </c>
    </row>
    <row r="181" spans="1:12" x14ac:dyDescent="0.25">
      <c r="A181" s="5" t="s">
        <v>558</v>
      </c>
      <c r="B181" s="5" t="s">
        <v>27</v>
      </c>
      <c r="C181" s="5" t="s">
        <v>35</v>
      </c>
      <c r="D181" s="5" t="s">
        <v>3</v>
      </c>
      <c r="E181" s="6">
        <v>37009</v>
      </c>
      <c r="F181" s="5" t="s">
        <v>11</v>
      </c>
      <c r="G181" s="10">
        <v>78710</v>
      </c>
      <c r="H181" s="7">
        <v>2</v>
      </c>
      <c r="I181" s="12">
        <f>IF(OR(Table2[[#This Row],[Rating]]=4,Table2[[#This Row],[Rating]]=5), 0.05*Table2[[#This Row],[Salary]],0)</f>
        <v>0</v>
      </c>
      <c r="J181" s="14">
        <f>VLOOKUP(Table2[[#This Row],[Salary]],'Tax rates'!A$2:C$8, 2) + VLOOKUP(Table2[[#This Row],[Salary]],'Tax rates'!A$2:C$8, 3) * (Table2[[#This Row],[Salary]] - VLOOKUP(Table2[[#This Row],[Salary]],'Tax rates'!A$2:C$8,1))</f>
        <v>13255.7</v>
      </c>
      <c r="K181" s="14">
        <f>Table2[[#This Row],[Salary]]-Table2[[#This Row],[Taxes]]</f>
        <v>65454.3</v>
      </c>
      <c r="L181" s="15">
        <f>Table2[[#This Row],[After tax salary]]+Table2[[#This Row],[Bonus]]</f>
        <v>65454.3</v>
      </c>
    </row>
    <row r="182" spans="1:12" x14ac:dyDescent="0.25">
      <c r="A182" s="5" t="s">
        <v>520</v>
      </c>
      <c r="B182" s="5" t="s">
        <v>1</v>
      </c>
      <c r="C182" s="5" t="s">
        <v>75</v>
      </c>
      <c r="D182" s="5" t="s">
        <v>3</v>
      </c>
      <c r="E182" s="6">
        <v>37018</v>
      </c>
      <c r="F182" s="5" t="s">
        <v>11</v>
      </c>
      <c r="G182" s="10">
        <v>28650</v>
      </c>
      <c r="H182" s="7">
        <v>4</v>
      </c>
      <c r="I182" s="12">
        <f>IF(OR(Table2[[#This Row],[Rating]]=4,Table2[[#This Row],[Rating]]=5), 0.05*Table2[[#This Row],[Salary]],0)</f>
        <v>1432.5</v>
      </c>
      <c r="J182" s="14">
        <f>VLOOKUP(Table2[[#This Row],[Salary]],'Tax rates'!A$2:C$8, 2) + VLOOKUP(Table2[[#This Row],[Salary]],'Tax rates'!A$2:C$8, 3) * (Table2[[#This Row],[Salary]] - VLOOKUP(Table2[[#This Row],[Salary]],'Tax rates'!A$2:C$8,1))</f>
        <v>3247.5</v>
      </c>
      <c r="K182" s="14">
        <f>Table2[[#This Row],[Salary]]-Table2[[#This Row],[Taxes]]</f>
        <v>25402.5</v>
      </c>
      <c r="L182" s="15">
        <f>Table2[[#This Row],[After tax salary]]+Table2[[#This Row],[Bonus]]</f>
        <v>26835</v>
      </c>
    </row>
    <row r="183" spans="1:12" x14ac:dyDescent="0.25">
      <c r="A183" s="5" t="s">
        <v>487</v>
      </c>
      <c r="B183" s="5" t="s">
        <v>51</v>
      </c>
      <c r="C183" s="5" t="s">
        <v>92</v>
      </c>
      <c r="D183" s="5" t="s">
        <v>3</v>
      </c>
      <c r="E183" s="6">
        <v>37043</v>
      </c>
      <c r="F183" s="5" t="s">
        <v>25</v>
      </c>
      <c r="G183" s="10">
        <v>45150</v>
      </c>
      <c r="H183" s="7">
        <v>1</v>
      </c>
      <c r="I183" s="12">
        <f>IF(OR(Table2[[#This Row],[Rating]]=4,Table2[[#This Row],[Rating]]=5), 0.05*Table2[[#This Row],[Salary]],0)</f>
        <v>0</v>
      </c>
      <c r="J183" s="14">
        <f>VLOOKUP(Table2[[#This Row],[Salary]],'Tax rates'!A$2:C$8, 2) + VLOOKUP(Table2[[#This Row],[Salary]],'Tax rates'!A$2:C$8, 3) * (Table2[[#This Row],[Salary]] - VLOOKUP(Table2[[#This Row],[Salary]],'Tax rates'!A$2:C$8,1))</f>
        <v>5872.5</v>
      </c>
      <c r="K183" s="14">
        <f>Table2[[#This Row],[Salary]]-Table2[[#This Row],[Taxes]]</f>
        <v>39277.5</v>
      </c>
      <c r="L183" s="15">
        <f>Table2[[#This Row],[After tax salary]]+Table2[[#This Row],[Bonus]]</f>
        <v>39277.5</v>
      </c>
    </row>
    <row r="184" spans="1:12" x14ac:dyDescent="0.25">
      <c r="A184" s="5" t="s">
        <v>388</v>
      </c>
      <c r="B184" s="5" t="s">
        <v>29</v>
      </c>
      <c r="C184" s="5" t="s">
        <v>35</v>
      </c>
      <c r="D184" s="5" t="s">
        <v>16</v>
      </c>
      <c r="E184" s="6">
        <v>37065</v>
      </c>
      <c r="F184" s="7"/>
      <c r="G184" s="10">
        <v>77136</v>
      </c>
      <c r="H184" s="7">
        <v>5</v>
      </c>
      <c r="I184" s="12">
        <f>IF(OR(Table2[[#This Row],[Rating]]=4,Table2[[#This Row],[Rating]]=5), 0.05*Table2[[#This Row],[Salary]],0)</f>
        <v>3856.8</v>
      </c>
      <c r="J184" s="14">
        <f>VLOOKUP(Table2[[#This Row],[Salary]],'Tax rates'!A$2:C$8, 2) + VLOOKUP(Table2[[#This Row],[Salary]],'Tax rates'!A$2:C$8, 3) * (Table2[[#This Row],[Salary]] - VLOOKUP(Table2[[#This Row],[Salary]],'Tax rates'!A$2:C$8,1))</f>
        <v>12909.42</v>
      </c>
      <c r="K184" s="14">
        <f>Table2[[#This Row],[Salary]]-Table2[[#This Row],[Taxes]]</f>
        <v>64226.58</v>
      </c>
      <c r="L184" s="15">
        <f>Table2[[#This Row],[After tax salary]]+Table2[[#This Row],[Bonus]]</f>
        <v>68083.38</v>
      </c>
    </row>
    <row r="185" spans="1:12" x14ac:dyDescent="0.25">
      <c r="A185" s="5" t="s">
        <v>66</v>
      </c>
      <c r="B185" s="5" t="s">
        <v>1</v>
      </c>
      <c r="C185" s="5" t="s">
        <v>18</v>
      </c>
      <c r="D185" s="5" t="s">
        <v>3</v>
      </c>
      <c r="E185" s="6">
        <v>37068</v>
      </c>
      <c r="F185" s="5" t="s">
        <v>25</v>
      </c>
      <c r="G185" s="10">
        <v>66010</v>
      </c>
      <c r="H185" s="7">
        <v>5</v>
      </c>
      <c r="I185" s="12">
        <f>IF(OR(Table2[[#This Row],[Rating]]=4,Table2[[#This Row],[Rating]]=5), 0.05*Table2[[#This Row],[Salary]],0)</f>
        <v>3300.5</v>
      </c>
      <c r="J185" s="14">
        <f>VLOOKUP(Table2[[#This Row],[Salary]],'Tax rates'!A$2:C$8, 2) + VLOOKUP(Table2[[#This Row],[Salary]],'Tax rates'!A$2:C$8, 3) * (Table2[[#This Row],[Salary]] - VLOOKUP(Table2[[#This Row],[Salary]],'Tax rates'!A$2:C$8,1))</f>
        <v>10461.700000000001</v>
      </c>
      <c r="K185" s="14">
        <f>Table2[[#This Row],[Salary]]-Table2[[#This Row],[Taxes]]</f>
        <v>55548.3</v>
      </c>
      <c r="L185" s="15">
        <f>Table2[[#This Row],[After tax salary]]+Table2[[#This Row],[Bonus]]</f>
        <v>58848.800000000003</v>
      </c>
    </row>
    <row r="186" spans="1:12" x14ac:dyDescent="0.25">
      <c r="A186" s="5" t="s">
        <v>416</v>
      </c>
      <c r="B186" s="5" t="s">
        <v>13</v>
      </c>
      <c r="C186" s="5" t="s">
        <v>46</v>
      </c>
      <c r="D186" s="5" t="s">
        <v>3</v>
      </c>
      <c r="E186" s="6">
        <v>37073</v>
      </c>
      <c r="F186" s="5" t="s">
        <v>9</v>
      </c>
      <c r="G186" s="10">
        <v>40680</v>
      </c>
      <c r="H186" s="7">
        <v>5</v>
      </c>
      <c r="I186" s="12">
        <f>IF(OR(Table2[[#This Row],[Rating]]=4,Table2[[#This Row],[Rating]]=5), 0.05*Table2[[#This Row],[Salary]],0)</f>
        <v>2034</v>
      </c>
      <c r="J186" s="14">
        <f>VLOOKUP(Table2[[#This Row],[Salary]],'Tax rates'!A$2:C$8, 2) + VLOOKUP(Table2[[#This Row],[Salary]],'Tax rates'!A$2:C$8, 3) * (Table2[[#This Row],[Salary]] - VLOOKUP(Table2[[#This Row],[Salary]],'Tax rates'!A$2:C$8,1))</f>
        <v>4889.1000000000004</v>
      </c>
      <c r="K186" s="14">
        <f>Table2[[#This Row],[Salary]]-Table2[[#This Row],[Taxes]]</f>
        <v>35790.9</v>
      </c>
      <c r="L186" s="15">
        <f>Table2[[#This Row],[After tax salary]]+Table2[[#This Row],[Bonus]]</f>
        <v>37824.9</v>
      </c>
    </row>
    <row r="187" spans="1:12" x14ac:dyDescent="0.25">
      <c r="A187" s="5" t="s">
        <v>732</v>
      </c>
      <c r="B187" s="5" t="s">
        <v>27</v>
      </c>
      <c r="C187" s="5" t="s">
        <v>2</v>
      </c>
      <c r="D187" s="5" t="s">
        <v>16</v>
      </c>
      <c r="E187" s="6">
        <v>37082</v>
      </c>
      <c r="F187" s="7"/>
      <c r="G187" s="10">
        <v>46780</v>
      </c>
      <c r="H187" s="7">
        <v>2</v>
      </c>
      <c r="I187" s="12">
        <f>IF(OR(Table2[[#This Row],[Rating]]=4,Table2[[#This Row],[Rating]]=5), 0.05*Table2[[#This Row],[Salary]],0)</f>
        <v>0</v>
      </c>
      <c r="J187" s="14">
        <f>VLOOKUP(Table2[[#This Row],[Salary]],'Tax rates'!A$2:C$8, 2) + VLOOKUP(Table2[[#This Row],[Salary]],'Tax rates'!A$2:C$8, 3) * (Table2[[#This Row],[Salary]] - VLOOKUP(Table2[[#This Row],[Salary]],'Tax rates'!A$2:C$8,1))</f>
        <v>6231.1</v>
      </c>
      <c r="K187" s="14">
        <f>Table2[[#This Row],[Salary]]-Table2[[#This Row],[Taxes]]</f>
        <v>40548.9</v>
      </c>
      <c r="L187" s="15">
        <f>Table2[[#This Row],[After tax salary]]+Table2[[#This Row],[Bonus]]</f>
        <v>40548.9</v>
      </c>
    </row>
    <row r="188" spans="1:12" x14ac:dyDescent="0.25">
      <c r="A188" s="5" t="s">
        <v>393</v>
      </c>
      <c r="B188" s="5" t="s">
        <v>6</v>
      </c>
      <c r="C188" s="5" t="s">
        <v>35</v>
      </c>
      <c r="D188" s="5" t="s">
        <v>16</v>
      </c>
      <c r="E188" s="6">
        <v>37099</v>
      </c>
      <c r="F188" s="7"/>
      <c r="G188" s="10">
        <v>28270</v>
      </c>
      <c r="H188" s="7">
        <v>5</v>
      </c>
      <c r="I188" s="12">
        <f>IF(OR(Table2[[#This Row],[Rating]]=4,Table2[[#This Row],[Rating]]=5), 0.05*Table2[[#This Row],[Salary]],0)</f>
        <v>1413.5</v>
      </c>
      <c r="J188" s="14">
        <f>VLOOKUP(Table2[[#This Row],[Salary]],'Tax rates'!A$2:C$8, 2) + VLOOKUP(Table2[[#This Row],[Salary]],'Tax rates'!A$2:C$8, 3) * (Table2[[#This Row],[Salary]] - VLOOKUP(Table2[[#This Row],[Salary]],'Tax rates'!A$2:C$8,1))</f>
        <v>3201.9</v>
      </c>
      <c r="K188" s="14">
        <f>Table2[[#This Row],[Salary]]-Table2[[#This Row],[Taxes]]</f>
        <v>25068.1</v>
      </c>
      <c r="L188" s="15">
        <f>Table2[[#This Row],[After tax salary]]+Table2[[#This Row],[Bonus]]</f>
        <v>26481.599999999999</v>
      </c>
    </row>
    <row r="189" spans="1:12" x14ac:dyDescent="0.25">
      <c r="A189" s="5" t="s">
        <v>489</v>
      </c>
      <c r="B189" s="5" t="s">
        <v>6</v>
      </c>
      <c r="C189" s="5" t="s">
        <v>20</v>
      </c>
      <c r="D189" s="5" t="s">
        <v>3</v>
      </c>
      <c r="E189" s="6">
        <v>37113</v>
      </c>
      <c r="F189" s="5" t="s">
        <v>21</v>
      </c>
      <c r="G189" s="10">
        <v>61150</v>
      </c>
      <c r="H189" s="7">
        <v>4</v>
      </c>
      <c r="I189" s="12">
        <f>IF(OR(Table2[[#This Row],[Rating]]=4,Table2[[#This Row],[Rating]]=5), 0.05*Table2[[#This Row],[Salary]],0)</f>
        <v>3057.5</v>
      </c>
      <c r="J189" s="14">
        <f>VLOOKUP(Table2[[#This Row],[Salary]],'Tax rates'!A$2:C$8, 2) + VLOOKUP(Table2[[#This Row],[Salary]],'Tax rates'!A$2:C$8, 3) * (Table2[[#This Row],[Salary]] - VLOOKUP(Table2[[#This Row],[Salary]],'Tax rates'!A$2:C$8,1))</f>
        <v>9392.5</v>
      </c>
      <c r="K189" s="14">
        <f>Table2[[#This Row],[Salary]]-Table2[[#This Row],[Taxes]]</f>
        <v>51757.5</v>
      </c>
      <c r="L189" s="15">
        <f>Table2[[#This Row],[After tax salary]]+Table2[[#This Row],[Bonus]]</f>
        <v>54815</v>
      </c>
    </row>
    <row r="190" spans="1:12" x14ac:dyDescent="0.25">
      <c r="A190" s="5" t="s">
        <v>762</v>
      </c>
      <c r="B190" s="5" t="s">
        <v>6</v>
      </c>
      <c r="C190" s="5" t="s">
        <v>30</v>
      </c>
      <c r="D190" s="5" t="s">
        <v>3</v>
      </c>
      <c r="E190" s="6">
        <v>37138</v>
      </c>
      <c r="F190" s="5" t="s">
        <v>4</v>
      </c>
      <c r="G190" s="10">
        <v>29130</v>
      </c>
      <c r="H190" s="7">
        <v>1</v>
      </c>
      <c r="I190" s="12">
        <f>IF(OR(Table2[[#This Row],[Rating]]=4,Table2[[#This Row],[Rating]]=5), 0.05*Table2[[#This Row],[Salary]],0)</f>
        <v>0</v>
      </c>
      <c r="J190" s="14">
        <f>VLOOKUP(Table2[[#This Row],[Salary]],'Tax rates'!A$2:C$8, 2) + VLOOKUP(Table2[[#This Row],[Salary]],'Tax rates'!A$2:C$8, 3) * (Table2[[#This Row],[Salary]] - VLOOKUP(Table2[[#This Row],[Salary]],'Tax rates'!A$2:C$8,1))</f>
        <v>3305.1</v>
      </c>
      <c r="K190" s="14">
        <f>Table2[[#This Row],[Salary]]-Table2[[#This Row],[Taxes]]</f>
        <v>25824.9</v>
      </c>
      <c r="L190" s="15">
        <f>Table2[[#This Row],[After tax salary]]+Table2[[#This Row],[Bonus]]</f>
        <v>25824.9</v>
      </c>
    </row>
    <row r="191" spans="1:12" x14ac:dyDescent="0.25">
      <c r="A191" s="5" t="s">
        <v>383</v>
      </c>
      <c r="B191" s="5" t="s">
        <v>13</v>
      </c>
      <c r="C191" s="5" t="s">
        <v>59</v>
      </c>
      <c r="D191" s="5" t="s">
        <v>24</v>
      </c>
      <c r="E191" s="6">
        <v>37138</v>
      </c>
      <c r="F191" s="5" t="s">
        <v>25</v>
      </c>
      <c r="G191" s="10">
        <v>31110</v>
      </c>
      <c r="H191" s="7">
        <v>1</v>
      </c>
      <c r="I191" s="12">
        <f>IF(OR(Table2[[#This Row],[Rating]]=4,Table2[[#This Row],[Rating]]=5), 0.05*Table2[[#This Row],[Salary]],0)</f>
        <v>0</v>
      </c>
      <c r="J191" s="14">
        <f>VLOOKUP(Table2[[#This Row],[Salary]],'Tax rates'!A$2:C$8, 2) + VLOOKUP(Table2[[#This Row],[Salary]],'Tax rates'!A$2:C$8, 3) * (Table2[[#This Row],[Salary]] - VLOOKUP(Table2[[#This Row],[Salary]],'Tax rates'!A$2:C$8,1))</f>
        <v>3542.7</v>
      </c>
      <c r="K191" s="14">
        <f>Table2[[#This Row],[Salary]]-Table2[[#This Row],[Taxes]]</f>
        <v>27567.3</v>
      </c>
      <c r="L191" s="15">
        <f>Table2[[#This Row],[After tax salary]]+Table2[[#This Row],[Bonus]]</f>
        <v>27567.3</v>
      </c>
    </row>
    <row r="192" spans="1:12" x14ac:dyDescent="0.25">
      <c r="A192" s="5" t="s">
        <v>705</v>
      </c>
      <c r="B192" s="5" t="s">
        <v>51</v>
      </c>
      <c r="C192" s="5" t="s">
        <v>59</v>
      </c>
      <c r="D192" s="5" t="s">
        <v>24</v>
      </c>
      <c r="E192" s="6">
        <v>37141</v>
      </c>
      <c r="F192" s="5" t="s">
        <v>9</v>
      </c>
      <c r="G192" s="10">
        <v>15910</v>
      </c>
      <c r="H192" s="7">
        <v>3</v>
      </c>
      <c r="I192" s="12">
        <f>IF(OR(Table2[[#This Row],[Rating]]=4,Table2[[#This Row],[Rating]]=5), 0.05*Table2[[#This Row],[Salary]],0)</f>
        <v>0</v>
      </c>
      <c r="J192" s="14">
        <f>VLOOKUP(Table2[[#This Row],[Salary]],'Tax rates'!A$2:C$8, 2) + VLOOKUP(Table2[[#This Row],[Salary]],'Tax rates'!A$2:C$8, 3) * (Table2[[#This Row],[Salary]] - VLOOKUP(Table2[[#This Row],[Salary]],'Tax rates'!A$2:C$8,1))</f>
        <v>1718.6999999999998</v>
      </c>
      <c r="K192" s="14">
        <f>Table2[[#This Row],[Salary]]-Table2[[#This Row],[Taxes]]</f>
        <v>14191.3</v>
      </c>
      <c r="L192" s="15">
        <f>Table2[[#This Row],[After tax salary]]+Table2[[#This Row],[Bonus]]</f>
        <v>14191.3</v>
      </c>
    </row>
    <row r="193" spans="1:12" x14ac:dyDescent="0.25">
      <c r="A193" s="5" t="s">
        <v>380</v>
      </c>
      <c r="B193" s="5" t="s">
        <v>29</v>
      </c>
      <c r="C193" s="5" t="s">
        <v>35</v>
      </c>
      <c r="D193" s="5" t="s">
        <v>16</v>
      </c>
      <c r="E193" s="6">
        <v>37141</v>
      </c>
      <c r="F193" s="7"/>
      <c r="G193" s="10">
        <v>25530</v>
      </c>
      <c r="H193" s="7">
        <v>3</v>
      </c>
      <c r="I193" s="12">
        <f>IF(OR(Table2[[#This Row],[Rating]]=4,Table2[[#This Row],[Rating]]=5), 0.05*Table2[[#This Row],[Salary]],0)</f>
        <v>0</v>
      </c>
      <c r="J193" s="14">
        <f>VLOOKUP(Table2[[#This Row],[Salary]],'Tax rates'!A$2:C$8, 2) + VLOOKUP(Table2[[#This Row],[Salary]],'Tax rates'!A$2:C$8, 3) * (Table2[[#This Row],[Salary]] - VLOOKUP(Table2[[#This Row],[Salary]],'Tax rates'!A$2:C$8,1))</f>
        <v>2873.1</v>
      </c>
      <c r="K193" s="14">
        <f>Table2[[#This Row],[Salary]]-Table2[[#This Row],[Taxes]]</f>
        <v>22656.9</v>
      </c>
      <c r="L193" s="15">
        <f>Table2[[#This Row],[After tax salary]]+Table2[[#This Row],[Bonus]]</f>
        <v>22656.9</v>
      </c>
    </row>
    <row r="194" spans="1:12" x14ac:dyDescent="0.25">
      <c r="A194" s="5" t="s">
        <v>743</v>
      </c>
      <c r="B194" s="5" t="s">
        <v>6</v>
      </c>
      <c r="C194" s="5" t="s">
        <v>59</v>
      </c>
      <c r="D194" s="5" t="s">
        <v>24</v>
      </c>
      <c r="E194" s="6">
        <v>37166</v>
      </c>
      <c r="F194" s="5" t="s">
        <v>25</v>
      </c>
      <c r="G194" s="10">
        <v>47295</v>
      </c>
      <c r="H194" s="7">
        <v>4</v>
      </c>
      <c r="I194" s="12">
        <f>IF(OR(Table2[[#This Row],[Rating]]=4,Table2[[#This Row],[Rating]]=5), 0.05*Table2[[#This Row],[Salary]],0)</f>
        <v>2364.75</v>
      </c>
      <c r="J194" s="14">
        <f>VLOOKUP(Table2[[#This Row],[Salary]],'Tax rates'!A$2:C$8, 2) + VLOOKUP(Table2[[#This Row],[Salary]],'Tax rates'!A$2:C$8, 3) * (Table2[[#This Row],[Salary]] - VLOOKUP(Table2[[#This Row],[Salary]],'Tax rates'!A$2:C$8,1))</f>
        <v>6344.4</v>
      </c>
      <c r="K194" s="14">
        <f>Table2[[#This Row],[Salary]]-Table2[[#This Row],[Taxes]]</f>
        <v>40950.6</v>
      </c>
      <c r="L194" s="15">
        <f>Table2[[#This Row],[After tax salary]]+Table2[[#This Row],[Bonus]]</f>
        <v>43315.35</v>
      </c>
    </row>
    <row r="195" spans="1:12" x14ac:dyDescent="0.25">
      <c r="A195" s="5" t="s">
        <v>242</v>
      </c>
      <c r="B195" s="5" t="s">
        <v>6</v>
      </c>
      <c r="C195" s="5" t="s">
        <v>75</v>
      </c>
      <c r="D195" s="5" t="s">
        <v>3</v>
      </c>
      <c r="E195" s="6">
        <v>37176</v>
      </c>
      <c r="F195" s="5" t="s">
        <v>21</v>
      </c>
      <c r="G195" s="10">
        <v>62790</v>
      </c>
      <c r="H195" s="7">
        <v>2</v>
      </c>
      <c r="I195" s="12">
        <f>IF(OR(Table2[[#This Row],[Rating]]=4,Table2[[#This Row],[Rating]]=5), 0.05*Table2[[#This Row],[Salary]],0)</f>
        <v>0</v>
      </c>
      <c r="J195" s="14">
        <f>VLOOKUP(Table2[[#This Row],[Salary]],'Tax rates'!A$2:C$8, 2) + VLOOKUP(Table2[[#This Row],[Salary]],'Tax rates'!A$2:C$8, 3) * (Table2[[#This Row],[Salary]] - VLOOKUP(Table2[[#This Row],[Salary]],'Tax rates'!A$2:C$8,1))</f>
        <v>9753.2999999999993</v>
      </c>
      <c r="K195" s="14">
        <f>Table2[[#This Row],[Salary]]-Table2[[#This Row],[Taxes]]</f>
        <v>53036.7</v>
      </c>
      <c r="L195" s="15">
        <f>Table2[[#This Row],[After tax salary]]+Table2[[#This Row],[Bonus]]</f>
        <v>53036.7</v>
      </c>
    </row>
    <row r="196" spans="1:12" x14ac:dyDescent="0.25">
      <c r="A196" s="5" t="s">
        <v>481</v>
      </c>
      <c r="B196" s="5" t="s">
        <v>51</v>
      </c>
      <c r="C196" s="5" t="s">
        <v>18</v>
      </c>
      <c r="D196" s="5" t="s">
        <v>3</v>
      </c>
      <c r="E196" s="6">
        <v>37229</v>
      </c>
      <c r="F196" s="5" t="s">
        <v>11</v>
      </c>
      <c r="G196" s="10">
        <v>25310</v>
      </c>
      <c r="H196" s="7">
        <v>4</v>
      </c>
      <c r="I196" s="12">
        <f>IF(OR(Table2[[#This Row],[Rating]]=4,Table2[[#This Row],[Rating]]=5), 0.05*Table2[[#This Row],[Salary]],0)</f>
        <v>1265.5</v>
      </c>
      <c r="J196" s="14">
        <f>VLOOKUP(Table2[[#This Row],[Salary]],'Tax rates'!A$2:C$8, 2) + VLOOKUP(Table2[[#This Row],[Salary]],'Tax rates'!A$2:C$8, 3) * (Table2[[#This Row],[Salary]] - VLOOKUP(Table2[[#This Row],[Salary]],'Tax rates'!A$2:C$8,1))</f>
        <v>2846.7</v>
      </c>
      <c r="K196" s="14">
        <f>Table2[[#This Row],[Salary]]-Table2[[#This Row],[Taxes]]</f>
        <v>22463.3</v>
      </c>
      <c r="L196" s="15">
        <f>Table2[[#This Row],[After tax salary]]+Table2[[#This Row],[Bonus]]</f>
        <v>23728.799999999999</v>
      </c>
    </row>
    <row r="197" spans="1:12" x14ac:dyDescent="0.25">
      <c r="A197" s="5" t="s">
        <v>493</v>
      </c>
      <c r="B197" s="5" t="s">
        <v>13</v>
      </c>
      <c r="C197" s="5" t="s">
        <v>37</v>
      </c>
      <c r="D197" s="5" t="s">
        <v>16</v>
      </c>
      <c r="E197" s="6">
        <v>37236</v>
      </c>
      <c r="F197" s="7"/>
      <c r="G197" s="10">
        <v>29540</v>
      </c>
      <c r="H197" s="7">
        <v>3</v>
      </c>
      <c r="I197" s="12">
        <f>IF(OR(Table2[[#This Row],[Rating]]=4,Table2[[#This Row],[Rating]]=5), 0.05*Table2[[#This Row],[Salary]],0)</f>
        <v>0</v>
      </c>
      <c r="J197" s="14">
        <f>VLOOKUP(Table2[[#This Row],[Salary]],'Tax rates'!A$2:C$8, 2) + VLOOKUP(Table2[[#This Row],[Salary]],'Tax rates'!A$2:C$8, 3) * (Table2[[#This Row],[Salary]] - VLOOKUP(Table2[[#This Row],[Salary]],'Tax rates'!A$2:C$8,1))</f>
        <v>3354.2999999999997</v>
      </c>
      <c r="K197" s="14">
        <f>Table2[[#This Row],[Salary]]-Table2[[#This Row],[Taxes]]</f>
        <v>26185.7</v>
      </c>
      <c r="L197" s="15">
        <f>Table2[[#This Row],[After tax salary]]+Table2[[#This Row],[Bonus]]</f>
        <v>26185.7</v>
      </c>
    </row>
    <row r="198" spans="1:12" x14ac:dyDescent="0.25">
      <c r="A198" s="5" t="s">
        <v>446</v>
      </c>
      <c r="B198" s="5" t="s">
        <v>6</v>
      </c>
      <c r="C198" s="5" t="s">
        <v>75</v>
      </c>
      <c r="D198" s="5" t="s">
        <v>3</v>
      </c>
      <c r="E198" s="6">
        <v>37241</v>
      </c>
      <c r="F198" s="5" t="s">
        <v>4</v>
      </c>
      <c r="G198" s="10">
        <v>71950</v>
      </c>
      <c r="H198" s="7">
        <v>5</v>
      </c>
      <c r="I198" s="12">
        <f>IF(OR(Table2[[#This Row],[Rating]]=4,Table2[[#This Row],[Rating]]=5), 0.05*Table2[[#This Row],[Salary]],0)</f>
        <v>3597.5</v>
      </c>
      <c r="J198" s="14">
        <f>VLOOKUP(Table2[[#This Row],[Salary]],'Tax rates'!A$2:C$8, 2) + VLOOKUP(Table2[[#This Row],[Salary]],'Tax rates'!A$2:C$8, 3) * (Table2[[#This Row],[Salary]] - VLOOKUP(Table2[[#This Row],[Salary]],'Tax rates'!A$2:C$8,1))</f>
        <v>11768.5</v>
      </c>
      <c r="K198" s="14">
        <f>Table2[[#This Row],[Salary]]-Table2[[#This Row],[Taxes]]</f>
        <v>60181.5</v>
      </c>
      <c r="L198" s="15">
        <f>Table2[[#This Row],[After tax salary]]+Table2[[#This Row],[Bonus]]</f>
        <v>63779</v>
      </c>
    </row>
    <row r="199" spans="1:12" x14ac:dyDescent="0.25">
      <c r="A199" s="5" t="s">
        <v>188</v>
      </c>
      <c r="B199" s="5" t="s">
        <v>6</v>
      </c>
      <c r="C199" s="5" t="s">
        <v>30</v>
      </c>
      <c r="D199" s="5" t="s">
        <v>24</v>
      </c>
      <c r="E199" s="6">
        <v>37249</v>
      </c>
      <c r="F199" s="5" t="s">
        <v>9</v>
      </c>
      <c r="G199" s="10">
        <v>12545</v>
      </c>
      <c r="H199" s="7">
        <v>4</v>
      </c>
      <c r="I199" s="12">
        <f>IF(OR(Table2[[#This Row],[Rating]]=4,Table2[[#This Row],[Rating]]=5), 0.05*Table2[[#This Row],[Salary]],0)</f>
        <v>627.25</v>
      </c>
      <c r="J199" s="14">
        <f>VLOOKUP(Table2[[#This Row],[Salary]],'Tax rates'!A$2:C$8, 2) + VLOOKUP(Table2[[#This Row],[Salary]],'Tax rates'!A$2:C$8, 3) * (Table2[[#This Row],[Salary]] - VLOOKUP(Table2[[#This Row],[Salary]],'Tax rates'!A$2:C$8,1))</f>
        <v>1314.9</v>
      </c>
      <c r="K199" s="14">
        <f>Table2[[#This Row],[Salary]]-Table2[[#This Row],[Taxes]]</f>
        <v>11230.1</v>
      </c>
      <c r="L199" s="15">
        <f>Table2[[#This Row],[After tax salary]]+Table2[[#This Row],[Bonus]]</f>
        <v>11857.35</v>
      </c>
    </row>
    <row r="200" spans="1:12" x14ac:dyDescent="0.25">
      <c r="A200" s="5" t="s">
        <v>776</v>
      </c>
      <c r="B200" s="5" t="s">
        <v>6</v>
      </c>
      <c r="C200" s="5" t="s">
        <v>8</v>
      </c>
      <c r="D200" s="5" t="s">
        <v>3</v>
      </c>
      <c r="E200" s="6">
        <v>37288</v>
      </c>
      <c r="F200" s="5" t="s">
        <v>4</v>
      </c>
      <c r="G200" s="10">
        <v>42480</v>
      </c>
      <c r="H200" s="7">
        <v>3</v>
      </c>
      <c r="I200" s="12">
        <f>IF(OR(Table2[[#This Row],[Rating]]=4,Table2[[#This Row],[Rating]]=5), 0.05*Table2[[#This Row],[Salary]],0)</f>
        <v>0</v>
      </c>
      <c r="J200" s="14">
        <f>VLOOKUP(Table2[[#This Row],[Salary]],'Tax rates'!A$2:C$8, 2) + VLOOKUP(Table2[[#This Row],[Salary]],'Tax rates'!A$2:C$8, 3) * (Table2[[#This Row],[Salary]] - VLOOKUP(Table2[[#This Row],[Salary]],'Tax rates'!A$2:C$8,1))</f>
        <v>5285.1</v>
      </c>
      <c r="K200" s="14">
        <f>Table2[[#This Row],[Salary]]-Table2[[#This Row],[Taxes]]</f>
        <v>37194.9</v>
      </c>
      <c r="L200" s="15">
        <f>Table2[[#This Row],[After tax salary]]+Table2[[#This Row],[Bonus]]</f>
        <v>37194.9</v>
      </c>
    </row>
    <row r="201" spans="1:12" x14ac:dyDescent="0.25">
      <c r="A201" s="5" t="s">
        <v>621</v>
      </c>
      <c r="B201" s="5" t="s">
        <v>27</v>
      </c>
      <c r="C201" s="5" t="s">
        <v>18</v>
      </c>
      <c r="D201" s="5" t="s">
        <v>16</v>
      </c>
      <c r="E201" s="6">
        <v>37326</v>
      </c>
      <c r="F201" s="7"/>
      <c r="G201" s="10">
        <v>52770</v>
      </c>
      <c r="H201" s="7">
        <v>2</v>
      </c>
      <c r="I201" s="12">
        <f>IF(OR(Table2[[#This Row],[Rating]]=4,Table2[[#This Row],[Rating]]=5), 0.05*Table2[[#This Row],[Salary]],0)</f>
        <v>0</v>
      </c>
      <c r="J201" s="14">
        <f>VLOOKUP(Table2[[#This Row],[Salary]],'Tax rates'!A$2:C$8, 2) + VLOOKUP(Table2[[#This Row],[Salary]],'Tax rates'!A$2:C$8, 3) * (Table2[[#This Row],[Salary]] - VLOOKUP(Table2[[#This Row],[Salary]],'Tax rates'!A$2:C$8,1))</f>
        <v>7548.9</v>
      </c>
      <c r="K201" s="14">
        <f>Table2[[#This Row],[Salary]]-Table2[[#This Row],[Taxes]]</f>
        <v>45221.1</v>
      </c>
      <c r="L201" s="15">
        <f>Table2[[#This Row],[After tax salary]]+Table2[[#This Row],[Bonus]]</f>
        <v>45221.1</v>
      </c>
    </row>
    <row r="202" spans="1:12" x14ac:dyDescent="0.25">
      <c r="A202" s="5" t="s">
        <v>682</v>
      </c>
      <c r="B202" s="5" t="s">
        <v>6</v>
      </c>
      <c r="C202" s="5" t="s">
        <v>18</v>
      </c>
      <c r="D202" s="5" t="s">
        <v>3</v>
      </c>
      <c r="E202" s="6">
        <v>37331</v>
      </c>
      <c r="F202" s="5" t="s">
        <v>11</v>
      </c>
      <c r="G202" s="10">
        <v>62750</v>
      </c>
      <c r="H202" s="7">
        <v>3</v>
      </c>
      <c r="I202" s="12">
        <f>IF(OR(Table2[[#This Row],[Rating]]=4,Table2[[#This Row],[Rating]]=5), 0.05*Table2[[#This Row],[Salary]],0)</f>
        <v>0</v>
      </c>
      <c r="J202" s="14">
        <f>VLOOKUP(Table2[[#This Row],[Salary]],'Tax rates'!A$2:C$8, 2) + VLOOKUP(Table2[[#This Row],[Salary]],'Tax rates'!A$2:C$8, 3) * (Table2[[#This Row],[Salary]] - VLOOKUP(Table2[[#This Row],[Salary]],'Tax rates'!A$2:C$8,1))</f>
        <v>9744.5</v>
      </c>
      <c r="K202" s="14">
        <f>Table2[[#This Row],[Salary]]-Table2[[#This Row],[Taxes]]</f>
        <v>53005.5</v>
      </c>
      <c r="L202" s="15">
        <f>Table2[[#This Row],[After tax salary]]+Table2[[#This Row],[Bonus]]</f>
        <v>53005.5</v>
      </c>
    </row>
    <row r="203" spans="1:12" x14ac:dyDescent="0.25">
      <c r="A203" s="5" t="s">
        <v>315</v>
      </c>
      <c r="B203" s="5" t="s">
        <v>1</v>
      </c>
      <c r="C203" s="5" t="s">
        <v>75</v>
      </c>
      <c r="D203" s="5" t="s">
        <v>3</v>
      </c>
      <c r="E203" s="6">
        <v>37348</v>
      </c>
      <c r="F203" s="5" t="s">
        <v>25</v>
      </c>
      <c r="G203" s="10">
        <v>85880</v>
      </c>
      <c r="H203" s="7">
        <v>3</v>
      </c>
      <c r="I203" s="12">
        <f>IF(OR(Table2[[#This Row],[Rating]]=4,Table2[[#This Row],[Rating]]=5), 0.05*Table2[[#This Row],[Salary]],0)</f>
        <v>0</v>
      </c>
      <c r="J203" s="14">
        <f>VLOOKUP(Table2[[#This Row],[Salary]],'Tax rates'!A$2:C$8, 2) + VLOOKUP(Table2[[#This Row],[Salary]],'Tax rates'!A$2:C$8, 3) * (Table2[[#This Row],[Salary]] - VLOOKUP(Table2[[#This Row],[Salary]],'Tax rates'!A$2:C$8,1))</f>
        <v>14900.7</v>
      </c>
      <c r="K203" s="14">
        <f>Table2[[#This Row],[Salary]]-Table2[[#This Row],[Taxes]]</f>
        <v>70979.3</v>
      </c>
      <c r="L203" s="15">
        <f>Table2[[#This Row],[After tax salary]]+Table2[[#This Row],[Bonus]]</f>
        <v>70979.3</v>
      </c>
    </row>
    <row r="204" spans="1:12" x14ac:dyDescent="0.25">
      <c r="A204" s="5" t="s">
        <v>171</v>
      </c>
      <c r="B204" s="5" t="s">
        <v>1</v>
      </c>
      <c r="C204" s="5" t="s">
        <v>18</v>
      </c>
      <c r="D204" s="5" t="s">
        <v>3</v>
      </c>
      <c r="E204" s="6">
        <v>37394</v>
      </c>
      <c r="F204" s="5" t="s">
        <v>4</v>
      </c>
      <c r="G204" s="10">
        <v>28970</v>
      </c>
      <c r="H204" s="7">
        <v>3</v>
      </c>
      <c r="I204" s="12">
        <f>IF(OR(Table2[[#This Row],[Rating]]=4,Table2[[#This Row],[Rating]]=5), 0.05*Table2[[#This Row],[Salary]],0)</f>
        <v>0</v>
      </c>
      <c r="J204" s="14">
        <f>VLOOKUP(Table2[[#This Row],[Salary]],'Tax rates'!A$2:C$8, 2) + VLOOKUP(Table2[[#This Row],[Salary]],'Tax rates'!A$2:C$8, 3) * (Table2[[#This Row],[Salary]] - VLOOKUP(Table2[[#This Row],[Salary]],'Tax rates'!A$2:C$8,1))</f>
        <v>3285.9</v>
      </c>
      <c r="K204" s="14">
        <f>Table2[[#This Row],[Salary]]-Table2[[#This Row],[Taxes]]</f>
        <v>25684.1</v>
      </c>
      <c r="L204" s="15">
        <f>Table2[[#This Row],[After tax salary]]+Table2[[#This Row],[Bonus]]</f>
        <v>25684.1</v>
      </c>
    </row>
    <row r="205" spans="1:12" x14ac:dyDescent="0.25">
      <c r="A205" s="5" t="s">
        <v>712</v>
      </c>
      <c r="B205" s="5" t="s">
        <v>6</v>
      </c>
      <c r="C205" s="5" t="s">
        <v>30</v>
      </c>
      <c r="D205" s="5" t="s">
        <v>16</v>
      </c>
      <c r="E205" s="6">
        <v>37404</v>
      </c>
      <c r="F205" s="7"/>
      <c r="G205" s="10">
        <v>60070</v>
      </c>
      <c r="H205" s="7">
        <v>3</v>
      </c>
      <c r="I205" s="12">
        <f>IF(OR(Table2[[#This Row],[Rating]]=4,Table2[[#This Row],[Rating]]=5), 0.05*Table2[[#This Row],[Salary]],0)</f>
        <v>0</v>
      </c>
      <c r="J205" s="14">
        <f>VLOOKUP(Table2[[#This Row],[Salary]],'Tax rates'!A$2:C$8, 2) + VLOOKUP(Table2[[#This Row],[Salary]],'Tax rates'!A$2:C$8, 3) * (Table2[[#This Row],[Salary]] - VLOOKUP(Table2[[#This Row],[Salary]],'Tax rates'!A$2:C$8,1))</f>
        <v>9154.9</v>
      </c>
      <c r="K205" s="14">
        <f>Table2[[#This Row],[Salary]]-Table2[[#This Row],[Taxes]]</f>
        <v>50915.1</v>
      </c>
      <c r="L205" s="15">
        <f>Table2[[#This Row],[After tax salary]]+Table2[[#This Row],[Bonus]]</f>
        <v>50915.1</v>
      </c>
    </row>
    <row r="206" spans="1:12" x14ac:dyDescent="0.25">
      <c r="A206" s="5" t="s">
        <v>692</v>
      </c>
      <c r="B206" s="5" t="s">
        <v>27</v>
      </c>
      <c r="C206" s="5" t="s">
        <v>106</v>
      </c>
      <c r="D206" s="5" t="s">
        <v>3</v>
      </c>
      <c r="E206" s="6">
        <v>37404</v>
      </c>
      <c r="F206" s="5" t="s">
        <v>4</v>
      </c>
      <c r="G206" s="10">
        <v>30780</v>
      </c>
      <c r="H206" s="7">
        <v>4</v>
      </c>
      <c r="I206" s="12">
        <f>IF(OR(Table2[[#This Row],[Rating]]=4,Table2[[#This Row],[Rating]]=5), 0.05*Table2[[#This Row],[Salary]],0)</f>
        <v>1539</v>
      </c>
      <c r="J206" s="14">
        <f>VLOOKUP(Table2[[#This Row],[Salary]],'Tax rates'!A$2:C$8, 2) + VLOOKUP(Table2[[#This Row],[Salary]],'Tax rates'!A$2:C$8, 3) * (Table2[[#This Row],[Salary]] - VLOOKUP(Table2[[#This Row],[Salary]],'Tax rates'!A$2:C$8,1))</f>
        <v>3503.1</v>
      </c>
      <c r="K206" s="14">
        <f>Table2[[#This Row],[Salary]]-Table2[[#This Row],[Taxes]]</f>
        <v>27276.9</v>
      </c>
      <c r="L206" s="15">
        <f>Table2[[#This Row],[After tax salary]]+Table2[[#This Row],[Bonus]]</f>
        <v>28815.9</v>
      </c>
    </row>
    <row r="207" spans="1:12" x14ac:dyDescent="0.25">
      <c r="A207" s="5" t="s">
        <v>768</v>
      </c>
      <c r="B207" s="5" t="s">
        <v>27</v>
      </c>
      <c r="C207" s="5" t="s">
        <v>15</v>
      </c>
      <c r="D207" s="5" t="s">
        <v>3</v>
      </c>
      <c r="E207" s="6">
        <v>37407</v>
      </c>
      <c r="F207" s="5" t="s">
        <v>4</v>
      </c>
      <c r="G207" s="10">
        <v>59140</v>
      </c>
      <c r="H207" s="7">
        <v>5</v>
      </c>
      <c r="I207" s="12">
        <f>IF(OR(Table2[[#This Row],[Rating]]=4,Table2[[#This Row],[Rating]]=5), 0.05*Table2[[#This Row],[Salary]],0)</f>
        <v>2957</v>
      </c>
      <c r="J207" s="14">
        <f>VLOOKUP(Table2[[#This Row],[Salary]],'Tax rates'!A$2:C$8, 2) + VLOOKUP(Table2[[#This Row],[Salary]],'Tax rates'!A$2:C$8, 3) * (Table2[[#This Row],[Salary]] - VLOOKUP(Table2[[#This Row],[Salary]],'Tax rates'!A$2:C$8,1))</f>
        <v>8950.2999999999993</v>
      </c>
      <c r="K207" s="14">
        <f>Table2[[#This Row],[Salary]]-Table2[[#This Row],[Taxes]]</f>
        <v>50189.7</v>
      </c>
      <c r="L207" s="15">
        <f>Table2[[#This Row],[After tax salary]]+Table2[[#This Row],[Bonus]]</f>
        <v>53146.7</v>
      </c>
    </row>
    <row r="208" spans="1:12" x14ac:dyDescent="0.25">
      <c r="A208" s="5" t="s">
        <v>423</v>
      </c>
      <c r="B208" s="5" t="s">
        <v>6</v>
      </c>
      <c r="C208" s="5" t="s">
        <v>18</v>
      </c>
      <c r="D208" s="5" t="s">
        <v>3</v>
      </c>
      <c r="E208" s="6">
        <v>37436</v>
      </c>
      <c r="F208" s="5" t="s">
        <v>21</v>
      </c>
      <c r="G208" s="10">
        <v>64130</v>
      </c>
      <c r="H208" s="7">
        <v>1</v>
      </c>
      <c r="I208" s="12">
        <f>IF(OR(Table2[[#This Row],[Rating]]=4,Table2[[#This Row],[Rating]]=5), 0.05*Table2[[#This Row],[Salary]],0)</f>
        <v>0</v>
      </c>
      <c r="J208" s="14">
        <f>VLOOKUP(Table2[[#This Row],[Salary]],'Tax rates'!A$2:C$8, 2) + VLOOKUP(Table2[[#This Row],[Salary]],'Tax rates'!A$2:C$8, 3) * (Table2[[#This Row],[Salary]] - VLOOKUP(Table2[[#This Row],[Salary]],'Tax rates'!A$2:C$8,1))</f>
        <v>10048.1</v>
      </c>
      <c r="K208" s="14">
        <f>Table2[[#This Row],[Salary]]-Table2[[#This Row],[Taxes]]</f>
        <v>54081.9</v>
      </c>
      <c r="L208" s="15">
        <f>Table2[[#This Row],[After tax salary]]+Table2[[#This Row],[Bonus]]</f>
        <v>54081.9</v>
      </c>
    </row>
    <row r="209" spans="1:12" x14ac:dyDescent="0.25">
      <c r="A209" s="5" t="s">
        <v>628</v>
      </c>
      <c r="B209" s="5" t="s">
        <v>29</v>
      </c>
      <c r="C209" s="5" t="s">
        <v>35</v>
      </c>
      <c r="D209" s="5" t="s">
        <v>16</v>
      </c>
      <c r="E209" s="6">
        <v>37453</v>
      </c>
      <c r="F209" s="7"/>
      <c r="G209" s="10">
        <v>49090</v>
      </c>
      <c r="H209" s="7">
        <v>4</v>
      </c>
      <c r="I209" s="12">
        <f>IF(OR(Table2[[#This Row],[Rating]]=4,Table2[[#This Row],[Rating]]=5), 0.05*Table2[[#This Row],[Salary]],0)</f>
        <v>2454.5</v>
      </c>
      <c r="J209" s="14">
        <f>VLOOKUP(Table2[[#This Row],[Salary]],'Tax rates'!A$2:C$8, 2) + VLOOKUP(Table2[[#This Row],[Salary]],'Tax rates'!A$2:C$8, 3) * (Table2[[#This Row],[Salary]] - VLOOKUP(Table2[[#This Row],[Salary]],'Tax rates'!A$2:C$8,1))</f>
        <v>6739.3</v>
      </c>
      <c r="K209" s="14">
        <f>Table2[[#This Row],[Salary]]-Table2[[#This Row],[Taxes]]</f>
        <v>42350.7</v>
      </c>
      <c r="L209" s="15">
        <f>Table2[[#This Row],[After tax salary]]+Table2[[#This Row],[Bonus]]</f>
        <v>44805.2</v>
      </c>
    </row>
    <row r="210" spans="1:12" x14ac:dyDescent="0.25">
      <c r="A210" s="5" t="s">
        <v>67</v>
      </c>
      <c r="B210" s="5" t="s">
        <v>13</v>
      </c>
      <c r="C210" s="5" t="s">
        <v>23</v>
      </c>
      <c r="D210" s="5" t="s">
        <v>24</v>
      </c>
      <c r="E210" s="6">
        <v>37470</v>
      </c>
      <c r="F210" s="5" t="s">
        <v>4</v>
      </c>
      <c r="G210" s="10">
        <v>33810</v>
      </c>
      <c r="H210" s="7">
        <v>5</v>
      </c>
      <c r="I210" s="12">
        <f>IF(OR(Table2[[#This Row],[Rating]]=4,Table2[[#This Row],[Rating]]=5), 0.05*Table2[[#This Row],[Salary]],0)</f>
        <v>1690.5</v>
      </c>
      <c r="J210" s="14">
        <f>VLOOKUP(Table2[[#This Row],[Salary]],'Tax rates'!A$2:C$8, 2) + VLOOKUP(Table2[[#This Row],[Salary]],'Tax rates'!A$2:C$8, 3) * (Table2[[#This Row],[Salary]] - VLOOKUP(Table2[[#This Row],[Salary]],'Tax rates'!A$2:C$8,1))</f>
        <v>3866.7</v>
      </c>
      <c r="K210" s="14">
        <f>Table2[[#This Row],[Salary]]-Table2[[#This Row],[Taxes]]</f>
        <v>29943.3</v>
      </c>
      <c r="L210" s="15">
        <f>Table2[[#This Row],[After tax salary]]+Table2[[#This Row],[Bonus]]</f>
        <v>31633.8</v>
      </c>
    </row>
    <row r="211" spans="1:12" x14ac:dyDescent="0.25">
      <c r="A211" s="5" t="s">
        <v>507</v>
      </c>
      <c r="B211" s="5" t="s">
        <v>27</v>
      </c>
      <c r="C211" s="5" t="s">
        <v>35</v>
      </c>
      <c r="D211" s="5" t="s">
        <v>3</v>
      </c>
      <c r="E211" s="6">
        <v>37495</v>
      </c>
      <c r="F211" s="5" t="s">
        <v>9</v>
      </c>
      <c r="G211" s="10">
        <v>60300</v>
      </c>
      <c r="H211" s="7">
        <v>2</v>
      </c>
      <c r="I211" s="12">
        <f>IF(OR(Table2[[#This Row],[Rating]]=4,Table2[[#This Row],[Rating]]=5), 0.05*Table2[[#This Row],[Salary]],0)</f>
        <v>0</v>
      </c>
      <c r="J211" s="14">
        <f>VLOOKUP(Table2[[#This Row],[Salary]],'Tax rates'!A$2:C$8, 2) + VLOOKUP(Table2[[#This Row],[Salary]],'Tax rates'!A$2:C$8, 3) * (Table2[[#This Row],[Salary]] - VLOOKUP(Table2[[#This Row],[Salary]],'Tax rates'!A$2:C$8,1))</f>
        <v>9205.5</v>
      </c>
      <c r="K211" s="14">
        <f>Table2[[#This Row],[Salary]]-Table2[[#This Row],[Taxes]]</f>
        <v>51094.5</v>
      </c>
      <c r="L211" s="15">
        <f>Table2[[#This Row],[After tax salary]]+Table2[[#This Row],[Bonus]]</f>
        <v>51094.5</v>
      </c>
    </row>
    <row r="212" spans="1:12" x14ac:dyDescent="0.25">
      <c r="A212" s="5" t="s">
        <v>277</v>
      </c>
      <c r="B212" s="5" t="s">
        <v>1</v>
      </c>
      <c r="C212" s="5" t="s">
        <v>92</v>
      </c>
      <c r="D212" s="5" t="s">
        <v>24</v>
      </c>
      <c r="E212" s="6">
        <v>37505</v>
      </c>
      <c r="F212" s="5" t="s">
        <v>9</v>
      </c>
      <c r="G212" s="10">
        <v>51800</v>
      </c>
      <c r="H212" s="7">
        <v>1</v>
      </c>
      <c r="I212" s="12">
        <f>IF(OR(Table2[[#This Row],[Rating]]=4,Table2[[#This Row],[Rating]]=5), 0.05*Table2[[#This Row],[Salary]],0)</f>
        <v>0</v>
      </c>
      <c r="J212" s="14">
        <f>VLOOKUP(Table2[[#This Row],[Salary]],'Tax rates'!A$2:C$8, 2) + VLOOKUP(Table2[[#This Row],[Salary]],'Tax rates'!A$2:C$8, 3) * (Table2[[#This Row],[Salary]] - VLOOKUP(Table2[[#This Row],[Salary]],'Tax rates'!A$2:C$8,1))</f>
        <v>7335.5</v>
      </c>
      <c r="K212" s="14">
        <f>Table2[[#This Row],[Salary]]-Table2[[#This Row],[Taxes]]</f>
        <v>44464.5</v>
      </c>
      <c r="L212" s="15">
        <f>Table2[[#This Row],[After tax salary]]+Table2[[#This Row],[Bonus]]</f>
        <v>44464.5</v>
      </c>
    </row>
    <row r="213" spans="1:12" x14ac:dyDescent="0.25">
      <c r="A213" s="5" t="s">
        <v>667</v>
      </c>
      <c r="B213" s="5" t="s">
        <v>6</v>
      </c>
      <c r="C213" s="5" t="s">
        <v>18</v>
      </c>
      <c r="D213" s="5" t="s">
        <v>3</v>
      </c>
      <c r="E213" s="6">
        <v>37509</v>
      </c>
      <c r="F213" s="5" t="s">
        <v>11</v>
      </c>
      <c r="G213" s="10">
        <v>69080</v>
      </c>
      <c r="H213" s="7">
        <v>3</v>
      </c>
      <c r="I213" s="12">
        <f>IF(OR(Table2[[#This Row],[Rating]]=4,Table2[[#This Row],[Rating]]=5), 0.05*Table2[[#This Row],[Salary]],0)</f>
        <v>0</v>
      </c>
      <c r="J213" s="14">
        <f>VLOOKUP(Table2[[#This Row],[Salary]],'Tax rates'!A$2:C$8, 2) + VLOOKUP(Table2[[#This Row],[Salary]],'Tax rates'!A$2:C$8, 3) * (Table2[[#This Row],[Salary]] - VLOOKUP(Table2[[#This Row],[Salary]],'Tax rates'!A$2:C$8,1))</f>
        <v>11137.1</v>
      </c>
      <c r="K213" s="14">
        <f>Table2[[#This Row],[Salary]]-Table2[[#This Row],[Taxes]]</f>
        <v>57942.9</v>
      </c>
      <c r="L213" s="15">
        <f>Table2[[#This Row],[After tax salary]]+Table2[[#This Row],[Bonus]]</f>
        <v>57942.9</v>
      </c>
    </row>
    <row r="214" spans="1:12" x14ac:dyDescent="0.25">
      <c r="A214" s="5" t="s">
        <v>503</v>
      </c>
      <c r="B214" s="5" t="s">
        <v>1</v>
      </c>
      <c r="C214" s="5" t="s">
        <v>30</v>
      </c>
      <c r="D214" s="5" t="s">
        <v>16</v>
      </c>
      <c r="E214" s="6">
        <v>37526</v>
      </c>
      <c r="F214" s="7"/>
      <c r="G214" s="10">
        <v>61580</v>
      </c>
      <c r="H214" s="7">
        <v>3</v>
      </c>
      <c r="I214" s="12">
        <f>IF(OR(Table2[[#This Row],[Rating]]=4,Table2[[#This Row],[Rating]]=5), 0.05*Table2[[#This Row],[Salary]],0)</f>
        <v>0</v>
      </c>
      <c r="J214" s="14">
        <f>VLOOKUP(Table2[[#This Row],[Salary]],'Tax rates'!A$2:C$8, 2) + VLOOKUP(Table2[[#This Row],[Salary]],'Tax rates'!A$2:C$8, 3) * (Table2[[#This Row],[Salary]] - VLOOKUP(Table2[[#This Row],[Salary]],'Tax rates'!A$2:C$8,1))</f>
        <v>9487.1</v>
      </c>
      <c r="K214" s="14">
        <f>Table2[[#This Row],[Salary]]-Table2[[#This Row],[Taxes]]</f>
        <v>52092.9</v>
      </c>
      <c r="L214" s="15">
        <f>Table2[[#This Row],[After tax salary]]+Table2[[#This Row],[Bonus]]</f>
        <v>52092.9</v>
      </c>
    </row>
    <row r="215" spans="1:12" x14ac:dyDescent="0.25">
      <c r="A215" s="5" t="s">
        <v>378</v>
      </c>
      <c r="B215" s="5" t="s">
        <v>1</v>
      </c>
      <c r="C215" s="5" t="s">
        <v>30</v>
      </c>
      <c r="D215" s="5" t="s">
        <v>3</v>
      </c>
      <c r="E215" s="6">
        <v>37568</v>
      </c>
      <c r="F215" s="5" t="s">
        <v>25</v>
      </c>
      <c r="G215" s="10">
        <v>45100</v>
      </c>
      <c r="H215" s="7">
        <v>2</v>
      </c>
      <c r="I215" s="12">
        <f>IF(OR(Table2[[#This Row],[Rating]]=4,Table2[[#This Row],[Rating]]=5), 0.05*Table2[[#This Row],[Salary]],0)</f>
        <v>0</v>
      </c>
      <c r="J215" s="14">
        <f>VLOOKUP(Table2[[#This Row],[Salary]],'Tax rates'!A$2:C$8, 2) + VLOOKUP(Table2[[#This Row],[Salary]],'Tax rates'!A$2:C$8, 3) * (Table2[[#This Row],[Salary]] - VLOOKUP(Table2[[#This Row],[Salary]],'Tax rates'!A$2:C$8,1))</f>
        <v>5861.5</v>
      </c>
      <c r="K215" s="14">
        <f>Table2[[#This Row],[Salary]]-Table2[[#This Row],[Taxes]]</f>
        <v>39238.5</v>
      </c>
      <c r="L215" s="15">
        <f>Table2[[#This Row],[After tax salary]]+Table2[[#This Row],[Bonus]]</f>
        <v>39238.5</v>
      </c>
    </row>
    <row r="216" spans="1:12" x14ac:dyDescent="0.25">
      <c r="A216" s="5" t="s">
        <v>371</v>
      </c>
      <c r="B216" s="5" t="s">
        <v>29</v>
      </c>
      <c r="C216" s="5" t="s">
        <v>20</v>
      </c>
      <c r="D216" s="5" t="s">
        <v>3</v>
      </c>
      <c r="E216" s="6">
        <v>37612</v>
      </c>
      <c r="F216" s="5" t="s">
        <v>21</v>
      </c>
      <c r="G216" s="10">
        <v>39740</v>
      </c>
      <c r="H216" s="7">
        <v>1</v>
      </c>
      <c r="I216" s="12">
        <f>IF(OR(Table2[[#This Row],[Rating]]=4,Table2[[#This Row],[Rating]]=5), 0.05*Table2[[#This Row],[Salary]],0)</f>
        <v>0</v>
      </c>
      <c r="J216" s="14">
        <f>VLOOKUP(Table2[[#This Row],[Salary]],'Tax rates'!A$2:C$8, 2) + VLOOKUP(Table2[[#This Row],[Salary]],'Tax rates'!A$2:C$8, 3) * (Table2[[#This Row],[Salary]] - VLOOKUP(Table2[[#This Row],[Salary]],'Tax rates'!A$2:C$8,1))</f>
        <v>4682.3</v>
      </c>
      <c r="K216" s="14">
        <f>Table2[[#This Row],[Salary]]-Table2[[#This Row],[Taxes]]</f>
        <v>35057.699999999997</v>
      </c>
      <c r="L216" s="15">
        <f>Table2[[#This Row],[After tax salary]]+Table2[[#This Row],[Bonus]]</f>
        <v>35057.699999999997</v>
      </c>
    </row>
    <row r="217" spans="1:12" x14ac:dyDescent="0.25">
      <c r="A217" s="5" t="s">
        <v>327</v>
      </c>
      <c r="B217" s="5" t="s">
        <v>13</v>
      </c>
      <c r="C217" s="5" t="s">
        <v>18</v>
      </c>
      <c r="D217" s="5" t="s">
        <v>24</v>
      </c>
      <c r="E217" s="6">
        <v>37620</v>
      </c>
      <c r="F217" s="5" t="s">
        <v>4</v>
      </c>
      <c r="G217" s="10">
        <v>24460</v>
      </c>
      <c r="H217" s="7">
        <v>1</v>
      </c>
      <c r="I217" s="12">
        <f>IF(OR(Table2[[#This Row],[Rating]]=4,Table2[[#This Row],[Rating]]=5), 0.05*Table2[[#This Row],[Salary]],0)</f>
        <v>0</v>
      </c>
      <c r="J217" s="14">
        <f>VLOOKUP(Table2[[#This Row],[Salary]],'Tax rates'!A$2:C$8, 2) + VLOOKUP(Table2[[#This Row],[Salary]],'Tax rates'!A$2:C$8, 3) * (Table2[[#This Row],[Salary]] - VLOOKUP(Table2[[#This Row],[Salary]],'Tax rates'!A$2:C$8,1))</f>
        <v>2744.7</v>
      </c>
      <c r="K217" s="14">
        <f>Table2[[#This Row],[Salary]]-Table2[[#This Row],[Taxes]]</f>
        <v>21715.3</v>
      </c>
      <c r="L217" s="15">
        <f>Table2[[#This Row],[After tax salary]]+Table2[[#This Row],[Bonus]]</f>
        <v>21715.3</v>
      </c>
    </row>
    <row r="218" spans="1:12" x14ac:dyDescent="0.25">
      <c r="A218" s="5" t="s">
        <v>82</v>
      </c>
      <c r="B218" s="5" t="s">
        <v>29</v>
      </c>
      <c r="C218" s="5" t="s">
        <v>2</v>
      </c>
      <c r="D218" s="5" t="s">
        <v>3</v>
      </c>
      <c r="E218" s="6">
        <v>37625</v>
      </c>
      <c r="F218" s="5" t="s">
        <v>11</v>
      </c>
      <c r="G218" s="10">
        <v>82490</v>
      </c>
      <c r="H218" s="7">
        <v>5</v>
      </c>
      <c r="I218" s="12">
        <f>IF(OR(Table2[[#This Row],[Rating]]=4,Table2[[#This Row],[Rating]]=5), 0.05*Table2[[#This Row],[Salary]],0)</f>
        <v>4124.5</v>
      </c>
      <c r="J218" s="14">
        <f>VLOOKUP(Table2[[#This Row],[Salary]],'Tax rates'!A$2:C$8, 2) + VLOOKUP(Table2[[#This Row],[Salary]],'Tax rates'!A$2:C$8, 3) * (Table2[[#This Row],[Salary]] - VLOOKUP(Table2[[#This Row],[Salary]],'Tax rates'!A$2:C$8,1))</f>
        <v>14087.3</v>
      </c>
      <c r="K218" s="14">
        <f>Table2[[#This Row],[Salary]]-Table2[[#This Row],[Taxes]]</f>
        <v>68402.7</v>
      </c>
      <c r="L218" s="15">
        <f>Table2[[#This Row],[After tax salary]]+Table2[[#This Row],[Bonus]]</f>
        <v>72527.199999999997</v>
      </c>
    </row>
    <row r="219" spans="1:12" x14ac:dyDescent="0.25">
      <c r="A219" s="5" t="s">
        <v>613</v>
      </c>
      <c r="B219" s="5" t="s">
        <v>1</v>
      </c>
      <c r="C219" s="5" t="s">
        <v>18</v>
      </c>
      <c r="D219" s="5" t="s">
        <v>16</v>
      </c>
      <c r="E219" s="6">
        <v>37634</v>
      </c>
      <c r="F219" s="7"/>
      <c r="G219" s="10">
        <v>61370</v>
      </c>
      <c r="H219" s="7">
        <v>3</v>
      </c>
      <c r="I219" s="12">
        <f>IF(OR(Table2[[#This Row],[Rating]]=4,Table2[[#This Row],[Rating]]=5), 0.05*Table2[[#This Row],[Salary]],0)</f>
        <v>0</v>
      </c>
      <c r="J219" s="14">
        <f>VLOOKUP(Table2[[#This Row],[Salary]],'Tax rates'!A$2:C$8, 2) + VLOOKUP(Table2[[#This Row],[Salary]],'Tax rates'!A$2:C$8, 3) * (Table2[[#This Row],[Salary]] - VLOOKUP(Table2[[#This Row],[Salary]],'Tax rates'!A$2:C$8,1))</f>
        <v>9440.9</v>
      </c>
      <c r="K219" s="14">
        <f>Table2[[#This Row],[Salary]]-Table2[[#This Row],[Taxes]]</f>
        <v>51929.1</v>
      </c>
      <c r="L219" s="15">
        <f>Table2[[#This Row],[After tax salary]]+Table2[[#This Row],[Bonus]]</f>
        <v>51929.1</v>
      </c>
    </row>
    <row r="220" spans="1:12" x14ac:dyDescent="0.25">
      <c r="A220" s="5" t="s">
        <v>65</v>
      </c>
      <c r="B220" s="5" t="s">
        <v>1</v>
      </c>
      <c r="C220" s="5" t="s">
        <v>8</v>
      </c>
      <c r="D220" s="5" t="s">
        <v>16</v>
      </c>
      <c r="E220" s="6">
        <v>37641</v>
      </c>
      <c r="F220" s="7"/>
      <c r="G220" s="10">
        <v>31970</v>
      </c>
      <c r="H220" s="7">
        <v>5</v>
      </c>
      <c r="I220" s="12">
        <f>IF(OR(Table2[[#This Row],[Rating]]=4,Table2[[#This Row],[Rating]]=5), 0.05*Table2[[#This Row],[Salary]],0)</f>
        <v>1598.5</v>
      </c>
      <c r="J220" s="14">
        <f>VLOOKUP(Table2[[#This Row],[Salary]],'Tax rates'!A$2:C$8, 2) + VLOOKUP(Table2[[#This Row],[Salary]],'Tax rates'!A$2:C$8, 3) * (Table2[[#This Row],[Salary]] - VLOOKUP(Table2[[#This Row],[Salary]],'Tax rates'!A$2:C$8,1))</f>
        <v>3645.9</v>
      </c>
      <c r="K220" s="14">
        <f>Table2[[#This Row],[Salary]]-Table2[[#This Row],[Taxes]]</f>
        <v>28324.1</v>
      </c>
      <c r="L220" s="15">
        <f>Table2[[#This Row],[After tax salary]]+Table2[[#This Row],[Bonus]]</f>
        <v>29922.6</v>
      </c>
    </row>
    <row r="221" spans="1:12" x14ac:dyDescent="0.25">
      <c r="A221" s="5" t="s">
        <v>217</v>
      </c>
      <c r="B221" s="5" t="s">
        <v>51</v>
      </c>
      <c r="C221" s="5" t="s">
        <v>20</v>
      </c>
      <c r="D221" s="5" t="s">
        <v>16</v>
      </c>
      <c r="E221" s="6">
        <v>37667</v>
      </c>
      <c r="F221" s="7"/>
      <c r="G221" s="10">
        <v>73390</v>
      </c>
      <c r="H221" s="7">
        <v>2</v>
      </c>
      <c r="I221" s="12">
        <f>IF(OR(Table2[[#This Row],[Rating]]=4,Table2[[#This Row],[Rating]]=5), 0.05*Table2[[#This Row],[Salary]],0)</f>
        <v>0</v>
      </c>
      <c r="J221" s="14">
        <f>VLOOKUP(Table2[[#This Row],[Salary]],'Tax rates'!A$2:C$8, 2) + VLOOKUP(Table2[[#This Row],[Salary]],'Tax rates'!A$2:C$8, 3) * (Table2[[#This Row],[Salary]] - VLOOKUP(Table2[[#This Row],[Salary]],'Tax rates'!A$2:C$8,1))</f>
        <v>12085.3</v>
      </c>
      <c r="K221" s="14">
        <f>Table2[[#This Row],[Salary]]-Table2[[#This Row],[Taxes]]</f>
        <v>61304.7</v>
      </c>
      <c r="L221" s="15">
        <f>Table2[[#This Row],[After tax salary]]+Table2[[#This Row],[Bonus]]</f>
        <v>61304.7</v>
      </c>
    </row>
    <row r="222" spans="1:12" x14ac:dyDescent="0.25">
      <c r="A222" s="5" t="s">
        <v>45</v>
      </c>
      <c r="B222" s="5" t="s">
        <v>29</v>
      </c>
      <c r="C222" s="5" t="s">
        <v>46</v>
      </c>
      <c r="D222" s="5" t="s">
        <v>3</v>
      </c>
      <c r="E222" s="6">
        <v>37684</v>
      </c>
      <c r="F222" s="5" t="s">
        <v>11</v>
      </c>
      <c r="G222" s="10">
        <v>42800</v>
      </c>
      <c r="H222" s="7">
        <v>5</v>
      </c>
      <c r="I222" s="12">
        <f>IF(OR(Table2[[#This Row],[Rating]]=4,Table2[[#This Row],[Rating]]=5), 0.05*Table2[[#This Row],[Salary]],0)</f>
        <v>2140</v>
      </c>
      <c r="J222" s="14">
        <f>VLOOKUP(Table2[[#This Row],[Salary]],'Tax rates'!A$2:C$8, 2) + VLOOKUP(Table2[[#This Row],[Salary]],'Tax rates'!A$2:C$8, 3) * (Table2[[#This Row],[Salary]] - VLOOKUP(Table2[[#This Row],[Salary]],'Tax rates'!A$2:C$8,1))</f>
        <v>5355.5</v>
      </c>
      <c r="K222" s="14">
        <f>Table2[[#This Row],[Salary]]-Table2[[#This Row],[Taxes]]</f>
        <v>37444.5</v>
      </c>
      <c r="L222" s="15">
        <f>Table2[[#This Row],[After tax salary]]+Table2[[#This Row],[Bonus]]</f>
        <v>39584.5</v>
      </c>
    </row>
    <row r="223" spans="1:12" x14ac:dyDescent="0.25">
      <c r="A223" s="5" t="s">
        <v>40</v>
      </c>
      <c r="B223" s="5" t="s">
        <v>1</v>
      </c>
      <c r="C223" s="5" t="s">
        <v>30</v>
      </c>
      <c r="D223" s="5" t="s">
        <v>3</v>
      </c>
      <c r="E223" s="6">
        <v>37701</v>
      </c>
      <c r="F223" s="5" t="s">
        <v>25</v>
      </c>
      <c r="G223" s="10">
        <v>23560</v>
      </c>
      <c r="H223" s="7">
        <v>3</v>
      </c>
      <c r="I223" s="12">
        <f>IF(OR(Table2[[#This Row],[Rating]]=4,Table2[[#This Row],[Rating]]=5), 0.05*Table2[[#This Row],[Salary]],0)</f>
        <v>0</v>
      </c>
      <c r="J223" s="14">
        <f>VLOOKUP(Table2[[#This Row],[Salary]],'Tax rates'!A$2:C$8, 2) + VLOOKUP(Table2[[#This Row],[Salary]],'Tax rates'!A$2:C$8, 3) * (Table2[[#This Row],[Salary]] - VLOOKUP(Table2[[#This Row],[Salary]],'Tax rates'!A$2:C$8,1))</f>
        <v>2636.7</v>
      </c>
      <c r="K223" s="14">
        <f>Table2[[#This Row],[Salary]]-Table2[[#This Row],[Taxes]]</f>
        <v>20923.3</v>
      </c>
      <c r="L223" s="15">
        <f>Table2[[#This Row],[After tax salary]]+Table2[[#This Row],[Bonus]]</f>
        <v>20923.3</v>
      </c>
    </row>
    <row r="224" spans="1:12" x14ac:dyDescent="0.25">
      <c r="A224" s="5" t="s">
        <v>52</v>
      </c>
      <c r="B224" s="5" t="s">
        <v>6</v>
      </c>
      <c r="C224" s="5" t="s">
        <v>23</v>
      </c>
      <c r="D224" s="5" t="s">
        <v>32</v>
      </c>
      <c r="E224" s="6">
        <v>37711</v>
      </c>
      <c r="F224" s="7"/>
      <c r="G224" s="10">
        <v>21648</v>
      </c>
      <c r="H224" s="7">
        <v>2</v>
      </c>
      <c r="I224" s="12">
        <f>IF(OR(Table2[[#This Row],[Rating]]=4,Table2[[#This Row],[Rating]]=5), 0.05*Table2[[#This Row],[Salary]],0)</f>
        <v>0</v>
      </c>
      <c r="J224" s="14">
        <f>VLOOKUP(Table2[[#This Row],[Salary]],'Tax rates'!A$2:C$8, 2) + VLOOKUP(Table2[[#This Row],[Salary]],'Tax rates'!A$2:C$8, 3) * (Table2[[#This Row],[Salary]] - VLOOKUP(Table2[[#This Row],[Salary]],'Tax rates'!A$2:C$8,1))</f>
        <v>2407.2600000000002</v>
      </c>
      <c r="K224" s="14">
        <f>Table2[[#This Row],[Salary]]-Table2[[#This Row],[Taxes]]</f>
        <v>19240.739999999998</v>
      </c>
      <c r="L224" s="15">
        <f>Table2[[#This Row],[After tax salary]]+Table2[[#This Row],[Bonus]]</f>
        <v>19240.739999999998</v>
      </c>
    </row>
    <row r="225" spans="1:12" x14ac:dyDescent="0.25">
      <c r="A225" s="5" t="s">
        <v>205</v>
      </c>
      <c r="B225" s="5" t="s">
        <v>1</v>
      </c>
      <c r="C225" s="5" t="s">
        <v>18</v>
      </c>
      <c r="D225" s="5" t="s">
        <v>32</v>
      </c>
      <c r="E225" s="6">
        <v>37730</v>
      </c>
      <c r="F225" s="7"/>
      <c r="G225" s="10">
        <v>8892</v>
      </c>
      <c r="H225" s="7">
        <v>1</v>
      </c>
      <c r="I225" s="12">
        <f>IF(OR(Table2[[#This Row],[Rating]]=4,Table2[[#This Row],[Rating]]=5), 0.05*Table2[[#This Row],[Salary]],0)</f>
        <v>0</v>
      </c>
      <c r="J225" s="14">
        <f>VLOOKUP(Table2[[#This Row],[Salary]],'Tax rates'!A$2:C$8, 2) + VLOOKUP(Table2[[#This Row],[Salary]],'Tax rates'!A$2:C$8, 3) * (Table2[[#This Row],[Salary]] - VLOOKUP(Table2[[#This Row],[Salary]],'Tax rates'!A$2:C$8,1))</f>
        <v>889.2</v>
      </c>
      <c r="K225" s="14">
        <f>Table2[[#This Row],[Salary]]-Table2[[#This Row],[Taxes]]</f>
        <v>8002.8</v>
      </c>
      <c r="L225" s="15">
        <f>Table2[[#This Row],[After tax salary]]+Table2[[#This Row],[Bonus]]</f>
        <v>8002.8</v>
      </c>
    </row>
    <row r="226" spans="1:12" x14ac:dyDescent="0.25">
      <c r="A226" s="5" t="s">
        <v>625</v>
      </c>
      <c r="B226" s="5" t="s">
        <v>13</v>
      </c>
      <c r="C226" s="5" t="s">
        <v>2</v>
      </c>
      <c r="D226" s="5" t="s">
        <v>24</v>
      </c>
      <c r="E226" s="6">
        <v>37775</v>
      </c>
      <c r="F226" s="5" t="s">
        <v>25</v>
      </c>
      <c r="G226" s="10">
        <v>28525</v>
      </c>
      <c r="H226" s="7">
        <v>4</v>
      </c>
      <c r="I226" s="12">
        <f>IF(OR(Table2[[#This Row],[Rating]]=4,Table2[[#This Row],[Rating]]=5), 0.05*Table2[[#This Row],[Salary]],0)</f>
        <v>1426.25</v>
      </c>
      <c r="J226" s="14">
        <f>VLOOKUP(Table2[[#This Row],[Salary]],'Tax rates'!A$2:C$8, 2) + VLOOKUP(Table2[[#This Row],[Salary]],'Tax rates'!A$2:C$8, 3) * (Table2[[#This Row],[Salary]] - VLOOKUP(Table2[[#This Row],[Salary]],'Tax rates'!A$2:C$8,1))</f>
        <v>3232.5</v>
      </c>
      <c r="K226" s="14">
        <f>Table2[[#This Row],[Salary]]-Table2[[#This Row],[Taxes]]</f>
        <v>25292.5</v>
      </c>
      <c r="L226" s="15">
        <f>Table2[[#This Row],[After tax salary]]+Table2[[#This Row],[Bonus]]</f>
        <v>26718.75</v>
      </c>
    </row>
    <row r="227" spans="1:12" x14ac:dyDescent="0.25">
      <c r="A227" s="5" t="s">
        <v>685</v>
      </c>
      <c r="B227" s="5" t="s">
        <v>6</v>
      </c>
      <c r="C227" s="5" t="s">
        <v>106</v>
      </c>
      <c r="D227" s="5" t="s">
        <v>24</v>
      </c>
      <c r="E227" s="6">
        <v>37782</v>
      </c>
      <c r="F227" s="5" t="s">
        <v>9</v>
      </c>
      <c r="G227" s="10">
        <v>17735</v>
      </c>
      <c r="H227" s="7">
        <v>3</v>
      </c>
      <c r="I227" s="12">
        <f>IF(OR(Table2[[#This Row],[Rating]]=4,Table2[[#This Row],[Rating]]=5), 0.05*Table2[[#This Row],[Salary]],0)</f>
        <v>0</v>
      </c>
      <c r="J227" s="14">
        <f>VLOOKUP(Table2[[#This Row],[Salary]],'Tax rates'!A$2:C$8, 2) + VLOOKUP(Table2[[#This Row],[Salary]],'Tax rates'!A$2:C$8, 3) * (Table2[[#This Row],[Salary]] - VLOOKUP(Table2[[#This Row],[Salary]],'Tax rates'!A$2:C$8,1))</f>
        <v>1937.6999999999998</v>
      </c>
      <c r="K227" s="14">
        <f>Table2[[#This Row],[Salary]]-Table2[[#This Row],[Taxes]]</f>
        <v>15797.3</v>
      </c>
      <c r="L227" s="15">
        <f>Table2[[#This Row],[After tax salary]]+Table2[[#This Row],[Bonus]]</f>
        <v>15797.3</v>
      </c>
    </row>
    <row r="228" spans="1:12" x14ac:dyDescent="0.25">
      <c r="A228" s="5" t="s">
        <v>352</v>
      </c>
      <c r="B228" s="5" t="s">
        <v>1</v>
      </c>
      <c r="C228" s="5" t="s">
        <v>75</v>
      </c>
      <c r="D228" s="5" t="s">
        <v>3</v>
      </c>
      <c r="E228" s="6">
        <v>37785</v>
      </c>
      <c r="F228" s="5" t="s">
        <v>11</v>
      </c>
      <c r="G228" s="10">
        <v>87280</v>
      </c>
      <c r="H228" s="7">
        <v>4</v>
      </c>
      <c r="I228" s="12">
        <f>IF(OR(Table2[[#This Row],[Rating]]=4,Table2[[#This Row],[Rating]]=5), 0.05*Table2[[#This Row],[Salary]],0)</f>
        <v>4364</v>
      </c>
      <c r="J228" s="14">
        <f>VLOOKUP(Table2[[#This Row],[Salary]],'Tax rates'!A$2:C$8, 2) + VLOOKUP(Table2[[#This Row],[Salary]],'Tax rates'!A$2:C$8, 3) * (Table2[[#This Row],[Salary]] - VLOOKUP(Table2[[#This Row],[Salary]],'Tax rates'!A$2:C$8,1))</f>
        <v>15236.7</v>
      </c>
      <c r="K228" s="14">
        <f>Table2[[#This Row],[Salary]]-Table2[[#This Row],[Taxes]]</f>
        <v>72043.3</v>
      </c>
      <c r="L228" s="15">
        <f>Table2[[#This Row],[After tax salary]]+Table2[[#This Row],[Bonus]]</f>
        <v>76407.3</v>
      </c>
    </row>
    <row r="229" spans="1:12" x14ac:dyDescent="0.25">
      <c r="A229" s="5" t="s">
        <v>509</v>
      </c>
      <c r="B229" s="5" t="s">
        <v>51</v>
      </c>
      <c r="C229" s="5" t="s">
        <v>2</v>
      </c>
      <c r="D229" s="5" t="s">
        <v>3</v>
      </c>
      <c r="E229" s="6">
        <v>37793</v>
      </c>
      <c r="F229" s="5" t="s">
        <v>4</v>
      </c>
      <c r="G229" s="10">
        <v>29210</v>
      </c>
      <c r="H229" s="7">
        <v>5</v>
      </c>
      <c r="I229" s="12">
        <f>IF(OR(Table2[[#This Row],[Rating]]=4,Table2[[#This Row],[Rating]]=5), 0.05*Table2[[#This Row],[Salary]],0)</f>
        <v>1460.5</v>
      </c>
      <c r="J229" s="14">
        <f>VLOOKUP(Table2[[#This Row],[Salary]],'Tax rates'!A$2:C$8, 2) + VLOOKUP(Table2[[#This Row],[Salary]],'Tax rates'!A$2:C$8, 3) * (Table2[[#This Row],[Salary]] - VLOOKUP(Table2[[#This Row],[Salary]],'Tax rates'!A$2:C$8,1))</f>
        <v>3314.7</v>
      </c>
      <c r="K229" s="14">
        <f>Table2[[#This Row],[Salary]]-Table2[[#This Row],[Taxes]]</f>
        <v>25895.3</v>
      </c>
      <c r="L229" s="15">
        <f>Table2[[#This Row],[After tax salary]]+Table2[[#This Row],[Bonus]]</f>
        <v>27355.8</v>
      </c>
    </row>
    <row r="230" spans="1:12" x14ac:dyDescent="0.25">
      <c r="A230" s="5" t="s">
        <v>432</v>
      </c>
      <c r="B230" s="5" t="s">
        <v>1</v>
      </c>
      <c r="C230" s="5" t="s">
        <v>37</v>
      </c>
      <c r="D230" s="5" t="s">
        <v>16</v>
      </c>
      <c r="E230" s="6">
        <v>37803</v>
      </c>
      <c r="F230" s="7"/>
      <c r="G230" s="10">
        <v>78100</v>
      </c>
      <c r="H230" s="7">
        <v>3</v>
      </c>
      <c r="I230" s="12">
        <f>IF(OR(Table2[[#This Row],[Rating]]=4,Table2[[#This Row],[Rating]]=5), 0.05*Table2[[#This Row],[Salary]],0)</f>
        <v>0</v>
      </c>
      <c r="J230" s="14">
        <f>VLOOKUP(Table2[[#This Row],[Salary]],'Tax rates'!A$2:C$8, 2) + VLOOKUP(Table2[[#This Row],[Salary]],'Tax rates'!A$2:C$8, 3) * (Table2[[#This Row],[Salary]] - VLOOKUP(Table2[[#This Row],[Salary]],'Tax rates'!A$2:C$8,1))</f>
        <v>13121.5</v>
      </c>
      <c r="K230" s="14">
        <f>Table2[[#This Row],[Salary]]-Table2[[#This Row],[Taxes]]</f>
        <v>64978.5</v>
      </c>
      <c r="L230" s="15">
        <f>Table2[[#This Row],[After tax salary]]+Table2[[#This Row],[Bonus]]</f>
        <v>64978.5</v>
      </c>
    </row>
    <row r="231" spans="1:12" x14ac:dyDescent="0.25">
      <c r="A231" s="5" t="s">
        <v>193</v>
      </c>
      <c r="B231" s="5" t="s">
        <v>1</v>
      </c>
      <c r="C231" s="5" t="s">
        <v>35</v>
      </c>
      <c r="D231" s="5" t="s">
        <v>3</v>
      </c>
      <c r="E231" s="6">
        <v>37810</v>
      </c>
      <c r="F231" s="5" t="s">
        <v>11</v>
      </c>
      <c r="G231" s="10">
        <v>48010</v>
      </c>
      <c r="H231" s="7">
        <v>3</v>
      </c>
      <c r="I231" s="12">
        <f>IF(OR(Table2[[#This Row],[Rating]]=4,Table2[[#This Row],[Rating]]=5), 0.05*Table2[[#This Row],[Salary]],0)</f>
        <v>0</v>
      </c>
      <c r="J231" s="14">
        <f>VLOOKUP(Table2[[#This Row],[Salary]],'Tax rates'!A$2:C$8, 2) + VLOOKUP(Table2[[#This Row],[Salary]],'Tax rates'!A$2:C$8, 3) * (Table2[[#This Row],[Salary]] - VLOOKUP(Table2[[#This Row],[Salary]],'Tax rates'!A$2:C$8,1))</f>
        <v>6501.7</v>
      </c>
      <c r="K231" s="14">
        <f>Table2[[#This Row],[Salary]]-Table2[[#This Row],[Taxes]]</f>
        <v>41508.300000000003</v>
      </c>
      <c r="L231" s="15">
        <f>Table2[[#This Row],[After tax salary]]+Table2[[#This Row],[Bonus]]</f>
        <v>41508.300000000003</v>
      </c>
    </row>
    <row r="232" spans="1:12" x14ac:dyDescent="0.25">
      <c r="A232" s="5" t="s">
        <v>279</v>
      </c>
      <c r="B232" s="5" t="s">
        <v>51</v>
      </c>
      <c r="C232" s="5" t="s">
        <v>2</v>
      </c>
      <c r="D232" s="5" t="s">
        <v>24</v>
      </c>
      <c r="E232" s="6">
        <v>37815</v>
      </c>
      <c r="F232" s="5" t="s">
        <v>4</v>
      </c>
      <c r="G232" s="10">
        <v>48740</v>
      </c>
      <c r="H232" s="7">
        <v>1</v>
      </c>
      <c r="I232" s="12">
        <f>IF(OR(Table2[[#This Row],[Rating]]=4,Table2[[#This Row],[Rating]]=5), 0.05*Table2[[#This Row],[Salary]],0)</f>
        <v>0</v>
      </c>
      <c r="J232" s="14">
        <f>VLOOKUP(Table2[[#This Row],[Salary]],'Tax rates'!A$2:C$8, 2) + VLOOKUP(Table2[[#This Row],[Salary]],'Tax rates'!A$2:C$8, 3) * (Table2[[#This Row],[Salary]] - VLOOKUP(Table2[[#This Row],[Salary]],'Tax rates'!A$2:C$8,1))</f>
        <v>6662.3</v>
      </c>
      <c r="K232" s="14">
        <f>Table2[[#This Row],[Salary]]-Table2[[#This Row],[Taxes]]</f>
        <v>42077.7</v>
      </c>
      <c r="L232" s="15">
        <f>Table2[[#This Row],[After tax salary]]+Table2[[#This Row],[Bonus]]</f>
        <v>42077.7</v>
      </c>
    </row>
    <row r="233" spans="1:12" x14ac:dyDescent="0.25">
      <c r="A233" s="5" t="s">
        <v>160</v>
      </c>
      <c r="B233" s="5" t="s">
        <v>29</v>
      </c>
      <c r="C233" s="5" t="s">
        <v>18</v>
      </c>
      <c r="D233" s="5" t="s">
        <v>16</v>
      </c>
      <c r="E233" s="6">
        <v>37820</v>
      </c>
      <c r="F233" s="7"/>
      <c r="G233" s="10">
        <v>75420</v>
      </c>
      <c r="H233" s="7">
        <v>1</v>
      </c>
      <c r="I233" s="12">
        <f>IF(OR(Table2[[#This Row],[Rating]]=4,Table2[[#This Row],[Rating]]=5), 0.05*Table2[[#This Row],[Salary]],0)</f>
        <v>0</v>
      </c>
      <c r="J233" s="14">
        <f>VLOOKUP(Table2[[#This Row],[Salary]],'Tax rates'!A$2:C$8, 2) + VLOOKUP(Table2[[#This Row],[Salary]],'Tax rates'!A$2:C$8, 3) * (Table2[[#This Row],[Salary]] - VLOOKUP(Table2[[#This Row],[Salary]],'Tax rates'!A$2:C$8,1))</f>
        <v>12531.9</v>
      </c>
      <c r="K233" s="14">
        <f>Table2[[#This Row],[Salary]]-Table2[[#This Row],[Taxes]]</f>
        <v>62888.1</v>
      </c>
      <c r="L233" s="15">
        <f>Table2[[#This Row],[After tax salary]]+Table2[[#This Row],[Bonus]]</f>
        <v>62888.1</v>
      </c>
    </row>
    <row r="234" spans="1:12" x14ac:dyDescent="0.25">
      <c r="A234" s="5" t="s">
        <v>126</v>
      </c>
      <c r="B234" s="5" t="s">
        <v>29</v>
      </c>
      <c r="C234" s="5" t="s">
        <v>37</v>
      </c>
      <c r="D234" s="5" t="s">
        <v>32</v>
      </c>
      <c r="E234" s="6">
        <v>37827</v>
      </c>
      <c r="F234" s="7"/>
      <c r="G234" s="10">
        <v>11044</v>
      </c>
      <c r="H234" s="7">
        <v>2</v>
      </c>
      <c r="I234" s="12">
        <f>IF(OR(Table2[[#This Row],[Rating]]=4,Table2[[#This Row],[Rating]]=5), 0.05*Table2[[#This Row],[Salary]],0)</f>
        <v>0</v>
      </c>
      <c r="J234" s="14">
        <f>VLOOKUP(Table2[[#This Row],[Salary]],'Tax rates'!A$2:C$8, 2) + VLOOKUP(Table2[[#This Row],[Salary]],'Tax rates'!A$2:C$8, 3) * (Table2[[#This Row],[Salary]] - VLOOKUP(Table2[[#This Row],[Salary]],'Tax rates'!A$2:C$8,1))</f>
        <v>1134.78</v>
      </c>
      <c r="K234" s="14">
        <f>Table2[[#This Row],[Salary]]-Table2[[#This Row],[Taxes]]</f>
        <v>9909.2199999999993</v>
      </c>
      <c r="L234" s="15">
        <f>Table2[[#This Row],[After tax salary]]+Table2[[#This Row],[Bonus]]</f>
        <v>9909.2199999999993</v>
      </c>
    </row>
    <row r="235" spans="1:12" x14ac:dyDescent="0.25">
      <c r="A235" s="5" t="s">
        <v>427</v>
      </c>
      <c r="B235" s="5" t="s">
        <v>51</v>
      </c>
      <c r="C235" s="5" t="s">
        <v>30</v>
      </c>
      <c r="D235" s="5" t="s">
        <v>3</v>
      </c>
      <c r="E235" s="6">
        <v>37848</v>
      </c>
      <c r="F235" s="5" t="s">
        <v>25</v>
      </c>
      <c r="G235" s="10">
        <v>76910</v>
      </c>
      <c r="H235" s="7">
        <v>2</v>
      </c>
      <c r="I235" s="12">
        <f>IF(OR(Table2[[#This Row],[Rating]]=4,Table2[[#This Row],[Rating]]=5), 0.05*Table2[[#This Row],[Salary]],0)</f>
        <v>0</v>
      </c>
      <c r="J235" s="14">
        <f>VLOOKUP(Table2[[#This Row],[Salary]],'Tax rates'!A$2:C$8, 2) + VLOOKUP(Table2[[#This Row],[Salary]],'Tax rates'!A$2:C$8, 3) * (Table2[[#This Row],[Salary]] - VLOOKUP(Table2[[#This Row],[Salary]],'Tax rates'!A$2:C$8,1))</f>
        <v>12859.7</v>
      </c>
      <c r="K235" s="14">
        <f>Table2[[#This Row],[Salary]]-Table2[[#This Row],[Taxes]]</f>
        <v>64050.3</v>
      </c>
      <c r="L235" s="15">
        <f>Table2[[#This Row],[After tax salary]]+Table2[[#This Row],[Bonus]]</f>
        <v>64050.3</v>
      </c>
    </row>
    <row r="236" spans="1:12" x14ac:dyDescent="0.25">
      <c r="A236" s="5" t="s">
        <v>739</v>
      </c>
      <c r="B236" s="5" t="s">
        <v>1</v>
      </c>
      <c r="C236" s="5" t="s">
        <v>18</v>
      </c>
      <c r="D236" s="5" t="s">
        <v>3</v>
      </c>
      <c r="E236" s="6">
        <v>37866</v>
      </c>
      <c r="F236" s="5" t="s">
        <v>25</v>
      </c>
      <c r="G236" s="10">
        <v>54230</v>
      </c>
      <c r="H236" s="7">
        <v>5</v>
      </c>
      <c r="I236" s="12">
        <f>IF(OR(Table2[[#This Row],[Rating]]=4,Table2[[#This Row],[Rating]]=5), 0.05*Table2[[#This Row],[Salary]],0)</f>
        <v>2711.5</v>
      </c>
      <c r="J236" s="14">
        <f>VLOOKUP(Table2[[#This Row],[Salary]],'Tax rates'!A$2:C$8, 2) + VLOOKUP(Table2[[#This Row],[Salary]],'Tax rates'!A$2:C$8, 3) * (Table2[[#This Row],[Salary]] - VLOOKUP(Table2[[#This Row],[Salary]],'Tax rates'!A$2:C$8,1))</f>
        <v>7870.1</v>
      </c>
      <c r="K236" s="14">
        <f>Table2[[#This Row],[Salary]]-Table2[[#This Row],[Taxes]]</f>
        <v>46359.9</v>
      </c>
      <c r="L236" s="15">
        <f>Table2[[#This Row],[After tax salary]]+Table2[[#This Row],[Bonus]]</f>
        <v>49071.4</v>
      </c>
    </row>
    <row r="237" spans="1:12" x14ac:dyDescent="0.25">
      <c r="A237" s="5" t="s">
        <v>387</v>
      </c>
      <c r="B237" s="5" t="s">
        <v>1</v>
      </c>
      <c r="C237" s="5" t="s">
        <v>166</v>
      </c>
      <c r="D237" s="5" t="s">
        <v>3</v>
      </c>
      <c r="E237" s="6">
        <v>37883</v>
      </c>
      <c r="F237" s="5" t="s">
        <v>4</v>
      </c>
      <c r="G237" s="10">
        <v>86530</v>
      </c>
      <c r="H237" s="7">
        <v>1</v>
      </c>
      <c r="I237" s="12">
        <f>IF(OR(Table2[[#This Row],[Rating]]=4,Table2[[#This Row],[Rating]]=5), 0.05*Table2[[#This Row],[Salary]],0)</f>
        <v>0</v>
      </c>
      <c r="J237" s="14">
        <f>VLOOKUP(Table2[[#This Row],[Salary]],'Tax rates'!A$2:C$8, 2) + VLOOKUP(Table2[[#This Row],[Salary]],'Tax rates'!A$2:C$8, 3) * (Table2[[#This Row],[Salary]] - VLOOKUP(Table2[[#This Row],[Salary]],'Tax rates'!A$2:C$8,1))</f>
        <v>15056.7</v>
      </c>
      <c r="K237" s="14">
        <f>Table2[[#This Row],[Salary]]-Table2[[#This Row],[Taxes]]</f>
        <v>71473.3</v>
      </c>
      <c r="L237" s="15">
        <f>Table2[[#This Row],[After tax salary]]+Table2[[#This Row],[Bonus]]</f>
        <v>71473.3</v>
      </c>
    </row>
    <row r="238" spans="1:12" x14ac:dyDescent="0.25">
      <c r="A238" s="5" t="s">
        <v>194</v>
      </c>
      <c r="B238" s="5" t="s">
        <v>29</v>
      </c>
      <c r="C238" s="5" t="s">
        <v>18</v>
      </c>
      <c r="D238" s="5" t="s">
        <v>16</v>
      </c>
      <c r="E238" s="6">
        <v>37899</v>
      </c>
      <c r="F238" s="7"/>
      <c r="G238" s="10">
        <v>64220</v>
      </c>
      <c r="H238" s="7">
        <v>5</v>
      </c>
      <c r="I238" s="12">
        <f>IF(OR(Table2[[#This Row],[Rating]]=4,Table2[[#This Row],[Rating]]=5), 0.05*Table2[[#This Row],[Salary]],0)</f>
        <v>3211</v>
      </c>
      <c r="J238" s="14">
        <f>VLOOKUP(Table2[[#This Row],[Salary]],'Tax rates'!A$2:C$8, 2) + VLOOKUP(Table2[[#This Row],[Salary]],'Tax rates'!A$2:C$8, 3) * (Table2[[#This Row],[Salary]] - VLOOKUP(Table2[[#This Row],[Salary]],'Tax rates'!A$2:C$8,1))</f>
        <v>10067.9</v>
      </c>
      <c r="K238" s="14">
        <f>Table2[[#This Row],[Salary]]-Table2[[#This Row],[Taxes]]</f>
        <v>54152.1</v>
      </c>
      <c r="L238" s="15">
        <f>Table2[[#This Row],[After tax salary]]+Table2[[#This Row],[Bonus]]</f>
        <v>57363.1</v>
      </c>
    </row>
    <row r="239" spans="1:12" x14ac:dyDescent="0.25">
      <c r="A239" s="5" t="s">
        <v>334</v>
      </c>
      <c r="B239" s="5" t="s">
        <v>1</v>
      </c>
      <c r="C239" s="5" t="s">
        <v>15</v>
      </c>
      <c r="D239" s="5" t="s">
        <v>3</v>
      </c>
      <c r="E239" s="6">
        <v>37936</v>
      </c>
      <c r="F239" s="5" t="s">
        <v>11</v>
      </c>
      <c r="G239" s="10">
        <v>53870</v>
      </c>
      <c r="H239" s="7">
        <v>2</v>
      </c>
      <c r="I239" s="12">
        <f>IF(OR(Table2[[#This Row],[Rating]]=4,Table2[[#This Row],[Rating]]=5), 0.05*Table2[[#This Row],[Salary]],0)</f>
        <v>0</v>
      </c>
      <c r="J239" s="14">
        <f>VLOOKUP(Table2[[#This Row],[Salary]],'Tax rates'!A$2:C$8, 2) + VLOOKUP(Table2[[#This Row],[Salary]],'Tax rates'!A$2:C$8, 3) * (Table2[[#This Row],[Salary]] - VLOOKUP(Table2[[#This Row],[Salary]],'Tax rates'!A$2:C$8,1))</f>
        <v>7790.9</v>
      </c>
      <c r="K239" s="14">
        <f>Table2[[#This Row],[Salary]]-Table2[[#This Row],[Taxes]]</f>
        <v>46079.1</v>
      </c>
      <c r="L239" s="15">
        <f>Table2[[#This Row],[After tax salary]]+Table2[[#This Row],[Bonus]]</f>
        <v>46079.1</v>
      </c>
    </row>
    <row r="240" spans="1:12" x14ac:dyDescent="0.25">
      <c r="A240" s="5" t="s">
        <v>328</v>
      </c>
      <c r="B240" s="5" t="s">
        <v>29</v>
      </c>
      <c r="C240" s="5" t="s">
        <v>18</v>
      </c>
      <c r="D240" s="5" t="s">
        <v>3</v>
      </c>
      <c r="E240" s="6">
        <v>37936</v>
      </c>
      <c r="F240" s="5" t="s">
        <v>11</v>
      </c>
      <c r="G240" s="10">
        <v>30920</v>
      </c>
      <c r="H240" s="7">
        <v>5</v>
      </c>
      <c r="I240" s="12">
        <f>IF(OR(Table2[[#This Row],[Rating]]=4,Table2[[#This Row],[Rating]]=5), 0.05*Table2[[#This Row],[Salary]],0)</f>
        <v>1546</v>
      </c>
      <c r="J240" s="14">
        <f>VLOOKUP(Table2[[#This Row],[Salary]],'Tax rates'!A$2:C$8, 2) + VLOOKUP(Table2[[#This Row],[Salary]],'Tax rates'!A$2:C$8, 3) * (Table2[[#This Row],[Salary]] - VLOOKUP(Table2[[#This Row],[Salary]],'Tax rates'!A$2:C$8,1))</f>
        <v>3519.9</v>
      </c>
      <c r="K240" s="14">
        <f>Table2[[#This Row],[Salary]]-Table2[[#This Row],[Taxes]]</f>
        <v>27400.1</v>
      </c>
      <c r="L240" s="15">
        <f>Table2[[#This Row],[After tax salary]]+Table2[[#This Row],[Bonus]]</f>
        <v>28946.1</v>
      </c>
    </row>
    <row r="241" spans="1:12" x14ac:dyDescent="0.25">
      <c r="A241" s="5" t="s">
        <v>198</v>
      </c>
      <c r="B241" s="5" t="s">
        <v>6</v>
      </c>
      <c r="C241" s="5" t="s">
        <v>18</v>
      </c>
      <c r="D241" s="5" t="s">
        <v>3</v>
      </c>
      <c r="E241" s="6">
        <v>37943</v>
      </c>
      <c r="F241" s="5" t="s">
        <v>4</v>
      </c>
      <c r="G241" s="10">
        <v>75176</v>
      </c>
      <c r="H241" s="7">
        <v>3</v>
      </c>
      <c r="I241" s="12">
        <f>IF(OR(Table2[[#This Row],[Rating]]=4,Table2[[#This Row],[Rating]]=5), 0.05*Table2[[#This Row],[Salary]],0)</f>
        <v>0</v>
      </c>
      <c r="J241" s="14">
        <f>VLOOKUP(Table2[[#This Row],[Salary]],'Tax rates'!A$2:C$8, 2) + VLOOKUP(Table2[[#This Row],[Salary]],'Tax rates'!A$2:C$8, 3) * (Table2[[#This Row],[Salary]] - VLOOKUP(Table2[[#This Row],[Salary]],'Tax rates'!A$2:C$8,1))</f>
        <v>12478.220000000001</v>
      </c>
      <c r="K241" s="14">
        <f>Table2[[#This Row],[Salary]]-Table2[[#This Row],[Taxes]]</f>
        <v>62697.78</v>
      </c>
      <c r="L241" s="15">
        <f>Table2[[#This Row],[After tax salary]]+Table2[[#This Row],[Bonus]]</f>
        <v>62697.78</v>
      </c>
    </row>
    <row r="242" spans="1:12" x14ac:dyDescent="0.25">
      <c r="A242" s="5" t="s">
        <v>210</v>
      </c>
      <c r="B242" s="5" t="s">
        <v>1</v>
      </c>
      <c r="C242" s="5" t="s">
        <v>92</v>
      </c>
      <c r="D242" s="5" t="s">
        <v>32</v>
      </c>
      <c r="E242" s="6">
        <v>37946</v>
      </c>
      <c r="F242" s="5" t="s">
        <v>4</v>
      </c>
      <c r="G242" s="10">
        <v>85130</v>
      </c>
      <c r="H242" s="7">
        <v>5</v>
      </c>
      <c r="I242" s="12">
        <f>IF(OR(Table2[[#This Row],[Rating]]=4,Table2[[#This Row],[Rating]]=5), 0.05*Table2[[#This Row],[Salary]],0)</f>
        <v>4256.5</v>
      </c>
      <c r="J242" s="14">
        <f>VLOOKUP(Table2[[#This Row],[Salary]],'Tax rates'!A$2:C$8, 2) + VLOOKUP(Table2[[#This Row],[Salary]],'Tax rates'!A$2:C$8, 3) * (Table2[[#This Row],[Salary]] - VLOOKUP(Table2[[#This Row],[Salary]],'Tax rates'!A$2:C$8,1))</f>
        <v>14720.7</v>
      </c>
      <c r="K242" s="14">
        <f>Table2[[#This Row],[Salary]]-Table2[[#This Row],[Taxes]]</f>
        <v>70409.3</v>
      </c>
      <c r="L242" s="15">
        <f>Table2[[#This Row],[After tax salary]]+Table2[[#This Row],[Bonus]]</f>
        <v>74665.8</v>
      </c>
    </row>
    <row r="243" spans="1:12" x14ac:dyDescent="0.25">
      <c r="A243" s="5" t="s">
        <v>74</v>
      </c>
      <c r="B243" s="5" t="s">
        <v>13</v>
      </c>
      <c r="C243" s="5" t="s">
        <v>75</v>
      </c>
      <c r="D243" s="5" t="s">
        <v>3</v>
      </c>
      <c r="E243" s="6">
        <v>37960</v>
      </c>
      <c r="F243" s="5" t="s">
        <v>4</v>
      </c>
      <c r="G243" s="10">
        <v>66890</v>
      </c>
      <c r="H243" s="7">
        <v>5</v>
      </c>
      <c r="I243" s="12">
        <f>IF(OR(Table2[[#This Row],[Rating]]=4,Table2[[#This Row],[Rating]]=5), 0.05*Table2[[#This Row],[Salary]],0)</f>
        <v>3344.5</v>
      </c>
      <c r="J243" s="14">
        <f>VLOOKUP(Table2[[#This Row],[Salary]],'Tax rates'!A$2:C$8, 2) + VLOOKUP(Table2[[#This Row],[Salary]],'Tax rates'!A$2:C$8, 3) * (Table2[[#This Row],[Salary]] - VLOOKUP(Table2[[#This Row],[Salary]],'Tax rates'!A$2:C$8,1))</f>
        <v>10655.3</v>
      </c>
      <c r="K243" s="14">
        <f>Table2[[#This Row],[Salary]]-Table2[[#This Row],[Taxes]]</f>
        <v>56234.7</v>
      </c>
      <c r="L243" s="15">
        <f>Table2[[#This Row],[After tax salary]]+Table2[[#This Row],[Bonus]]</f>
        <v>59579.199999999997</v>
      </c>
    </row>
    <row r="244" spans="1:12" x14ac:dyDescent="0.25">
      <c r="A244" s="5" t="s">
        <v>680</v>
      </c>
      <c r="B244" s="5" t="s">
        <v>27</v>
      </c>
      <c r="C244" s="5" t="s">
        <v>2</v>
      </c>
      <c r="D244" s="5" t="s">
        <v>16</v>
      </c>
      <c r="E244" s="6">
        <v>38027</v>
      </c>
      <c r="F244" s="7"/>
      <c r="G244" s="10">
        <v>64590</v>
      </c>
      <c r="H244" s="7">
        <v>1</v>
      </c>
      <c r="I244" s="12">
        <f>IF(OR(Table2[[#This Row],[Rating]]=4,Table2[[#This Row],[Rating]]=5), 0.05*Table2[[#This Row],[Salary]],0)</f>
        <v>0</v>
      </c>
      <c r="J244" s="14">
        <f>VLOOKUP(Table2[[#This Row],[Salary]],'Tax rates'!A$2:C$8, 2) + VLOOKUP(Table2[[#This Row],[Salary]],'Tax rates'!A$2:C$8, 3) * (Table2[[#This Row],[Salary]] - VLOOKUP(Table2[[#This Row],[Salary]],'Tax rates'!A$2:C$8,1))</f>
        <v>10149.299999999999</v>
      </c>
      <c r="K244" s="14">
        <f>Table2[[#This Row],[Salary]]-Table2[[#This Row],[Taxes]]</f>
        <v>54440.7</v>
      </c>
      <c r="L244" s="15">
        <f>Table2[[#This Row],[After tax salary]]+Table2[[#This Row],[Bonus]]</f>
        <v>54440.7</v>
      </c>
    </row>
    <row r="245" spans="1:12" x14ac:dyDescent="0.25">
      <c r="A245" s="5" t="s">
        <v>141</v>
      </c>
      <c r="B245" s="5" t="s">
        <v>1</v>
      </c>
      <c r="C245" s="5" t="s">
        <v>18</v>
      </c>
      <c r="D245" s="5" t="s">
        <v>16</v>
      </c>
      <c r="E245" s="6">
        <v>38044</v>
      </c>
      <c r="F245" s="7"/>
      <c r="G245" s="10">
        <v>57410</v>
      </c>
      <c r="H245" s="7">
        <v>2</v>
      </c>
      <c r="I245" s="12">
        <f>IF(OR(Table2[[#This Row],[Rating]]=4,Table2[[#This Row],[Rating]]=5), 0.05*Table2[[#This Row],[Salary]],0)</f>
        <v>0</v>
      </c>
      <c r="J245" s="14">
        <f>VLOOKUP(Table2[[#This Row],[Salary]],'Tax rates'!A$2:C$8, 2) + VLOOKUP(Table2[[#This Row],[Salary]],'Tax rates'!A$2:C$8, 3) * (Table2[[#This Row],[Salary]] - VLOOKUP(Table2[[#This Row],[Salary]],'Tax rates'!A$2:C$8,1))</f>
        <v>8569.7000000000007</v>
      </c>
      <c r="K245" s="14">
        <f>Table2[[#This Row],[Salary]]-Table2[[#This Row],[Taxes]]</f>
        <v>48840.3</v>
      </c>
      <c r="L245" s="15">
        <f>Table2[[#This Row],[After tax salary]]+Table2[[#This Row],[Bonus]]</f>
        <v>48840.3</v>
      </c>
    </row>
    <row r="246" spans="1:12" x14ac:dyDescent="0.25">
      <c r="A246" s="5" t="s">
        <v>573</v>
      </c>
      <c r="B246" s="5" t="s">
        <v>27</v>
      </c>
      <c r="C246" s="5" t="s">
        <v>73</v>
      </c>
      <c r="D246" s="5" t="s">
        <v>3</v>
      </c>
      <c r="E246" s="6">
        <v>38051</v>
      </c>
      <c r="F246" s="5" t="s">
        <v>4</v>
      </c>
      <c r="G246" s="10">
        <v>30350</v>
      </c>
      <c r="H246" s="7">
        <v>1</v>
      </c>
      <c r="I246" s="12">
        <f>IF(OR(Table2[[#This Row],[Rating]]=4,Table2[[#This Row],[Rating]]=5), 0.05*Table2[[#This Row],[Salary]],0)</f>
        <v>0</v>
      </c>
      <c r="J246" s="14">
        <f>VLOOKUP(Table2[[#This Row],[Salary]],'Tax rates'!A$2:C$8, 2) + VLOOKUP(Table2[[#This Row],[Salary]],'Tax rates'!A$2:C$8, 3) * (Table2[[#This Row],[Salary]] - VLOOKUP(Table2[[#This Row],[Salary]],'Tax rates'!A$2:C$8,1))</f>
        <v>3451.5</v>
      </c>
      <c r="K246" s="14">
        <f>Table2[[#This Row],[Salary]]-Table2[[#This Row],[Taxes]]</f>
        <v>26898.5</v>
      </c>
      <c r="L246" s="15">
        <f>Table2[[#This Row],[After tax salary]]+Table2[[#This Row],[Bonus]]</f>
        <v>26898.5</v>
      </c>
    </row>
    <row r="247" spans="1:12" x14ac:dyDescent="0.25">
      <c r="A247" s="5" t="s">
        <v>610</v>
      </c>
      <c r="B247" s="5" t="s">
        <v>1</v>
      </c>
      <c r="C247" s="5" t="s">
        <v>18</v>
      </c>
      <c r="D247" s="5" t="s">
        <v>16</v>
      </c>
      <c r="E247" s="6">
        <v>38073</v>
      </c>
      <c r="F247" s="7"/>
      <c r="G247" s="10">
        <v>39300</v>
      </c>
      <c r="H247" s="7">
        <v>2</v>
      </c>
      <c r="I247" s="12">
        <f>IF(OR(Table2[[#This Row],[Rating]]=4,Table2[[#This Row],[Rating]]=5), 0.05*Table2[[#This Row],[Salary]],0)</f>
        <v>0</v>
      </c>
      <c r="J247" s="14">
        <f>VLOOKUP(Table2[[#This Row],[Salary]],'Tax rates'!A$2:C$8, 2) + VLOOKUP(Table2[[#This Row],[Salary]],'Tax rates'!A$2:C$8, 3) * (Table2[[#This Row],[Salary]] - VLOOKUP(Table2[[#This Row],[Salary]],'Tax rates'!A$2:C$8,1))</f>
        <v>4585.5</v>
      </c>
      <c r="K247" s="14">
        <f>Table2[[#This Row],[Salary]]-Table2[[#This Row],[Taxes]]</f>
        <v>34714.5</v>
      </c>
      <c r="L247" s="15">
        <f>Table2[[#This Row],[After tax salary]]+Table2[[#This Row],[Bonus]]</f>
        <v>34714.5</v>
      </c>
    </row>
    <row r="248" spans="1:12" x14ac:dyDescent="0.25">
      <c r="A248" s="5" t="s">
        <v>502</v>
      </c>
      <c r="B248" s="5" t="s">
        <v>1</v>
      </c>
      <c r="C248" s="5" t="s">
        <v>8</v>
      </c>
      <c r="D248" s="5" t="s">
        <v>3</v>
      </c>
      <c r="E248" s="6">
        <v>38135</v>
      </c>
      <c r="F248" s="5" t="s">
        <v>21</v>
      </c>
      <c r="G248" s="10">
        <v>65560</v>
      </c>
      <c r="H248" s="7">
        <v>1</v>
      </c>
      <c r="I248" s="12">
        <f>IF(OR(Table2[[#This Row],[Rating]]=4,Table2[[#This Row],[Rating]]=5), 0.05*Table2[[#This Row],[Salary]],0)</f>
        <v>0</v>
      </c>
      <c r="J248" s="14">
        <f>VLOOKUP(Table2[[#This Row],[Salary]],'Tax rates'!A$2:C$8, 2) + VLOOKUP(Table2[[#This Row],[Salary]],'Tax rates'!A$2:C$8, 3) * (Table2[[#This Row],[Salary]] - VLOOKUP(Table2[[#This Row],[Salary]],'Tax rates'!A$2:C$8,1))</f>
        <v>10362.700000000001</v>
      </c>
      <c r="K248" s="14">
        <f>Table2[[#This Row],[Salary]]-Table2[[#This Row],[Taxes]]</f>
        <v>55197.3</v>
      </c>
      <c r="L248" s="15">
        <f>Table2[[#This Row],[After tax salary]]+Table2[[#This Row],[Bonus]]</f>
        <v>55197.3</v>
      </c>
    </row>
    <row r="249" spans="1:12" x14ac:dyDescent="0.25">
      <c r="A249" s="5" t="s">
        <v>153</v>
      </c>
      <c r="B249" s="5" t="s">
        <v>6</v>
      </c>
      <c r="C249" s="5" t="s">
        <v>106</v>
      </c>
      <c r="D249" s="5" t="s">
        <v>3</v>
      </c>
      <c r="E249" s="6">
        <v>38142</v>
      </c>
      <c r="F249" s="5" t="s">
        <v>4</v>
      </c>
      <c r="G249" s="10">
        <v>49350</v>
      </c>
      <c r="H249" s="7">
        <v>4</v>
      </c>
      <c r="I249" s="12">
        <f>IF(OR(Table2[[#This Row],[Rating]]=4,Table2[[#This Row],[Rating]]=5), 0.05*Table2[[#This Row],[Salary]],0)</f>
        <v>2467.5</v>
      </c>
      <c r="J249" s="14">
        <f>VLOOKUP(Table2[[#This Row],[Salary]],'Tax rates'!A$2:C$8, 2) + VLOOKUP(Table2[[#This Row],[Salary]],'Tax rates'!A$2:C$8, 3) * (Table2[[#This Row],[Salary]] - VLOOKUP(Table2[[#This Row],[Salary]],'Tax rates'!A$2:C$8,1))</f>
        <v>6796.5</v>
      </c>
      <c r="K249" s="14">
        <f>Table2[[#This Row],[Salary]]-Table2[[#This Row],[Taxes]]</f>
        <v>42553.5</v>
      </c>
      <c r="L249" s="15">
        <f>Table2[[#This Row],[After tax salary]]+Table2[[#This Row],[Bonus]]</f>
        <v>45021</v>
      </c>
    </row>
    <row r="250" spans="1:12" x14ac:dyDescent="0.25">
      <c r="A250" s="5" t="s">
        <v>606</v>
      </c>
      <c r="B250" s="5" t="s">
        <v>1</v>
      </c>
      <c r="C250" s="5" t="s">
        <v>23</v>
      </c>
      <c r="D250" s="5" t="s">
        <v>32</v>
      </c>
      <c r="E250" s="6">
        <v>38144</v>
      </c>
      <c r="F250" s="7"/>
      <c r="G250" s="10">
        <v>33512</v>
      </c>
      <c r="H250" s="7">
        <v>4</v>
      </c>
      <c r="I250" s="12">
        <f>IF(OR(Table2[[#This Row],[Rating]]=4,Table2[[#This Row],[Rating]]=5), 0.05*Table2[[#This Row],[Salary]],0)</f>
        <v>1675.6000000000001</v>
      </c>
      <c r="J250" s="14">
        <f>VLOOKUP(Table2[[#This Row],[Salary]],'Tax rates'!A$2:C$8, 2) + VLOOKUP(Table2[[#This Row],[Salary]],'Tax rates'!A$2:C$8, 3) * (Table2[[#This Row],[Salary]] - VLOOKUP(Table2[[#This Row],[Salary]],'Tax rates'!A$2:C$8,1))</f>
        <v>3830.94</v>
      </c>
      <c r="K250" s="14">
        <f>Table2[[#This Row],[Salary]]-Table2[[#This Row],[Taxes]]</f>
        <v>29681.06</v>
      </c>
      <c r="L250" s="15">
        <f>Table2[[#This Row],[After tax salary]]+Table2[[#This Row],[Bonus]]</f>
        <v>31356.66</v>
      </c>
    </row>
    <row r="251" spans="1:12" x14ac:dyDescent="0.25">
      <c r="A251" s="5" t="s">
        <v>716</v>
      </c>
      <c r="B251" s="5" t="s">
        <v>13</v>
      </c>
      <c r="C251" s="5" t="s">
        <v>18</v>
      </c>
      <c r="D251" s="5" t="s">
        <v>3</v>
      </c>
      <c r="E251" s="6">
        <v>38146</v>
      </c>
      <c r="F251" s="5" t="s">
        <v>4</v>
      </c>
      <c r="G251" s="10">
        <v>47340</v>
      </c>
      <c r="H251" s="7">
        <v>2</v>
      </c>
      <c r="I251" s="12">
        <f>IF(OR(Table2[[#This Row],[Rating]]=4,Table2[[#This Row],[Rating]]=5), 0.05*Table2[[#This Row],[Salary]],0)</f>
        <v>0</v>
      </c>
      <c r="J251" s="14">
        <f>VLOOKUP(Table2[[#This Row],[Salary]],'Tax rates'!A$2:C$8, 2) + VLOOKUP(Table2[[#This Row],[Salary]],'Tax rates'!A$2:C$8, 3) * (Table2[[#This Row],[Salary]] - VLOOKUP(Table2[[#This Row],[Salary]],'Tax rates'!A$2:C$8,1))</f>
        <v>6354.3</v>
      </c>
      <c r="K251" s="14">
        <f>Table2[[#This Row],[Salary]]-Table2[[#This Row],[Taxes]]</f>
        <v>40985.699999999997</v>
      </c>
      <c r="L251" s="15">
        <f>Table2[[#This Row],[After tax salary]]+Table2[[#This Row],[Bonus]]</f>
        <v>40985.699999999997</v>
      </c>
    </row>
    <row r="252" spans="1:12" x14ac:dyDescent="0.25">
      <c r="A252" s="5" t="s">
        <v>638</v>
      </c>
      <c r="B252" s="5" t="s">
        <v>1</v>
      </c>
      <c r="C252" s="5" t="s">
        <v>30</v>
      </c>
      <c r="D252" s="5" t="s">
        <v>24</v>
      </c>
      <c r="E252" s="6">
        <v>38173</v>
      </c>
      <c r="F252" s="5" t="s">
        <v>11</v>
      </c>
      <c r="G252" s="10">
        <v>32900</v>
      </c>
      <c r="H252" s="7">
        <v>2</v>
      </c>
      <c r="I252" s="12">
        <f>IF(OR(Table2[[#This Row],[Rating]]=4,Table2[[#This Row],[Rating]]=5), 0.05*Table2[[#This Row],[Salary]],0)</f>
        <v>0</v>
      </c>
      <c r="J252" s="14">
        <f>VLOOKUP(Table2[[#This Row],[Salary]],'Tax rates'!A$2:C$8, 2) + VLOOKUP(Table2[[#This Row],[Salary]],'Tax rates'!A$2:C$8, 3) * (Table2[[#This Row],[Salary]] - VLOOKUP(Table2[[#This Row],[Salary]],'Tax rates'!A$2:C$8,1))</f>
        <v>3757.5</v>
      </c>
      <c r="K252" s="14">
        <f>Table2[[#This Row],[Salary]]-Table2[[#This Row],[Taxes]]</f>
        <v>29142.5</v>
      </c>
      <c r="L252" s="15">
        <f>Table2[[#This Row],[After tax salary]]+Table2[[#This Row],[Bonus]]</f>
        <v>29142.5</v>
      </c>
    </row>
    <row r="253" spans="1:12" x14ac:dyDescent="0.25">
      <c r="A253" s="5" t="s">
        <v>80</v>
      </c>
      <c r="B253" s="5" t="s">
        <v>6</v>
      </c>
      <c r="C253" s="5" t="s">
        <v>23</v>
      </c>
      <c r="D253" s="5" t="s">
        <v>3</v>
      </c>
      <c r="E253" s="6">
        <v>38227</v>
      </c>
      <c r="F253" s="5" t="s">
        <v>11</v>
      </c>
      <c r="G253" s="10">
        <v>86200</v>
      </c>
      <c r="H253" s="7">
        <v>3</v>
      </c>
      <c r="I253" s="12">
        <f>IF(OR(Table2[[#This Row],[Rating]]=4,Table2[[#This Row],[Rating]]=5), 0.05*Table2[[#This Row],[Salary]],0)</f>
        <v>0</v>
      </c>
      <c r="J253" s="14">
        <f>VLOOKUP(Table2[[#This Row],[Salary]],'Tax rates'!A$2:C$8, 2) + VLOOKUP(Table2[[#This Row],[Salary]],'Tax rates'!A$2:C$8, 3) * (Table2[[#This Row],[Salary]] - VLOOKUP(Table2[[#This Row],[Salary]],'Tax rates'!A$2:C$8,1))</f>
        <v>14977.5</v>
      </c>
      <c r="K253" s="14">
        <f>Table2[[#This Row],[Salary]]-Table2[[#This Row],[Taxes]]</f>
        <v>71222.5</v>
      </c>
      <c r="L253" s="15">
        <f>Table2[[#This Row],[After tax salary]]+Table2[[#This Row],[Bonus]]</f>
        <v>71222.5</v>
      </c>
    </row>
    <row r="254" spans="1:12" x14ac:dyDescent="0.25">
      <c r="A254" s="5" t="s">
        <v>554</v>
      </c>
      <c r="B254" s="5" t="s">
        <v>13</v>
      </c>
      <c r="C254" s="5" t="s">
        <v>2</v>
      </c>
      <c r="D254" s="5" t="s">
        <v>3</v>
      </c>
      <c r="E254" s="6">
        <v>38237</v>
      </c>
      <c r="F254" s="5" t="s">
        <v>11</v>
      </c>
      <c r="G254" s="10">
        <v>31910</v>
      </c>
      <c r="H254" s="7">
        <v>5</v>
      </c>
      <c r="I254" s="12">
        <f>IF(OR(Table2[[#This Row],[Rating]]=4,Table2[[#This Row],[Rating]]=5), 0.05*Table2[[#This Row],[Salary]],0)</f>
        <v>1595.5</v>
      </c>
      <c r="J254" s="14">
        <f>VLOOKUP(Table2[[#This Row],[Salary]],'Tax rates'!A$2:C$8, 2) + VLOOKUP(Table2[[#This Row],[Salary]],'Tax rates'!A$2:C$8, 3) * (Table2[[#This Row],[Salary]] - VLOOKUP(Table2[[#This Row],[Salary]],'Tax rates'!A$2:C$8,1))</f>
        <v>3638.7</v>
      </c>
      <c r="K254" s="14">
        <f>Table2[[#This Row],[Salary]]-Table2[[#This Row],[Taxes]]</f>
        <v>28271.3</v>
      </c>
      <c r="L254" s="15">
        <f>Table2[[#This Row],[After tax salary]]+Table2[[#This Row],[Bonus]]</f>
        <v>29866.799999999999</v>
      </c>
    </row>
    <row r="255" spans="1:12" x14ac:dyDescent="0.25">
      <c r="A255" s="5" t="s">
        <v>440</v>
      </c>
      <c r="B255" s="5" t="s">
        <v>13</v>
      </c>
      <c r="C255" s="5" t="s">
        <v>18</v>
      </c>
      <c r="D255" s="5" t="s">
        <v>16</v>
      </c>
      <c r="E255" s="6">
        <v>38289</v>
      </c>
      <c r="F255" s="7"/>
      <c r="G255" s="10">
        <v>71830</v>
      </c>
      <c r="H255" s="7">
        <v>3</v>
      </c>
      <c r="I255" s="12">
        <f>IF(OR(Table2[[#This Row],[Rating]]=4,Table2[[#This Row],[Rating]]=5), 0.05*Table2[[#This Row],[Salary]],0)</f>
        <v>0</v>
      </c>
      <c r="J255" s="14">
        <f>VLOOKUP(Table2[[#This Row],[Salary]],'Tax rates'!A$2:C$8, 2) + VLOOKUP(Table2[[#This Row],[Salary]],'Tax rates'!A$2:C$8, 3) * (Table2[[#This Row],[Salary]] - VLOOKUP(Table2[[#This Row],[Salary]],'Tax rates'!A$2:C$8,1))</f>
        <v>11742.1</v>
      </c>
      <c r="K255" s="14">
        <f>Table2[[#This Row],[Salary]]-Table2[[#This Row],[Taxes]]</f>
        <v>60087.9</v>
      </c>
      <c r="L255" s="15">
        <f>Table2[[#This Row],[After tax salary]]+Table2[[#This Row],[Bonus]]</f>
        <v>60087.9</v>
      </c>
    </row>
    <row r="256" spans="1:12" x14ac:dyDescent="0.25">
      <c r="A256" s="5" t="s">
        <v>208</v>
      </c>
      <c r="B256" s="5" t="s">
        <v>1</v>
      </c>
      <c r="C256" s="5" t="s">
        <v>18</v>
      </c>
      <c r="D256" s="5" t="s">
        <v>16</v>
      </c>
      <c r="E256" s="6">
        <v>38321</v>
      </c>
      <c r="F256" s="7"/>
      <c r="G256" s="10">
        <v>37980</v>
      </c>
      <c r="H256" s="7">
        <v>4</v>
      </c>
      <c r="I256" s="12">
        <f>IF(OR(Table2[[#This Row],[Rating]]=4,Table2[[#This Row],[Rating]]=5), 0.05*Table2[[#This Row],[Salary]],0)</f>
        <v>1899</v>
      </c>
      <c r="J256" s="14">
        <f>VLOOKUP(Table2[[#This Row],[Salary]],'Tax rates'!A$2:C$8, 2) + VLOOKUP(Table2[[#This Row],[Salary]],'Tax rates'!A$2:C$8, 3) * (Table2[[#This Row],[Salary]] - VLOOKUP(Table2[[#This Row],[Salary]],'Tax rates'!A$2:C$8,1))</f>
        <v>4367.1000000000004</v>
      </c>
      <c r="K256" s="14">
        <f>Table2[[#This Row],[Salary]]-Table2[[#This Row],[Taxes]]</f>
        <v>33612.9</v>
      </c>
      <c r="L256" s="15">
        <f>Table2[[#This Row],[After tax salary]]+Table2[[#This Row],[Bonus]]</f>
        <v>35511.9</v>
      </c>
    </row>
    <row r="257" spans="1:12" x14ac:dyDescent="0.25">
      <c r="A257" s="5" t="s">
        <v>243</v>
      </c>
      <c r="B257" s="5" t="s">
        <v>29</v>
      </c>
      <c r="C257" s="5" t="s">
        <v>18</v>
      </c>
      <c r="D257" s="5" t="s">
        <v>3</v>
      </c>
      <c r="E257" s="6">
        <v>38321</v>
      </c>
      <c r="F257" s="5" t="s">
        <v>25</v>
      </c>
      <c r="G257" s="10">
        <v>70760</v>
      </c>
      <c r="H257" s="7">
        <v>1</v>
      </c>
      <c r="I257" s="12">
        <f>IF(OR(Table2[[#This Row],[Rating]]=4,Table2[[#This Row],[Rating]]=5), 0.05*Table2[[#This Row],[Salary]],0)</f>
        <v>0</v>
      </c>
      <c r="J257" s="14">
        <f>VLOOKUP(Table2[[#This Row],[Salary]],'Tax rates'!A$2:C$8, 2) + VLOOKUP(Table2[[#This Row],[Salary]],'Tax rates'!A$2:C$8, 3) * (Table2[[#This Row],[Salary]] - VLOOKUP(Table2[[#This Row],[Salary]],'Tax rates'!A$2:C$8,1))</f>
        <v>11506.7</v>
      </c>
      <c r="K257" s="14">
        <f>Table2[[#This Row],[Salary]]-Table2[[#This Row],[Taxes]]</f>
        <v>59253.3</v>
      </c>
      <c r="L257" s="15">
        <f>Table2[[#This Row],[After tax salary]]+Table2[[#This Row],[Bonus]]</f>
        <v>59253.3</v>
      </c>
    </row>
    <row r="258" spans="1:12" x14ac:dyDescent="0.25">
      <c r="A258" s="5" t="s">
        <v>459</v>
      </c>
      <c r="B258" s="5" t="s">
        <v>1</v>
      </c>
      <c r="C258" s="5" t="s">
        <v>35</v>
      </c>
      <c r="D258" s="5" t="s">
        <v>3</v>
      </c>
      <c r="E258" s="6">
        <v>38328</v>
      </c>
      <c r="F258" s="5" t="s">
        <v>25</v>
      </c>
      <c r="G258" s="10">
        <v>48280</v>
      </c>
      <c r="H258" s="7">
        <v>4</v>
      </c>
      <c r="I258" s="12">
        <f>IF(OR(Table2[[#This Row],[Rating]]=4,Table2[[#This Row],[Rating]]=5), 0.05*Table2[[#This Row],[Salary]],0)</f>
        <v>2414</v>
      </c>
      <c r="J258" s="14">
        <f>VLOOKUP(Table2[[#This Row],[Salary]],'Tax rates'!A$2:C$8, 2) + VLOOKUP(Table2[[#This Row],[Salary]],'Tax rates'!A$2:C$8, 3) * (Table2[[#This Row],[Salary]] - VLOOKUP(Table2[[#This Row],[Salary]],'Tax rates'!A$2:C$8,1))</f>
        <v>6561.1</v>
      </c>
      <c r="K258" s="14">
        <f>Table2[[#This Row],[Salary]]-Table2[[#This Row],[Taxes]]</f>
        <v>41718.9</v>
      </c>
      <c r="L258" s="15">
        <f>Table2[[#This Row],[After tax salary]]+Table2[[#This Row],[Bonus]]</f>
        <v>44132.9</v>
      </c>
    </row>
    <row r="259" spans="1:12" x14ac:dyDescent="0.25">
      <c r="A259" s="5" t="s">
        <v>421</v>
      </c>
      <c r="B259" s="5" t="s">
        <v>13</v>
      </c>
      <c r="C259" s="5" t="s">
        <v>35</v>
      </c>
      <c r="D259" s="5" t="s">
        <v>3</v>
      </c>
      <c r="E259" s="6">
        <v>38347</v>
      </c>
      <c r="F259" s="5" t="s">
        <v>11</v>
      </c>
      <c r="G259" s="10">
        <v>81340</v>
      </c>
      <c r="H259" s="7">
        <v>2</v>
      </c>
      <c r="I259" s="12">
        <f>IF(OR(Table2[[#This Row],[Rating]]=4,Table2[[#This Row],[Rating]]=5), 0.05*Table2[[#This Row],[Salary]],0)</f>
        <v>0</v>
      </c>
      <c r="J259" s="14">
        <f>VLOOKUP(Table2[[#This Row],[Salary]],'Tax rates'!A$2:C$8, 2) + VLOOKUP(Table2[[#This Row],[Salary]],'Tax rates'!A$2:C$8, 3) * (Table2[[#This Row],[Salary]] - VLOOKUP(Table2[[#This Row],[Salary]],'Tax rates'!A$2:C$8,1))</f>
        <v>13834.3</v>
      </c>
      <c r="K259" s="14">
        <f>Table2[[#This Row],[Salary]]-Table2[[#This Row],[Taxes]]</f>
        <v>67505.7</v>
      </c>
      <c r="L259" s="15">
        <f>Table2[[#This Row],[After tax salary]]+Table2[[#This Row],[Bonus]]</f>
        <v>67505.7</v>
      </c>
    </row>
    <row r="260" spans="1:12" x14ac:dyDescent="0.25">
      <c r="A260" s="5" t="s">
        <v>355</v>
      </c>
      <c r="B260" s="5" t="s">
        <v>29</v>
      </c>
      <c r="C260" s="5" t="s">
        <v>30</v>
      </c>
      <c r="D260" s="5" t="s">
        <v>24</v>
      </c>
      <c r="E260" s="6">
        <v>38723</v>
      </c>
      <c r="F260" s="5" t="s">
        <v>11</v>
      </c>
      <c r="G260" s="10">
        <v>10630</v>
      </c>
      <c r="H260" s="7">
        <v>3</v>
      </c>
      <c r="I260" s="12">
        <f>IF(OR(Table2[[#This Row],[Rating]]=4,Table2[[#This Row],[Rating]]=5), 0.05*Table2[[#This Row],[Salary]],0)</f>
        <v>0</v>
      </c>
      <c r="J260" s="14">
        <f>VLOOKUP(Table2[[#This Row],[Salary]],'Tax rates'!A$2:C$8, 2) + VLOOKUP(Table2[[#This Row],[Salary]],'Tax rates'!A$2:C$8, 3) * (Table2[[#This Row],[Salary]] - VLOOKUP(Table2[[#This Row],[Salary]],'Tax rates'!A$2:C$8,1))</f>
        <v>1085.0999999999999</v>
      </c>
      <c r="K260" s="14">
        <f>Table2[[#This Row],[Salary]]-Table2[[#This Row],[Taxes]]</f>
        <v>9544.9</v>
      </c>
      <c r="L260" s="15">
        <f>Table2[[#This Row],[After tax salary]]+Table2[[#This Row],[Bonus]]</f>
        <v>9544.9</v>
      </c>
    </row>
    <row r="261" spans="1:12" x14ac:dyDescent="0.25">
      <c r="A261" s="5" t="s">
        <v>206</v>
      </c>
      <c r="B261" s="5" t="s">
        <v>13</v>
      </c>
      <c r="C261" s="5" t="s">
        <v>18</v>
      </c>
      <c r="D261" s="5" t="s">
        <v>3</v>
      </c>
      <c r="E261" s="6">
        <v>38733</v>
      </c>
      <c r="F261" s="5" t="s">
        <v>9</v>
      </c>
      <c r="G261" s="10">
        <v>68710</v>
      </c>
      <c r="H261" s="7">
        <v>4</v>
      </c>
      <c r="I261" s="12">
        <f>IF(OR(Table2[[#This Row],[Rating]]=4,Table2[[#This Row],[Rating]]=5), 0.05*Table2[[#This Row],[Salary]],0)</f>
        <v>3435.5</v>
      </c>
      <c r="J261" s="14">
        <f>VLOOKUP(Table2[[#This Row],[Salary]],'Tax rates'!A$2:C$8, 2) + VLOOKUP(Table2[[#This Row],[Salary]],'Tax rates'!A$2:C$8, 3) * (Table2[[#This Row],[Salary]] - VLOOKUP(Table2[[#This Row],[Salary]],'Tax rates'!A$2:C$8,1))</f>
        <v>11055.7</v>
      </c>
      <c r="K261" s="14">
        <f>Table2[[#This Row],[Salary]]-Table2[[#This Row],[Taxes]]</f>
        <v>57654.3</v>
      </c>
      <c r="L261" s="15">
        <f>Table2[[#This Row],[After tax salary]]+Table2[[#This Row],[Bonus]]</f>
        <v>61089.8</v>
      </c>
    </row>
    <row r="262" spans="1:12" x14ac:dyDescent="0.25">
      <c r="A262" s="5" t="s">
        <v>524</v>
      </c>
      <c r="B262" s="5" t="s">
        <v>1</v>
      </c>
      <c r="C262" s="5" t="s">
        <v>37</v>
      </c>
      <c r="D262" s="5" t="s">
        <v>16</v>
      </c>
      <c r="E262" s="6">
        <v>38734</v>
      </c>
      <c r="F262" s="7"/>
      <c r="G262" s="10">
        <v>54190</v>
      </c>
      <c r="H262" s="7">
        <v>4</v>
      </c>
      <c r="I262" s="12">
        <f>IF(OR(Table2[[#This Row],[Rating]]=4,Table2[[#This Row],[Rating]]=5), 0.05*Table2[[#This Row],[Salary]],0)</f>
        <v>2709.5</v>
      </c>
      <c r="J262" s="14">
        <f>VLOOKUP(Table2[[#This Row],[Salary]],'Tax rates'!A$2:C$8, 2) + VLOOKUP(Table2[[#This Row],[Salary]],'Tax rates'!A$2:C$8, 3) * (Table2[[#This Row],[Salary]] - VLOOKUP(Table2[[#This Row],[Salary]],'Tax rates'!A$2:C$8,1))</f>
        <v>7861.3</v>
      </c>
      <c r="K262" s="14">
        <f>Table2[[#This Row],[Salary]]-Table2[[#This Row],[Taxes]]</f>
        <v>46328.7</v>
      </c>
      <c r="L262" s="15">
        <f>Table2[[#This Row],[After tax salary]]+Table2[[#This Row],[Bonus]]</f>
        <v>49038.2</v>
      </c>
    </row>
    <row r="263" spans="1:12" x14ac:dyDescent="0.25">
      <c r="A263" s="5" t="s">
        <v>526</v>
      </c>
      <c r="B263" s="5" t="s">
        <v>6</v>
      </c>
      <c r="C263" s="5" t="s">
        <v>138</v>
      </c>
      <c r="D263" s="5" t="s">
        <v>3</v>
      </c>
      <c r="E263" s="6">
        <v>38736</v>
      </c>
      <c r="F263" s="5" t="s">
        <v>11</v>
      </c>
      <c r="G263" s="10">
        <v>22920</v>
      </c>
      <c r="H263" s="7">
        <v>3</v>
      </c>
      <c r="I263" s="12">
        <f>IF(OR(Table2[[#This Row],[Rating]]=4,Table2[[#This Row],[Rating]]=5), 0.05*Table2[[#This Row],[Salary]],0)</f>
        <v>0</v>
      </c>
      <c r="J263" s="14">
        <f>VLOOKUP(Table2[[#This Row],[Salary]],'Tax rates'!A$2:C$8, 2) + VLOOKUP(Table2[[#This Row],[Salary]],'Tax rates'!A$2:C$8, 3) * (Table2[[#This Row],[Salary]] - VLOOKUP(Table2[[#This Row],[Salary]],'Tax rates'!A$2:C$8,1))</f>
        <v>2559.8999999999996</v>
      </c>
      <c r="K263" s="14">
        <f>Table2[[#This Row],[Salary]]-Table2[[#This Row],[Taxes]]</f>
        <v>20360.099999999999</v>
      </c>
      <c r="L263" s="15">
        <f>Table2[[#This Row],[After tax salary]]+Table2[[#This Row],[Bonus]]</f>
        <v>20360.099999999999</v>
      </c>
    </row>
    <row r="264" spans="1:12" x14ac:dyDescent="0.25">
      <c r="A264" s="5" t="s">
        <v>426</v>
      </c>
      <c r="B264" s="5" t="s">
        <v>6</v>
      </c>
      <c r="C264" s="5" t="s">
        <v>18</v>
      </c>
      <c r="D264" s="5" t="s">
        <v>16</v>
      </c>
      <c r="E264" s="6">
        <v>38738</v>
      </c>
      <c r="F264" s="7"/>
      <c r="G264" s="10">
        <v>42150</v>
      </c>
      <c r="H264" s="7">
        <v>5</v>
      </c>
      <c r="I264" s="12">
        <f>IF(OR(Table2[[#This Row],[Rating]]=4,Table2[[#This Row],[Rating]]=5), 0.05*Table2[[#This Row],[Salary]],0)</f>
        <v>2107.5</v>
      </c>
      <c r="J264" s="14">
        <f>VLOOKUP(Table2[[#This Row],[Salary]],'Tax rates'!A$2:C$8, 2) + VLOOKUP(Table2[[#This Row],[Salary]],'Tax rates'!A$2:C$8, 3) * (Table2[[#This Row],[Salary]] - VLOOKUP(Table2[[#This Row],[Salary]],'Tax rates'!A$2:C$8,1))</f>
        <v>5212.5</v>
      </c>
      <c r="K264" s="14">
        <f>Table2[[#This Row],[Salary]]-Table2[[#This Row],[Taxes]]</f>
        <v>36937.5</v>
      </c>
      <c r="L264" s="15">
        <f>Table2[[#This Row],[After tax salary]]+Table2[[#This Row],[Bonus]]</f>
        <v>39045</v>
      </c>
    </row>
    <row r="265" spans="1:12" x14ac:dyDescent="0.25">
      <c r="A265" s="5" t="s">
        <v>401</v>
      </c>
      <c r="B265" s="5" t="s">
        <v>13</v>
      </c>
      <c r="C265" s="5" t="s">
        <v>57</v>
      </c>
      <c r="D265" s="5" t="s">
        <v>16</v>
      </c>
      <c r="E265" s="6">
        <v>38738</v>
      </c>
      <c r="F265" s="7"/>
      <c r="G265" s="10">
        <v>25120</v>
      </c>
      <c r="H265" s="7">
        <v>2</v>
      </c>
      <c r="I265" s="12">
        <f>IF(OR(Table2[[#This Row],[Rating]]=4,Table2[[#This Row],[Rating]]=5), 0.05*Table2[[#This Row],[Salary]],0)</f>
        <v>0</v>
      </c>
      <c r="J265" s="14">
        <f>VLOOKUP(Table2[[#This Row],[Salary]],'Tax rates'!A$2:C$8, 2) + VLOOKUP(Table2[[#This Row],[Salary]],'Tax rates'!A$2:C$8, 3) * (Table2[[#This Row],[Salary]] - VLOOKUP(Table2[[#This Row],[Salary]],'Tax rates'!A$2:C$8,1))</f>
        <v>2823.8999999999996</v>
      </c>
      <c r="K265" s="14">
        <f>Table2[[#This Row],[Salary]]-Table2[[#This Row],[Taxes]]</f>
        <v>22296.1</v>
      </c>
      <c r="L265" s="15">
        <f>Table2[[#This Row],[After tax salary]]+Table2[[#This Row],[Bonus]]</f>
        <v>22296.1</v>
      </c>
    </row>
    <row r="266" spans="1:12" x14ac:dyDescent="0.25">
      <c r="A266" s="5" t="s">
        <v>615</v>
      </c>
      <c r="B266" s="5" t="s">
        <v>13</v>
      </c>
      <c r="C266" s="5" t="s">
        <v>2</v>
      </c>
      <c r="D266" s="5" t="s">
        <v>3</v>
      </c>
      <c r="E266" s="6">
        <v>38738</v>
      </c>
      <c r="F266" s="5" t="s">
        <v>9</v>
      </c>
      <c r="G266" s="10">
        <v>62965</v>
      </c>
      <c r="H266" s="7">
        <v>1</v>
      </c>
      <c r="I266" s="12">
        <f>IF(OR(Table2[[#This Row],[Rating]]=4,Table2[[#This Row],[Rating]]=5), 0.05*Table2[[#This Row],[Salary]],0)</f>
        <v>0</v>
      </c>
      <c r="J266" s="14">
        <f>VLOOKUP(Table2[[#This Row],[Salary]],'Tax rates'!A$2:C$8, 2) + VLOOKUP(Table2[[#This Row],[Salary]],'Tax rates'!A$2:C$8, 3) * (Table2[[#This Row],[Salary]] - VLOOKUP(Table2[[#This Row],[Salary]],'Tax rates'!A$2:C$8,1))</f>
        <v>9791.7999999999993</v>
      </c>
      <c r="K266" s="14">
        <f>Table2[[#This Row],[Salary]]-Table2[[#This Row],[Taxes]]</f>
        <v>53173.2</v>
      </c>
      <c r="L266" s="15">
        <f>Table2[[#This Row],[After tax salary]]+Table2[[#This Row],[Bonus]]</f>
        <v>53173.2</v>
      </c>
    </row>
    <row r="267" spans="1:12" x14ac:dyDescent="0.25">
      <c r="A267" s="5" t="s">
        <v>471</v>
      </c>
      <c r="B267" s="5" t="s">
        <v>6</v>
      </c>
      <c r="C267" s="5" t="s">
        <v>73</v>
      </c>
      <c r="D267" s="5" t="s">
        <v>3</v>
      </c>
      <c r="E267" s="6">
        <v>38746</v>
      </c>
      <c r="F267" s="5" t="s">
        <v>11</v>
      </c>
      <c r="G267" s="10">
        <v>49360</v>
      </c>
      <c r="H267" s="7">
        <v>2</v>
      </c>
      <c r="I267" s="12">
        <f>IF(OR(Table2[[#This Row],[Rating]]=4,Table2[[#This Row],[Rating]]=5), 0.05*Table2[[#This Row],[Salary]],0)</f>
        <v>0</v>
      </c>
      <c r="J267" s="14">
        <f>VLOOKUP(Table2[[#This Row],[Salary]],'Tax rates'!A$2:C$8, 2) + VLOOKUP(Table2[[#This Row],[Salary]],'Tax rates'!A$2:C$8, 3) * (Table2[[#This Row],[Salary]] - VLOOKUP(Table2[[#This Row],[Salary]],'Tax rates'!A$2:C$8,1))</f>
        <v>6798.7</v>
      </c>
      <c r="K267" s="14">
        <f>Table2[[#This Row],[Salary]]-Table2[[#This Row],[Taxes]]</f>
        <v>42561.3</v>
      </c>
      <c r="L267" s="15">
        <f>Table2[[#This Row],[After tax salary]]+Table2[[#This Row],[Bonus]]</f>
        <v>42561.3</v>
      </c>
    </row>
    <row r="268" spans="1:12" x14ac:dyDescent="0.25">
      <c r="A268" s="5" t="s">
        <v>576</v>
      </c>
      <c r="B268" s="5" t="s">
        <v>1</v>
      </c>
      <c r="C268" s="5" t="s">
        <v>106</v>
      </c>
      <c r="D268" s="5" t="s">
        <v>3</v>
      </c>
      <c r="E268" s="6">
        <v>38751</v>
      </c>
      <c r="F268" s="5" t="s">
        <v>4</v>
      </c>
      <c r="G268" s="10">
        <v>60830</v>
      </c>
      <c r="H268" s="7">
        <v>2</v>
      </c>
      <c r="I268" s="12">
        <f>IF(OR(Table2[[#This Row],[Rating]]=4,Table2[[#This Row],[Rating]]=5), 0.05*Table2[[#This Row],[Salary]],0)</f>
        <v>0</v>
      </c>
      <c r="J268" s="14">
        <f>VLOOKUP(Table2[[#This Row],[Salary]],'Tax rates'!A$2:C$8, 2) + VLOOKUP(Table2[[#This Row],[Salary]],'Tax rates'!A$2:C$8, 3) * (Table2[[#This Row],[Salary]] - VLOOKUP(Table2[[#This Row],[Salary]],'Tax rates'!A$2:C$8,1))</f>
        <v>9322.1</v>
      </c>
      <c r="K268" s="14">
        <f>Table2[[#This Row],[Salary]]-Table2[[#This Row],[Taxes]]</f>
        <v>51507.9</v>
      </c>
      <c r="L268" s="15">
        <f>Table2[[#This Row],[After tax salary]]+Table2[[#This Row],[Bonus]]</f>
        <v>51507.9</v>
      </c>
    </row>
    <row r="269" spans="1:12" x14ac:dyDescent="0.25">
      <c r="A269" s="5" t="s">
        <v>527</v>
      </c>
      <c r="B269" s="5" t="s">
        <v>1</v>
      </c>
      <c r="C269" s="5" t="s">
        <v>8</v>
      </c>
      <c r="D269" s="5" t="s">
        <v>3</v>
      </c>
      <c r="E269" s="6">
        <v>38753</v>
      </c>
      <c r="F269" s="5" t="s">
        <v>4</v>
      </c>
      <c r="G269" s="10">
        <v>22410</v>
      </c>
      <c r="H269" s="7">
        <v>4</v>
      </c>
      <c r="I269" s="12">
        <f>IF(OR(Table2[[#This Row],[Rating]]=4,Table2[[#This Row],[Rating]]=5), 0.05*Table2[[#This Row],[Salary]],0)</f>
        <v>1120.5</v>
      </c>
      <c r="J269" s="14">
        <f>VLOOKUP(Table2[[#This Row],[Salary]],'Tax rates'!A$2:C$8, 2) + VLOOKUP(Table2[[#This Row],[Salary]],'Tax rates'!A$2:C$8, 3) * (Table2[[#This Row],[Salary]] - VLOOKUP(Table2[[#This Row],[Salary]],'Tax rates'!A$2:C$8,1))</f>
        <v>2498.6999999999998</v>
      </c>
      <c r="K269" s="14">
        <f>Table2[[#This Row],[Salary]]-Table2[[#This Row],[Taxes]]</f>
        <v>19911.3</v>
      </c>
      <c r="L269" s="15">
        <f>Table2[[#This Row],[After tax salary]]+Table2[[#This Row],[Bonus]]</f>
        <v>21031.8</v>
      </c>
    </row>
    <row r="270" spans="1:12" x14ac:dyDescent="0.25">
      <c r="A270" s="5" t="s">
        <v>331</v>
      </c>
      <c r="B270" s="5" t="s">
        <v>1</v>
      </c>
      <c r="C270" s="5" t="s">
        <v>35</v>
      </c>
      <c r="D270" s="5" t="s">
        <v>24</v>
      </c>
      <c r="E270" s="6">
        <v>38753</v>
      </c>
      <c r="F270" s="5" t="s">
        <v>25</v>
      </c>
      <c r="G270" s="10">
        <v>37660</v>
      </c>
      <c r="H270" s="7">
        <v>4</v>
      </c>
      <c r="I270" s="12">
        <f>IF(OR(Table2[[#This Row],[Rating]]=4,Table2[[#This Row],[Rating]]=5), 0.05*Table2[[#This Row],[Salary]],0)</f>
        <v>1883</v>
      </c>
      <c r="J270" s="14">
        <f>VLOOKUP(Table2[[#This Row],[Salary]],'Tax rates'!A$2:C$8, 2) + VLOOKUP(Table2[[#This Row],[Salary]],'Tax rates'!A$2:C$8, 3) * (Table2[[#This Row],[Salary]] - VLOOKUP(Table2[[#This Row],[Salary]],'Tax rates'!A$2:C$8,1))</f>
        <v>4328.7</v>
      </c>
      <c r="K270" s="14">
        <f>Table2[[#This Row],[Salary]]-Table2[[#This Row],[Taxes]]</f>
        <v>33331.300000000003</v>
      </c>
      <c r="L270" s="15">
        <f>Table2[[#This Row],[After tax salary]]+Table2[[#This Row],[Bonus]]</f>
        <v>35214.300000000003</v>
      </c>
    </row>
    <row r="271" spans="1:12" x14ac:dyDescent="0.25">
      <c r="A271" s="5" t="s">
        <v>312</v>
      </c>
      <c r="B271" s="5" t="s">
        <v>1</v>
      </c>
      <c r="C271" s="5" t="s">
        <v>166</v>
      </c>
      <c r="D271" s="5" t="s">
        <v>16</v>
      </c>
      <c r="E271" s="6">
        <v>38755</v>
      </c>
      <c r="F271" s="7"/>
      <c r="G271" s="10">
        <v>78860</v>
      </c>
      <c r="H271" s="7">
        <v>2</v>
      </c>
      <c r="I271" s="12">
        <f>IF(OR(Table2[[#This Row],[Rating]]=4,Table2[[#This Row],[Rating]]=5), 0.05*Table2[[#This Row],[Salary]],0)</f>
        <v>0</v>
      </c>
      <c r="J271" s="14">
        <f>VLOOKUP(Table2[[#This Row],[Salary]],'Tax rates'!A$2:C$8, 2) + VLOOKUP(Table2[[#This Row],[Salary]],'Tax rates'!A$2:C$8, 3) * (Table2[[#This Row],[Salary]] - VLOOKUP(Table2[[#This Row],[Salary]],'Tax rates'!A$2:C$8,1))</f>
        <v>13288.7</v>
      </c>
      <c r="K271" s="14">
        <f>Table2[[#This Row],[Salary]]-Table2[[#This Row],[Taxes]]</f>
        <v>65571.3</v>
      </c>
      <c r="L271" s="15">
        <f>Table2[[#This Row],[After tax salary]]+Table2[[#This Row],[Bonus]]</f>
        <v>65571.3</v>
      </c>
    </row>
    <row r="272" spans="1:12" x14ac:dyDescent="0.25">
      <c r="A272" s="5" t="s">
        <v>265</v>
      </c>
      <c r="B272" s="5" t="s">
        <v>29</v>
      </c>
      <c r="C272" s="5" t="s">
        <v>20</v>
      </c>
      <c r="D272" s="5" t="s">
        <v>3</v>
      </c>
      <c r="E272" s="6">
        <v>38774</v>
      </c>
      <c r="F272" s="5" t="s">
        <v>4</v>
      </c>
      <c r="G272" s="10">
        <v>80120</v>
      </c>
      <c r="H272" s="7">
        <v>4</v>
      </c>
      <c r="I272" s="12">
        <f>IF(OR(Table2[[#This Row],[Rating]]=4,Table2[[#This Row],[Rating]]=5), 0.05*Table2[[#This Row],[Salary]],0)</f>
        <v>4006</v>
      </c>
      <c r="J272" s="14">
        <f>VLOOKUP(Table2[[#This Row],[Salary]],'Tax rates'!A$2:C$8, 2) + VLOOKUP(Table2[[#This Row],[Salary]],'Tax rates'!A$2:C$8, 3) * (Table2[[#This Row],[Salary]] - VLOOKUP(Table2[[#This Row],[Salary]],'Tax rates'!A$2:C$8,1))</f>
        <v>13565.9</v>
      </c>
      <c r="K272" s="14">
        <f>Table2[[#This Row],[Salary]]-Table2[[#This Row],[Taxes]]</f>
        <v>66554.100000000006</v>
      </c>
      <c r="L272" s="15">
        <f>Table2[[#This Row],[After tax salary]]+Table2[[#This Row],[Bonus]]</f>
        <v>70560.100000000006</v>
      </c>
    </row>
    <row r="273" spans="1:12" x14ac:dyDescent="0.25">
      <c r="A273" s="5" t="s">
        <v>649</v>
      </c>
      <c r="B273" s="5" t="s">
        <v>13</v>
      </c>
      <c r="C273" s="5" t="s">
        <v>18</v>
      </c>
      <c r="D273" s="5" t="s">
        <v>32</v>
      </c>
      <c r="E273" s="6">
        <v>38777</v>
      </c>
      <c r="F273" s="7"/>
      <c r="G273" s="10">
        <v>22472</v>
      </c>
      <c r="H273" s="7">
        <v>1</v>
      </c>
      <c r="I273" s="12">
        <f>IF(OR(Table2[[#This Row],[Rating]]=4,Table2[[#This Row],[Rating]]=5), 0.05*Table2[[#This Row],[Salary]],0)</f>
        <v>0</v>
      </c>
      <c r="J273" s="14">
        <f>VLOOKUP(Table2[[#This Row],[Salary]],'Tax rates'!A$2:C$8, 2) + VLOOKUP(Table2[[#This Row],[Salary]],'Tax rates'!A$2:C$8, 3) * (Table2[[#This Row],[Salary]] - VLOOKUP(Table2[[#This Row],[Salary]],'Tax rates'!A$2:C$8,1))</f>
        <v>2506.14</v>
      </c>
      <c r="K273" s="14">
        <f>Table2[[#This Row],[Salary]]-Table2[[#This Row],[Taxes]]</f>
        <v>19965.86</v>
      </c>
      <c r="L273" s="15">
        <f>Table2[[#This Row],[After tax salary]]+Table2[[#This Row],[Bonus]]</f>
        <v>19965.86</v>
      </c>
    </row>
    <row r="274" spans="1:12" x14ac:dyDescent="0.25">
      <c r="A274" s="5" t="s">
        <v>87</v>
      </c>
      <c r="B274" s="5" t="s">
        <v>1</v>
      </c>
      <c r="C274" s="5" t="s">
        <v>2</v>
      </c>
      <c r="D274" s="5" t="s">
        <v>3</v>
      </c>
      <c r="E274" s="6">
        <v>38784</v>
      </c>
      <c r="F274" s="5" t="s">
        <v>4</v>
      </c>
      <c r="G274" s="10">
        <v>78710</v>
      </c>
      <c r="H274" s="7">
        <v>4</v>
      </c>
      <c r="I274" s="12">
        <f>IF(OR(Table2[[#This Row],[Rating]]=4,Table2[[#This Row],[Rating]]=5), 0.05*Table2[[#This Row],[Salary]],0)</f>
        <v>3935.5</v>
      </c>
      <c r="J274" s="14">
        <f>VLOOKUP(Table2[[#This Row],[Salary]],'Tax rates'!A$2:C$8, 2) + VLOOKUP(Table2[[#This Row],[Salary]],'Tax rates'!A$2:C$8, 3) * (Table2[[#This Row],[Salary]] - VLOOKUP(Table2[[#This Row],[Salary]],'Tax rates'!A$2:C$8,1))</f>
        <v>13255.7</v>
      </c>
      <c r="K274" s="14">
        <f>Table2[[#This Row],[Salary]]-Table2[[#This Row],[Taxes]]</f>
        <v>65454.3</v>
      </c>
      <c r="L274" s="15">
        <f>Table2[[#This Row],[After tax salary]]+Table2[[#This Row],[Bonus]]</f>
        <v>69389.8</v>
      </c>
    </row>
    <row r="275" spans="1:12" x14ac:dyDescent="0.25">
      <c r="A275" s="5" t="s">
        <v>647</v>
      </c>
      <c r="B275" s="5" t="s">
        <v>1</v>
      </c>
      <c r="C275" s="5" t="s">
        <v>8</v>
      </c>
      <c r="D275" s="5" t="s">
        <v>3</v>
      </c>
      <c r="E275" s="6">
        <v>38788</v>
      </c>
      <c r="F275" s="5" t="s">
        <v>11</v>
      </c>
      <c r="G275" s="10">
        <v>37750</v>
      </c>
      <c r="H275" s="7">
        <v>5</v>
      </c>
      <c r="I275" s="12">
        <f>IF(OR(Table2[[#This Row],[Rating]]=4,Table2[[#This Row],[Rating]]=5), 0.05*Table2[[#This Row],[Salary]],0)</f>
        <v>1887.5</v>
      </c>
      <c r="J275" s="14">
        <f>VLOOKUP(Table2[[#This Row],[Salary]],'Tax rates'!A$2:C$8, 2) + VLOOKUP(Table2[[#This Row],[Salary]],'Tax rates'!A$2:C$8, 3) * (Table2[[#This Row],[Salary]] - VLOOKUP(Table2[[#This Row],[Salary]],'Tax rates'!A$2:C$8,1))</f>
        <v>4339.5</v>
      </c>
      <c r="K275" s="14">
        <f>Table2[[#This Row],[Salary]]-Table2[[#This Row],[Taxes]]</f>
        <v>33410.5</v>
      </c>
      <c r="L275" s="15">
        <f>Table2[[#This Row],[After tax salary]]+Table2[[#This Row],[Bonus]]</f>
        <v>35298</v>
      </c>
    </row>
    <row r="276" spans="1:12" x14ac:dyDescent="0.25">
      <c r="A276" s="5" t="s">
        <v>274</v>
      </c>
      <c r="B276" s="5" t="s">
        <v>29</v>
      </c>
      <c r="C276" s="5" t="s">
        <v>30</v>
      </c>
      <c r="D276" s="5" t="s">
        <v>3</v>
      </c>
      <c r="E276" s="6">
        <v>38790</v>
      </c>
      <c r="F276" s="5" t="s">
        <v>25</v>
      </c>
      <c r="G276" s="10">
        <v>62688</v>
      </c>
      <c r="H276" s="7">
        <v>3</v>
      </c>
      <c r="I276" s="12">
        <f>IF(OR(Table2[[#This Row],[Rating]]=4,Table2[[#This Row],[Rating]]=5), 0.05*Table2[[#This Row],[Salary]],0)</f>
        <v>0</v>
      </c>
      <c r="J276" s="14">
        <f>VLOOKUP(Table2[[#This Row],[Salary]],'Tax rates'!A$2:C$8, 2) + VLOOKUP(Table2[[#This Row],[Salary]],'Tax rates'!A$2:C$8, 3) * (Table2[[#This Row],[Salary]] - VLOOKUP(Table2[[#This Row],[Salary]],'Tax rates'!A$2:C$8,1))</f>
        <v>9730.86</v>
      </c>
      <c r="K276" s="14">
        <f>Table2[[#This Row],[Salary]]-Table2[[#This Row],[Taxes]]</f>
        <v>52957.14</v>
      </c>
      <c r="L276" s="15">
        <f>Table2[[#This Row],[After tax salary]]+Table2[[#This Row],[Bonus]]</f>
        <v>52957.14</v>
      </c>
    </row>
    <row r="277" spans="1:12" x14ac:dyDescent="0.25">
      <c r="A277" s="5" t="s">
        <v>580</v>
      </c>
      <c r="B277" s="5" t="s">
        <v>6</v>
      </c>
      <c r="C277" s="5" t="s">
        <v>75</v>
      </c>
      <c r="D277" s="5" t="s">
        <v>16</v>
      </c>
      <c r="E277" s="6">
        <v>38792</v>
      </c>
      <c r="F277" s="7"/>
      <c r="G277" s="10">
        <v>74740</v>
      </c>
      <c r="H277" s="7">
        <v>5</v>
      </c>
      <c r="I277" s="12">
        <f>IF(OR(Table2[[#This Row],[Rating]]=4,Table2[[#This Row],[Rating]]=5), 0.05*Table2[[#This Row],[Salary]],0)</f>
        <v>3737</v>
      </c>
      <c r="J277" s="14">
        <f>VLOOKUP(Table2[[#This Row],[Salary]],'Tax rates'!A$2:C$8, 2) + VLOOKUP(Table2[[#This Row],[Salary]],'Tax rates'!A$2:C$8, 3) * (Table2[[#This Row],[Salary]] - VLOOKUP(Table2[[#This Row],[Salary]],'Tax rates'!A$2:C$8,1))</f>
        <v>12382.3</v>
      </c>
      <c r="K277" s="14">
        <f>Table2[[#This Row],[Salary]]-Table2[[#This Row],[Taxes]]</f>
        <v>62357.7</v>
      </c>
      <c r="L277" s="15">
        <f>Table2[[#This Row],[After tax salary]]+Table2[[#This Row],[Bonus]]</f>
        <v>66094.7</v>
      </c>
    </row>
    <row r="278" spans="1:12" x14ac:dyDescent="0.25">
      <c r="A278" s="5" t="s">
        <v>158</v>
      </c>
      <c r="B278" s="5" t="s">
        <v>1</v>
      </c>
      <c r="C278" s="5" t="s">
        <v>2</v>
      </c>
      <c r="D278" s="5" t="s">
        <v>16</v>
      </c>
      <c r="E278" s="6">
        <v>38793</v>
      </c>
      <c r="F278" s="7"/>
      <c r="G278" s="10">
        <v>85930</v>
      </c>
      <c r="H278" s="7">
        <v>2</v>
      </c>
      <c r="I278" s="12">
        <f>IF(OR(Table2[[#This Row],[Rating]]=4,Table2[[#This Row],[Rating]]=5), 0.05*Table2[[#This Row],[Salary]],0)</f>
        <v>0</v>
      </c>
      <c r="J278" s="14">
        <f>VLOOKUP(Table2[[#This Row],[Salary]],'Tax rates'!A$2:C$8, 2) + VLOOKUP(Table2[[#This Row],[Salary]],'Tax rates'!A$2:C$8, 3) * (Table2[[#This Row],[Salary]] - VLOOKUP(Table2[[#This Row],[Salary]],'Tax rates'!A$2:C$8,1))</f>
        <v>14912.7</v>
      </c>
      <c r="K278" s="14">
        <f>Table2[[#This Row],[Salary]]-Table2[[#This Row],[Taxes]]</f>
        <v>71017.3</v>
      </c>
      <c r="L278" s="15">
        <f>Table2[[#This Row],[After tax salary]]+Table2[[#This Row],[Bonus]]</f>
        <v>71017.3</v>
      </c>
    </row>
    <row r="279" spans="1:12" x14ac:dyDescent="0.25">
      <c r="A279" s="5" t="s">
        <v>98</v>
      </c>
      <c r="B279" s="5" t="s">
        <v>13</v>
      </c>
      <c r="C279" s="5" t="s">
        <v>18</v>
      </c>
      <c r="D279" s="5" t="s">
        <v>3</v>
      </c>
      <c r="E279" s="6">
        <v>38798</v>
      </c>
      <c r="F279" s="5" t="s">
        <v>11</v>
      </c>
      <c r="G279" s="10">
        <v>73144</v>
      </c>
      <c r="H279" s="7">
        <v>5</v>
      </c>
      <c r="I279" s="12">
        <f>IF(OR(Table2[[#This Row],[Rating]]=4,Table2[[#This Row],[Rating]]=5), 0.05*Table2[[#This Row],[Salary]],0)</f>
        <v>3657.2000000000003</v>
      </c>
      <c r="J279" s="14">
        <f>VLOOKUP(Table2[[#This Row],[Salary]],'Tax rates'!A$2:C$8, 2) + VLOOKUP(Table2[[#This Row],[Salary]],'Tax rates'!A$2:C$8, 3) * (Table2[[#This Row],[Salary]] - VLOOKUP(Table2[[#This Row],[Salary]],'Tax rates'!A$2:C$8,1))</f>
        <v>12031.18</v>
      </c>
      <c r="K279" s="14">
        <f>Table2[[#This Row],[Salary]]-Table2[[#This Row],[Taxes]]</f>
        <v>61112.82</v>
      </c>
      <c r="L279" s="15">
        <f>Table2[[#This Row],[After tax salary]]+Table2[[#This Row],[Bonus]]</f>
        <v>64770.02</v>
      </c>
    </row>
    <row r="280" spans="1:12" x14ac:dyDescent="0.25">
      <c r="A280" s="5" t="s">
        <v>396</v>
      </c>
      <c r="B280" s="5" t="s">
        <v>29</v>
      </c>
      <c r="C280" s="5" t="s">
        <v>138</v>
      </c>
      <c r="D280" s="5" t="s">
        <v>3</v>
      </c>
      <c r="E280" s="6">
        <v>38801</v>
      </c>
      <c r="F280" s="5" t="s">
        <v>21</v>
      </c>
      <c r="G280" s="10">
        <v>26510</v>
      </c>
      <c r="H280" s="7">
        <v>1</v>
      </c>
      <c r="I280" s="12">
        <f>IF(OR(Table2[[#This Row],[Rating]]=4,Table2[[#This Row],[Rating]]=5), 0.05*Table2[[#This Row],[Salary]],0)</f>
        <v>0</v>
      </c>
      <c r="J280" s="14">
        <f>VLOOKUP(Table2[[#This Row],[Salary]],'Tax rates'!A$2:C$8, 2) + VLOOKUP(Table2[[#This Row],[Salary]],'Tax rates'!A$2:C$8, 3) * (Table2[[#This Row],[Salary]] - VLOOKUP(Table2[[#This Row],[Salary]],'Tax rates'!A$2:C$8,1))</f>
        <v>2990.7</v>
      </c>
      <c r="K280" s="14">
        <f>Table2[[#This Row],[Salary]]-Table2[[#This Row],[Taxes]]</f>
        <v>23519.3</v>
      </c>
      <c r="L280" s="15">
        <f>Table2[[#This Row],[After tax salary]]+Table2[[#This Row],[Bonus]]</f>
        <v>23519.3</v>
      </c>
    </row>
    <row r="281" spans="1:12" x14ac:dyDescent="0.25">
      <c r="A281" s="5" t="s">
        <v>521</v>
      </c>
      <c r="B281" s="5" t="s">
        <v>13</v>
      </c>
      <c r="C281" s="5" t="s">
        <v>75</v>
      </c>
      <c r="D281" s="5" t="s">
        <v>24</v>
      </c>
      <c r="E281" s="6">
        <v>38804</v>
      </c>
      <c r="F281" s="5" t="s">
        <v>21</v>
      </c>
      <c r="G281" s="10">
        <v>48415</v>
      </c>
      <c r="H281" s="7">
        <v>4</v>
      </c>
      <c r="I281" s="12">
        <f>IF(OR(Table2[[#This Row],[Rating]]=4,Table2[[#This Row],[Rating]]=5), 0.05*Table2[[#This Row],[Salary]],0)</f>
        <v>2420.75</v>
      </c>
      <c r="J281" s="14">
        <f>VLOOKUP(Table2[[#This Row],[Salary]],'Tax rates'!A$2:C$8, 2) + VLOOKUP(Table2[[#This Row],[Salary]],'Tax rates'!A$2:C$8, 3) * (Table2[[#This Row],[Salary]] - VLOOKUP(Table2[[#This Row],[Salary]],'Tax rates'!A$2:C$8,1))</f>
        <v>6590.8</v>
      </c>
      <c r="K281" s="14">
        <f>Table2[[#This Row],[Salary]]-Table2[[#This Row],[Taxes]]</f>
        <v>41824.199999999997</v>
      </c>
      <c r="L281" s="15">
        <f>Table2[[#This Row],[After tax salary]]+Table2[[#This Row],[Bonus]]</f>
        <v>44244.95</v>
      </c>
    </row>
    <row r="282" spans="1:12" x14ac:dyDescent="0.25">
      <c r="A282" s="5" t="s">
        <v>678</v>
      </c>
      <c r="B282" s="5" t="s">
        <v>29</v>
      </c>
      <c r="C282" s="5" t="s">
        <v>59</v>
      </c>
      <c r="D282" s="5" t="s">
        <v>16</v>
      </c>
      <c r="E282" s="6">
        <v>38805</v>
      </c>
      <c r="F282" s="7"/>
      <c r="G282" s="10">
        <v>53870</v>
      </c>
      <c r="H282" s="7">
        <v>2</v>
      </c>
      <c r="I282" s="12">
        <f>IF(OR(Table2[[#This Row],[Rating]]=4,Table2[[#This Row],[Rating]]=5), 0.05*Table2[[#This Row],[Salary]],0)</f>
        <v>0</v>
      </c>
      <c r="J282" s="14">
        <f>VLOOKUP(Table2[[#This Row],[Salary]],'Tax rates'!A$2:C$8, 2) + VLOOKUP(Table2[[#This Row],[Salary]],'Tax rates'!A$2:C$8, 3) * (Table2[[#This Row],[Salary]] - VLOOKUP(Table2[[#This Row],[Salary]],'Tax rates'!A$2:C$8,1))</f>
        <v>7790.9</v>
      </c>
      <c r="K282" s="14">
        <f>Table2[[#This Row],[Salary]]-Table2[[#This Row],[Taxes]]</f>
        <v>46079.1</v>
      </c>
      <c r="L282" s="15">
        <f>Table2[[#This Row],[After tax salary]]+Table2[[#This Row],[Bonus]]</f>
        <v>46079.1</v>
      </c>
    </row>
    <row r="283" spans="1:12" x14ac:dyDescent="0.25">
      <c r="A283" s="5" t="s">
        <v>404</v>
      </c>
      <c r="B283" s="5" t="s">
        <v>13</v>
      </c>
      <c r="C283" s="5" t="s">
        <v>35</v>
      </c>
      <c r="D283" s="5" t="s">
        <v>24</v>
      </c>
      <c r="E283" s="6">
        <v>38805</v>
      </c>
      <c r="F283" s="5" t="s">
        <v>25</v>
      </c>
      <c r="G283" s="10">
        <v>13690</v>
      </c>
      <c r="H283" s="7">
        <v>5</v>
      </c>
      <c r="I283" s="12">
        <f>IF(OR(Table2[[#This Row],[Rating]]=4,Table2[[#This Row],[Rating]]=5), 0.05*Table2[[#This Row],[Salary]],0)</f>
        <v>684.5</v>
      </c>
      <c r="J283" s="14">
        <f>VLOOKUP(Table2[[#This Row],[Salary]],'Tax rates'!A$2:C$8, 2) + VLOOKUP(Table2[[#This Row],[Salary]],'Tax rates'!A$2:C$8, 3) * (Table2[[#This Row],[Salary]] - VLOOKUP(Table2[[#This Row],[Salary]],'Tax rates'!A$2:C$8,1))</f>
        <v>1452.3</v>
      </c>
      <c r="K283" s="14">
        <f>Table2[[#This Row],[Salary]]-Table2[[#This Row],[Taxes]]</f>
        <v>12237.7</v>
      </c>
      <c r="L283" s="15">
        <f>Table2[[#This Row],[After tax salary]]+Table2[[#This Row],[Bonus]]</f>
        <v>12922.2</v>
      </c>
    </row>
    <row r="284" spans="1:12" x14ac:dyDescent="0.25">
      <c r="A284" s="5" t="s">
        <v>17</v>
      </c>
      <c r="B284" s="5" t="s">
        <v>6</v>
      </c>
      <c r="C284" s="5" t="s">
        <v>18</v>
      </c>
      <c r="D284" s="5" t="s">
        <v>3</v>
      </c>
      <c r="E284" s="6">
        <v>38807</v>
      </c>
      <c r="F284" s="5" t="s">
        <v>4</v>
      </c>
      <c r="G284" s="10">
        <v>79730</v>
      </c>
      <c r="H284" s="7">
        <v>2</v>
      </c>
      <c r="I284" s="12">
        <f>IF(OR(Table2[[#This Row],[Rating]]=4,Table2[[#This Row],[Rating]]=5), 0.05*Table2[[#This Row],[Salary]],0)</f>
        <v>0</v>
      </c>
      <c r="J284" s="14">
        <f>VLOOKUP(Table2[[#This Row],[Salary]],'Tax rates'!A$2:C$8, 2) + VLOOKUP(Table2[[#This Row],[Salary]],'Tax rates'!A$2:C$8, 3) * (Table2[[#This Row],[Salary]] - VLOOKUP(Table2[[#This Row],[Salary]],'Tax rates'!A$2:C$8,1))</f>
        <v>13480.1</v>
      </c>
      <c r="K284" s="14">
        <f>Table2[[#This Row],[Salary]]-Table2[[#This Row],[Taxes]]</f>
        <v>66249.899999999994</v>
      </c>
      <c r="L284" s="15">
        <f>Table2[[#This Row],[After tax salary]]+Table2[[#This Row],[Bonus]]</f>
        <v>66249.899999999994</v>
      </c>
    </row>
    <row r="285" spans="1:12" x14ac:dyDescent="0.25">
      <c r="A285" s="5" t="s">
        <v>250</v>
      </c>
      <c r="B285" s="5" t="s">
        <v>1</v>
      </c>
      <c r="C285" s="5" t="s">
        <v>23</v>
      </c>
      <c r="D285" s="5" t="s">
        <v>3</v>
      </c>
      <c r="E285" s="6">
        <v>38807</v>
      </c>
      <c r="F285" s="5" t="s">
        <v>4</v>
      </c>
      <c r="G285" s="10">
        <v>47060</v>
      </c>
      <c r="H285" s="7">
        <v>4</v>
      </c>
      <c r="I285" s="12">
        <f>IF(OR(Table2[[#This Row],[Rating]]=4,Table2[[#This Row],[Rating]]=5), 0.05*Table2[[#This Row],[Salary]],0)</f>
        <v>2353</v>
      </c>
      <c r="J285" s="14">
        <f>VLOOKUP(Table2[[#This Row],[Salary]],'Tax rates'!A$2:C$8, 2) + VLOOKUP(Table2[[#This Row],[Salary]],'Tax rates'!A$2:C$8, 3) * (Table2[[#This Row],[Salary]] - VLOOKUP(Table2[[#This Row],[Salary]],'Tax rates'!A$2:C$8,1))</f>
        <v>6292.7</v>
      </c>
      <c r="K285" s="14">
        <f>Table2[[#This Row],[Salary]]-Table2[[#This Row],[Taxes]]</f>
        <v>40767.300000000003</v>
      </c>
      <c r="L285" s="15">
        <f>Table2[[#This Row],[After tax salary]]+Table2[[#This Row],[Bonus]]</f>
        <v>43120.3</v>
      </c>
    </row>
    <row r="286" spans="1:12" x14ac:dyDescent="0.25">
      <c r="A286" s="5" t="s">
        <v>319</v>
      </c>
      <c r="B286" s="5" t="s">
        <v>13</v>
      </c>
      <c r="C286" s="5" t="s">
        <v>18</v>
      </c>
      <c r="D286" s="5" t="s">
        <v>3</v>
      </c>
      <c r="E286" s="6">
        <v>38809</v>
      </c>
      <c r="F286" s="5" t="s">
        <v>25</v>
      </c>
      <c r="G286" s="10">
        <v>76584</v>
      </c>
      <c r="H286" s="7">
        <v>1</v>
      </c>
      <c r="I286" s="12">
        <f>IF(OR(Table2[[#This Row],[Rating]]=4,Table2[[#This Row],[Rating]]=5), 0.05*Table2[[#This Row],[Salary]],0)</f>
        <v>0</v>
      </c>
      <c r="J286" s="14">
        <f>VLOOKUP(Table2[[#This Row],[Salary]],'Tax rates'!A$2:C$8, 2) + VLOOKUP(Table2[[#This Row],[Salary]],'Tax rates'!A$2:C$8, 3) * (Table2[[#This Row],[Salary]] - VLOOKUP(Table2[[#This Row],[Salary]],'Tax rates'!A$2:C$8,1))</f>
        <v>12787.98</v>
      </c>
      <c r="K286" s="14">
        <f>Table2[[#This Row],[Salary]]-Table2[[#This Row],[Taxes]]</f>
        <v>63796.020000000004</v>
      </c>
      <c r="L286" s="15">
        <f>Table2[[#This Row],[After tax salary]]+Table2[[#This Row],[Bonus]]</f>
        <v>63796.020000000004</v>
      </c>
    </row>
    <row r="287" spans="1:12" x14ac:dyDescent="0.25">
      <c r="A287" s="5" t="s">
        <v>234</v>
      </c>
      <c r="B287" s="5" t="s">
        <v>1</v>
      </c>
      <c r="C287" s="5" t="s">
        <v>18</v>
      </c>
      <c r="D287" s="5" t="s">
        <v>3</v>
      </c>
      <c r="E287" s="6">
        <v>38813</v>
      </c>
      <c r="F287" s="5" t="s">
        <v>11</v>
      </c>
      <c r="G287" s="10">
        <v>32390</v>
      </c>
      <c r="H287" s="7">
        <v>2</v>
      </c>
      <c r="I287" s="12">
        <f>IF(OR(Table2[[#This Row],[Rating]]=4,Table2[[#This Row],[Rating]]=5), 0.05*Table2[[#This Row],[Salary]],0)</f>
        <v>0</v>
      </c>
      <c r="J287" s="14">
        <f>VLOOKUP(Table2[[#This Row],[Salary]],'Tax rates'!A$2:C$8, 2) + VLOOKUP(Table2[[#This Row],[Salary]],'Tax rates'!A$2:C$8, 3) * (Table2[[#This Row],[Salary]] - VLOOKUP(Table2[[#This Row],[Salary]],'Tax rates'!A$2:C$8,1))</f>
        <v>3696.2999999999997</v>
      </c>
      <c r="K287" s="14">
        <f>Table2[[#This Row],[Salary]]-Table2[[#This Row],[Taxes]]</f>
        <v>28693.7</v>
      </c>
      <c r="L287" s="15">
        <f>Table2[[#This Row],[After tax salary]]+Table2[[#This Row],[Bonus]]</f>
        <v>28693.7</v>
      </c>
    </row>
    <row r="288" spans="1:12" x14ac:dyDescent="0.25">
      <c r="A288" s="5" t="s">
        <v>256</v>
      </c>
      <c r="B288" s="5" t="s">
        <v>1</v>
      </c>
      <c r="C288" s="5" t="s">
        <v>30</v>
      </c>
      <c r="D288" s="5" t="s">
        <v>3</v>
      </c>
      <c r="E288" s="6">
        <v>38815</v>
      </c>
      <c r="F288" s="5" t="s">
        <v>4</v>
      </c>
      <c r="G288" s="10">
        <v>63270</v>
      </c>
      <c r="H288" s="7">
        <v>1</v>
      </c>
      <c r="I288" s="12">
        <f>IF(OR(Table2[[#This Row],[Rating]]=4,Table2[[#This Row],[Rating]]=5), 0.05*Table2[[#This Row],[Salary]],0)</f>
        <v>0</v>
      </c>
      <c r="J288" s="14">
        <f>VLOOKUP(Table2[[#This Row],[Salary]],'Tax rates'!A$2:C$8, 2) + VLOOKUP(Table2[[#This Row],[Salary]],'Tax rates'!A$2:C$8, 3) * (Table2[[#This Row],[Salary]] - VLOOKUP(Table2[[#This Row],[Salary]],'Tax rates'!A$2:C$8,1))</f>
        <v>9858.9</v>
      </c>
      <c r="K288" s="14">
        <f>Table2[[#This Row],[Salary]]-Table2[[#This Row],[Taxes]]</f>
        <v>53411.1</v>
      </c>
      <c r="L288" s="15">
        <f>Table2[[#This Row],[After tax salary]]+Table2[[#This Row],[Bonus]]</f>
        <v>53411.1</v>
      </c>
    </row>
    <row r="289" spans="1:12" x14ac:dyDescent="0.25">
      <c r="A289" s="5" t="s">
        <v>358</v>
      </c>
      <c r="B289" s="5" t="s">
        <v>51</v>
      </c>
      <c r="C289" s="5" t="s">
        <v>18</v>
      </c>
      <c r="D289" s="5" t="s">
        <v>3</v>
      </c>
      <c r="E289" s="6">
        <v>38816</v>
      </c>
      <c r="F289" s="5" t="s">
        <v>21</v>
      </c>
      <c r="G289" s="10">
        <v>44920</v>
      </c>
      <c r="H289" s="7">
        <v>1</v>
      </c>
      <c r="I289" s="12">
        <f>IF(OR(Table2[[#This Row],[Rating]]=4,Table2[[#This Row],[Rating]]=5), 0.05*Table2[[#This Row],[Salary]],0)</f>
        <v>0</v>
      </c>
      <c r="J289" s="14">
        <f>VLOOKUP(Table2[[#This Row],[Salary]],'Tax rates'!A$2:C$8, 2) + VLOOKUP(Table2[[#This Row],[Salary]],'Tax rates'!A$2:C$8, 3) * (Table2[[#This Row],[Salary]] - VLOOKUP(Table2[[#This Row],[Salary]],'Tax rates'!A$2:C$8,1))</f>
        <v>5821.9</v>
      </c>
      <c r="K289" s="14">
        <f>Table2[[#This Row],[Salary]]-Table2[[#This Row],[Taxes]]</f>
        <v>39098.1</v>
      </c>
      <c r="L289" s="15">
        <f>Table2[[#This Row],[After tax salary]]+Table2[[#This Row],[Bonus]]</f>
        <v>39098.1</v>
      </c>
    </row>
    <row r="290" spans="1:12" x14ac:dyDescent="0.25">
      <c r="A290" s="5" t="s">
        <v>467</v>
      </c>
      <c r="B290" s="5" t="s">
        <v>1</v>
      </c>
      <c r="C290" s="5" t="s">
        <v>18</v>
      </c>
      <c r="D290" s="5" t="s">
        <v>3</v>
      </c>
      <c r="E290" s="6">
        <v>38821</v>
      </c>
      <c r="F290" s="5" t="s">
        <v>11</v>
      </c>
      <c r="G290" s="10">
        <v>65720</v>
      </c>
      <c r="H290" s="7">
        <v>1</v>
      </c>
      <c r="I290" s="12">
        <f>IF(OR(Table2[[#This Row],[Rating]]=4,Table2[[#This Row],[Rating]]=5), 0.05*Table2[[#This Row],[Salary]],0)</f>
        <v>0</v>
      </c>
      <c r="J290" s="14">
        <f>VLOOKUP(Table2[[#This Row],[Salary]],'Tax rates'!A$2:C$8, 2) + VLOOKUP(Table2[[#This Row],[Salary]],'Tax rates'!A$2:C$8, 3) * (Table2[[#This Row],[Salary]] - VLOOKUP(Table2[[#This Row],[Salary]],'Tax rates'!A$2:C$8,1))</f>
        <v>10397.9</v>
      </c>
      <c r="K290" s="14">
        <f>Table2[[#This Row],[Salary]]-Table2[[#This Row],[Taxes]]</f>
        <v>55322.1</v>
      </c>
      <c r="L290" s="15">
        <f>Table2[[#This Row],[After tax salary]]+Table2[[#This Row],[Bonus]]</f>
        <v>55322.1</v>
      </c>
    </row>
    <row r="291" spans="1:12" x14ac:dyDescent="0.25">
      <c r="A291" s="5" t="s">
        <v>257</v>
      </c>
      <c r="B291" s="5" t="s">
        <v>13</v>
      </c>
      <c r="C291" s="5" t="s">
        <v>30</v>
      </c>
      <c r="D291" s="5" t="s">
        <v>16</v>
      </c>
      <c r="E291" s="6">
        <v>38828</v>
      </c>
      <c r="F291" s="7"/>
      <c r="G291" s="10">
        <v>49530</v>
      </c>
      <c r="H291" s="7">
        <v>4</v>
      </c>
      <c r="I291" s="12">
        <f>IF(OR(Table2[[#This Row],[Rating]]=4,Table2[[#This Row],[Rating]]=5), 0.05*Table2[[#This Row],[Salary]],0)</f>
        <v>2476.5</v>
      </c>
      <c r="J291" s="14">
        <f>VLOOKUP(Table2[[#This Row],[Salary]],'Tax rates'!A$2:C$8, 2) + VLOOKUP(Table2[[#This Row],[Salary]],'Tax rates'!A$2:C$8, 3) * (Table2[[#This Row],[Salary]] - VLOOKUP(Table2[[#This Row],[Salary]],'Tax rates'!A$2:C$8,1))</f>
        <v>6836.1</v>
      </c>
      <c r="K291" s="14">
        <f>Table2[[#This Row],[Salary]]-Table2[[#This Row],[Taxes]]</f>
        <v>42693.9</v>
      </c>
      <c r="L291" s="15">
        <f>Table2[[#This Row],[After tax salary]]+Table2[[#This Row],[Bonus]]</f>
        <v>45170.400000000001</v>
      </c>
    </row>
    <row r="292" spans="1:12" x14ac:dyDescent="0.25">
      <c r="A292" s="5" t="s">
        <v>343</v>
      </c>
      <c r="B292" s="5" t="s">
        <v>1</v>
      </c>
      <c r="C292" s="5" t="s">
        <v>18</v>
      </c>
      <c r="D292" s="5" t="s">
        <v>3</v>
      </c>
      <c r="E292" s="6">
        <v>38832</v>
      </c>
      <c r="F292" s="5" t="s">
        <v>9</v>
      </c>
      <c r="G292" s="10">
        <v>29420</v>
      </c>
      <c r="H292" s="7">
        <v>5</v>
      </c>
      <c r="I292" s="12">
        <f>IF(OR(Table2[[#This Row],[Rating]]=4,Table2[[#This Row],[Rating]]=5), 0.05*Table2[[#This Row],[Salary]],0)</f>
        <v>1471</v>
      </c>
      <c r="J292" s="14">
        <f>VLOOKUP(Table2[[#This Row],[Salary]],'Tax rates'!A$2:C$8, 2) + VLOOKUP(Table2[[#This Row],[Salary]],'Tax rates'!A$2:C$8, 3) * (Table2[[#This Row],[Salary]] - VLOOKUP(Table2[[#This Row],[Salary]],'Tax rates'!A$2:C$8,1))</f>
        <v>3339.9</v>
      </c>
      <c r="K292" s="14">
        <f>Table2[[#This Row],[Salary]]-Table2[[#This Row],[Taxes]]</f>
        <v>26080.1</v>
      </c>
      <c r="L292" s="15">
        <f>Table2[[#This Row],[After tax salary]]+Table2[[#This Row],[Bonus]]</f>
        <v>27551.1</v>
      </c>
    </row>
    <row r="293" spans="1:12" x14ac:dyDescent="0.25">
      <c r="A293" s="5" t="s">
        <v>589</v>
      </c>
      <c r="B293" s="5" t="s">
        <v>1</v>
      </c>
      <c r="C293" s="5" t="s">
        <v>59</v>
      </c>
      <c r="D293" s="5" t="s">
        <v>3</v>
      </c>
      <c r="E293" s="6">
        <v>38834</v>
      </c>
      <c r="F293" s="5" t="s">
        <v>4</v>
      </c>
      <c r="G293" s="10">
        <v>81640</v>
      </c>
      <c r="H293" s="7">
        <v>4</v>
      </c>
      <c r="I293" s="12">
        <f>IF(OR(Table2[[#This Row],[Rating]]=4,Table2[[#This Row],[Rating]]=5), 0.05*Table2[[#This Row],[Salary]],0)</f>
        <v>4082</v>
      </c>
      <c r="J293" s="14">
        <f>VLOOKUP(Table2[[#This Row],[Salary]],'Tax rates'!A$2:C$8, 2) + VLOOKUP(Table2[[#This Row],[Salary]],'Tax rates'!A$2:C$8, 3) * (Table2[[#This Row],[Salary]] - VLOOKUP(Table2[[#This Row],[Salary]],'Tax rates'!A$2:C$8,1))</f>
        <v>13900.3</v>
      </c>
      <c r="K293" s="14">
        <f>Table2[[#This Row],[Salary]]-Table2[[#This Row],[Taxes]]</f>
        <v>67739.7</v>
      </c>
      <c r="L293" s="15">
        <f>Table2[[#This Row],[After tax salary]]+Table2[[#This Row],[Bonus]]</f>
        <v>71821.7</v>
      </c>
    </row>
    <row r="294" spans="1:12" x14ac:dyDescent="0.25">
      <c r="A294" s="5" t="s">
        <v>241</v>
      </c>
      <c r="B294" s="5" t="s">
        <v>13</v>
      </c>
      <c r="C294" s="5" t="s">
        <v>73</v>
      </c>
      <c r="D294" s="5" t="s">
        <v>24</v>
      </c>
      <c r="E294" s="6">
        <v>38851</v>
      </c>
      <c r="F294" s="5" t="s">
        <v>4</v>
      </c>
      <c r="G294" s="10">
        <v>11025</v>
      </c>
      <c r="H294" s="7">
        <v>1</v>
      </c>
      <c r="I294" s="12">
        <f>IF(OR(Table2[[#This Row],[Rating]]=4,Table2[[#This Row],[Rating]]=5), 0.05*Table2[[#This Row],[Salary]],0)</f>
        <v>0</v>
      </c>
      <c r="J294" s="14">
        <f>VLOOKUP(Table2[[#This Row],[Salary]],'Tax rates'!A$2:C$8, 2) + VLOOKUP(Table2[[#This Row],[Salary]],'Tax rates'!A$2:C$8, 3) * (Table2[[#This Row],[Salary]] - VLOOKUP(Table2[[#This Row],[Salary]],'Tax rates'!A$2:C$8,1))</f>
        <v>1132.5</v>
      </c>
      <c r="K294" s="14">
        <f>Table2[[#This Row],[Salary]]-Table2[[#This Row],[Taxes]]</f>
        <v>9892.5</v>
      </c>
      <c r="L294" s="15">
        <f>Table2[[#This Row],[After tax salary]]+Table2[[#This Row],[Bonus]]</f>
        <v>9892.5</v>
      </c>
    </row>
    <row r="295" spans="1:12" x14ac:dyDescent="0.25">
      <c r="A295" s="5" t="s">
        <v>723</v>
      </c>
      <c r="B295" s="5" t="s">
        <v>6</v>
      </c>
      <c r="C295" s="5" t="s">
        <v>57</v>
      </c>
      <c r="D295" s="5" t="s">
        <v>16</v>
      </c>
      <c r="E295" s="6">
        <v>38854</v>
      </c>
      <c r="F295" s="7"/>
      <c r="G295" s="10">
        <v>44820</v>
      </c>
      <c r="H295" s="7">
        <v>4</v>
      </c>
      <c r="I295" s="12">
        <f>IF(OR(Table2[[#This Row],[Rating]]=4,Table2[[#This Row],[Rating]]=5), 0.05*Table2[[#This Row],[Salary]],0)</f>
        <v>2241</v>
      </c>
      <c r="J295" s="14">
        <f>VLOOKUP(Table2[[#This Row],[Salary]],'Tax rates'!A$2:C$8, 2) + VLOOKUP(Table2[[#This Row],[Salary]],'Tax rates'!A$2:C$8, 3) * (Table2[[#This Row],[Salary]] - VLOOKUP(Table2[[#This Row],[Salary]],'Tax rates'!A$2:C$8,1))</f>
        <v>5799.9</v>
      </c>
      <c r="K295" s="14">
        <f>Table2[[#This Row],[Salary]]-Table2[[#This Row],[Taxes]]</f>
        <v>39020.1</v>
      </c>
      <c r="L295" s="15">
        <f>Table2[[#This Row],[After tax salary]]+Table2[[#This Row],[Bonus]]</f>
        <v>41261.1</v>
      </c>
    </row>
    <row r="296" spans="1:12" x14ac:dyDescent="0.25">
      <c r="A296" s="5" t="s">
        <v>394</v>
      </c>
      <c r="B296" s="5" t="s">
        <v>1</v>
      </c>
      <c r="C296" s="5" t="s">
        <v>75</v>
      </c>
      <c r="D296" s="5" t="s">
        <v>16</v>
      </c>
      <c r="E296" s="6">
        <v>38856</v>
      </c>
      <c r="F296" s="7"/>
      <c r="G296" s="10">
        <v>84200</v>
      </c>
      <c r="H296" s="7">
        <v>2</v>
      </c>
      <c r="I296" s="12">
        <f>IF(OR(Table2[[#This Row],[Rating]]=4,Table2[[#This Row],[Rating]]=5), 0.05*Table2[[#This Row],[Salary]],0)</f>
        <v>0</v>
      </c>
      <c r="J296" s="14">
        <f>VLOOKUP(Table2[[#This Row],[Salary]],'Tax rates'!A$2:C$8, 2) + VLOOKUP(Table2[[#This Row],[Salary]],'Tax rates'!A$2:C$8, 3) * (Table2[[#This Row],[Salary]] - VLOOKUP(Table2[[#This Row],[Salary]],'Tax rates'!A$2:C$8,1))</f>
        <v>14497.5</v>
      </c>
      <c r="K296" s="14">
        <f>Table2[[#This Row],[Salary]]-Table2[[#This Row],[Taxes]]</f>
        <v>69702.5</v>
      </c>
      <c r="L296" s="15">
        <f>Table2[[#This Row],[After tax salary]]+Table2[[#This Row],[Bonus]]</f>
        <v>69702.5</v>
      </c>
    </row>
    <row r="297" spans="1:12" x14ac:dyDescent="0.25">
      <c r="A297" s="5" t="s">
        <v>441</v>
      </c>
      <c r="B297" s="5" t="s">
        <v>1</v>
      </c>
      <c r="C297" s="5" t="s">
        <v>2</v>
      </c>
      <c r="D297" s="5" t="s">
        <v>3</v>
      </c>
      <c r="E297" s="6">
        <v>38856</v>
      </c>
      <c r="F297" s="5" t="s">
        <v>11</v>
      </c>
      <c r="G297" s="10">
        <v>37770</v>
      </c>
      <c r="H297" s="7">
        <v>5</v>
      </c>
      <c r="I297" s="12">
        <f>IF(OR(Table2[[#This Row],[Rating]]=4,Table2[[#This Row],[Rating]]=5), 0.05*Table2[[#This Row],[Salary]],0)</f>
        <v>1888.5</v>
      </c>
      <c r="J297" s="14">
        <f>VLOOKUP(Table2[[#This Row],[Salary]],'Tax rates'!A$2:C$8, 2) + VLOOKUP(Table2[[#This Row],[Salary]],'Tax rates'!A$2:C$8, 3) * (Table2[[#This Row],[Salary]] - VLOOKUP(Table2[[#This Row],[Salary]],'Tax rates'!A$2:C$8,1))</f>
        <v>4341.8999999999996</v>
      </c>
      <c r="K297" s="14">
        <f>Table2[[#This Row],[Salary]]-Table2[[#This Row],[Taxes]]</f>
        <v>33428.1</v>
      </c>
      <c r="L297" s="15">
        <f>Table2[[#This Row],[After tax salary]]+Table2[[#This Row],[Bonus]]</f>
        <v>35316.6</v>
      </c>
    </row>
    <row r="298" spans="1:12" x14ac:dyDescent="0.25">
      <c r="A298" s="5" t="s">
        <v>632</v>
      </c>
      <c r="B298" s="5" t="s">
        <v>1</v>
      </c>
      <c r="C298" s="5" t="s">
        <v>35</v>
      </c>
      <c r="D298" s="5" t="s">
        <v>32</v>
      </c>
      <c r="E298" s="6">
        <v>38863</v>
      </c>
      <c r="F298" s="7"/>
      <c r="G298" s="10">
        <v>28768</v>
      </c>
      <c r="H298" s="7">
        <v>3</v>
      </c>
      <c r="I298" s="12">
        <f>IF(OR(Table2[[#This Row],[Rating]]=4,Table2[[#This Row],[Rating]]=5), 0.05*Table2[[#This Row],[Salary]],0)</f>
        <v>0</v>
      </c>
      <c r="J298" s="14">
        <f>VLOOKUP(Table2[[#This Row],[Salary]],'Tax rates'!A$2:C$8, 2) + VLOOKUP(Table2[[#This Row],[Salary]],'Tax rates'!A$2:C$8, 3) * (Table2[[#This Row],[Salary]] - VLOOKUP(Table2[[#This Row],[Salary]],'Tax rates'!A$2:C$8,1))</f>
        <v>3261.66</v>
      </c>
      <c r="K298" s="14">
        <f>Table2[[#This Row],[Salary]]-Table2[[#This Row],[Taxes]]</f>
        <v>25506.34</v>
      </c>
      <c r="L298" s="15">
        <f>Table2[[#This Row],[After tax salary]]+Table2[[#This Row],[Bonus]]</f>
        <v>25506.34</v>
      </c>
    </row>
    <row r="299" spans="1:12" x14ac:dyDescent="0.25">
      <c r="A299" s="5" t="s">
        <v>357</v>
      </c>
      <c r="B299" s="5" t="s">
        <v>51</v>
      </c>
      <c r="C299" s="5" t="s">
        <v>18</v>
      </c>
      <c r="D299" s="5" t="s">
        <v>16</v>
      </c>
      <c r="E299" s="6">
        <v>38874</v>
      </c>
      <c r="F299" s="7"/>
      <c r="G299" s="10">
        <v>59330</v>
      </c>
      <c r="H299" s="7">
        <v>4</v>
      </c>
      <c r="I299" s="12">
        <f>IF(OR(Table2[[#This Row],[Rating]]=4,Table2[[#This Row],[Rating]]=5), 0.05*Table2[[#This Row],[Salary]],0)</f>
        <v>2966.5</v>
      </c>
      <c r="J299" s="14">
        <f>VLOOKUP(Table2[[#This Row],[Salary]],'Tax rates'!A$2:C$8, 2) + VLOOKUP(Table2[[#This Row],[Salary]],'Tax rates'!A$2:C$8, 3) * (Table2[[#This Row],[Salary]] - VLOOKUP(Table2[[#This Row],[Salary]],'Tax rates'!A$2:C$8,1))</f>
        <v>8992.1</v>
      </c>
      <c r="K299" s="14">
        <f>Table2[[#This Row],[Salary]]-Table2[[#This Row],[Taxes]]</f>
        <v>50337.9</v>
      </c>
      <c r="L299" s="15">
        <f>Table2[[#This Row],[After tax salary]]+Table2[[#This Row],[Bonus]]</f>
        <v>53304.4</v>
      </c>
    </row>
    <row r="300" spans="1:12" x14ac:dyDescent="0.25">
      <c r="A300" s="5" t="s">
        <v>537</v>
      </c>
      <c r="B300" s="5" t="s">
        <v>6</v>
      </c>
      <c r="C300" s="5" t="s">
        <v>18</v>
      </c>
      <c r="D300" s="5" t="s">
        <v>3</v>
      </c>
      <c r="E300" s="6">
        <v>38876</v>
      </c>
      <c r="F300" s="5" t="s">
        <v>4</v>
      </c>
      <c r="G300" s="10">
        <v>60280</v>
      </c>
      <c r="H300" s="7">
        <v>1</v>
      </c>
      <c r="I300" s="12">
        <f>IF(OR(Table2[[#This Row],[Rating]]=4,Table2[[#This Row],[Rating]]=5), 0.05*Table2[[#This Row],[Salary]],0)</f>
        <v>0</v>
      </c>
      <c r="J300" s="14">
        <f>VLOOKUP(Table2[[#This Row],[Salary]],'Tax rates'!A$2:C$8, 2) + VLOOKUP(Table2[[#This Row],[Salary]],'Tax rates'!A$2:C$8, 3) * (Table2[[#This Row],[Salary]] - VLOOKUP(Table2[[#This Row],[Salary]],'Tax rates'!A$2:C$8,1))</f>
        <v>9201.1</v>
      </c>
      <c r="K300" s="14">
        <f>Table2[[#This Row],[Salary]]-Table2[[#This Row],[Taxes]]</f>
        <v>51078.9</v>
      </c>
      <c r="L300" s="15">
        <f>Table2[[#This Row],[After tax salary]]+Table2[[#This Row],[Bonus]]</f>
        <v>51078.9</v>
      </c>
    </row>
    <row r="301" spans="1:12" x14ac:dyDescent="0.25">
      <c r="A301" s="5" t="s">
        <v>631</v>
      </c>
      <c r="B301" s="5" t="s">
        <v>27</v>
      </c>
      <c r="C301" s="5" t="s">
        <v>18</v>
      </c>
      <c r="D301" s="5" t="s">
        <v>3</v>
      </c>
      <c r="E301" s="6">
        <v>38878</v>
      </c>
      <c r="F301" s="5" t="s">
        <v>11</v>
      </c>
      <c r="G301" s="10">
        <v>61150</v>
      </c>
      <c r="H301" s="7">
        <v>2</v>
      </c>
      <c r="I301" s="12">
        <f>IF(OR(Table2[[#This Row],[Rating]]=4,Table2[[#This Row],[Rating]]=5), 0.05*Table2[[#This Row],[Salary]],0)</f>
        <v>0</v>
      </c>
      <c r="J301" s="14">
        <f>VLOOKUP(Table2[[#This Row],[Salary]],'Tax rates'!A$2:C$8, 2) + VLOOKUP(Table2[[#This Row],[Salary]],'Tax rates'!A$2:C$8, 3) * (Table2[[#This Row],[Salary]] - VLOOKUP(Table2[[#This Row],[Salary]],'Tax rates'!A$2:C$8,1))</f>
        <v>9392.5</v>
      </c>
      <c r="K301" s="14">
        <f>Table2[[#This Row],[Salary]]-Table2[[#This Row],[Taxes]]</f>
        <v>51757.5</v>
      </c>
      <c r="L301" s="15">
        <f>Table2[[#This Row],[After tax salary]]+Table2[[#This Row],[Bonus]]</f>
        <v>51757.5</v>
      </c>
    </row>
    <row r="302" spans="1:12" x14ac:dyDescent="0.25">
      <c r="A302" s="5" t="s">
        <v>518</v>
      </c>
      <c r="B302" s="5" t="s">
        <v>6</v>
      </c>
      <c r="C302" s="5" t="s">
        <v>8</v>
      </c>
      <c r="D302" s="5" t="s">
        <v>3</v>
      </c>
      <c r="E302" s="6">
        <v>38892</v>
      </c>
      <c r="F302" s="5" t="s">
        <v>11</v>
      </c>
      <c r="G302" s="10">
        <v>56870</v>
      </c>
      <c r="H302" s="7">
        <v>1</v>
      </c>
      <c r="I302" s="12">
        <f>IF(OR(Table2[[#This Row],[Rating]]=4,Table2[[#This Row],[Rating]]=5), 0.05*Table2[[#This Row],[Salary]],0)</f>
        <v>0</v>
      </c>
      <c r="J302" s="14">
        <f>VLOOKUP(Table2[[#This Row],[Salary]],'Tax rates'!A$2:C$8, 2) + VLOOKUP(Table2[[#This Row],[Salary]],'Tax rates'!A$2:C$8, 3) * (Table2[[#This Row],[Salary]] - VLOOKUP(Table2[[#This Row],[Salary]],'Tax rates'!A$2:C$8,1))</f>
        <v>8450.9</v>
      </c>
      <c r="K302" s="14">
        <f>Table2[[#This Row],[Salary]]-Table2[[#This Row],[Taxes]]</f>
        <v>48419.1</v>
      </c>
      <c r="L302" s="15">
        <f>Table2[[#This Row],[After tax salary]]+Table2[[#This Row],[Bonus]]</f>
        <v>48419.1</v>
      </c>
    </row>
    <row r="303" spans="1:12" x14ac:dyDescent="0.25">
      <c r="A303" s="5" t="s">
        <v>715</v>
      </c>
      <c r="B303" s="5" t="s">
        <v>1</v>
      </c>
      <c r="C303" s="5" t="s">
        <v>2</v>
      </c>
      <c r="D303" s="5" t="s">
        <v>3</v>
      </c>
      <c r="E303" s="6">
        <v>38902</v>
      </c>
      <c r="F303" s="5" t="s">
        <v>4</v>
      </c>
      <c r="G303" s="10">
        <v>73560</v>
      </c>
      <c r="H303" s="7">
        <v>3</v>
      </c>
      <c r="I303" s="12">
        <f>IF(OR(Table2[[#This Row],[Rating]]=4,Table2[[#This Row],[Rating]]=5), 0.05*Table2[[#This Row],[Salary]],0)</f>
        <v>0</v>
      </c>
      <c r="J303" s="14">
        <f>VLOOKUP(Table2[[#This Row],[Salary]],'Tax rates'!A$2:C$8, 2) + VLOOKUP(Table2[[#This Row],[Salary]],'Tax rates'!A$2:C$8, 3) * (Table2[[#This Row],[Salary]] - VLOOKUP(Table2[[#This Row],[Salary]],'Tax rates'!A$2:C$8,1))</f>
        <v>12122.7</v>
      </c>
      <c r="K303" s="14">
        <f>Table2[[#This Row],[Salary]]-Table2[[#This Row],[Taxes]]</f>
        <v>61437.3</v>
      </c>
      <c r="L303" s="15">
        <f>Table2[[#This Row],[After tax salary]]+Table2[[#This Row],[Bonus]]</f>
        <v>61437.3</v>
      </c>
    </row>
    <row r="304" spans="1:12" x14ac:dyDescent="0.25">
      <c r="A304" s="5" t="s">
        <v>316</v>
      </c>
      <c r="B304" s="5" t="s">
        <v>1</v>
      </c>
      <c r="C304" s="5" t="s">
        <v>30</v>
      </c>
      <c r="D304" s="5" t="s">
        <v>3</v>
      </c>
      <c r="E304" s="6">
        <v>38903</v>
      </c>
      <c r="F304" s="5" t="s">
        <v>11</v>
      </c>
      <c r="G304" s="10">
        <v>34060</v>
      </c>
      <c r="H304" s="7">
        <v>2</v>
      </c>
      <c r="I304" s="12">
        <f>IF(OR(Table2[[#This Row],[Rating]]=4,Table2[[#This Row],[Rating]]=5), 0.05*Table2[[#This Row],[Salary]],0)</f>
        <v>0</v>
      </c>
      <c r="J304" s="14">
        <f>VLOOKUP(Table2[[#This Row],[Salary]],'Tax rates'!A$2:C$8, 2) + VLOOKUP(Table2[[#This Row],[Salary]],'Tax rates'!A$2:C$8, 3) * (Table2[[#This Row],[Salary]] - VLOOKUP(Table2[[#This Row],[Salary]],'Tax rates'!A$2:C$8,1))</f>
        <v>3896.7</v>
      </c>
      <c r="K304" s="14">
        <f>Table2[[#This Row],[Salary]]-Table2[[#This Row],[Taxes]]</f>
        <v>30163.3</v>
      </c>
      <c r="L304" s="15">
        <f>Table2[[#This Row],[After tax salary]]+Table2[[#This Row],[Bonus]]</f>
        <v>30163.3</v>
      </c>
    </row>
    <row r="305" spans="1:12" x14ac:dyDescent="0.25">
      <c r="A305" s="5" t="s">
        <v>221</v>
      </c>
      <c r="B305" s="5" t="s">
        <v>27</v>
      </c>
      <c r="C305" s="5" t="s">
        <v>18</v>
      </c>
      <c r="D305" s="5" t="s">
        <v>16</v>
      </c>
      <c r="E305" s="6">
        <v>38912</v>
      </c>
      <c r="F305" s="7"/>
      <c r="G305" s="10">
        <v>80330</v>
      </c>
      <c r="H305" s="7">
        <v>4</v>
      </c>
      <c r="I305" s="12">
        <f>IF(OR(Table2[[#This Row],[Rating]]=4,Table2[[#This Row],[Rating]]=5), 0.05*Table2[[#This Row],[Salary]],0)</f>
        <v>4016.5</v>
      </c>
      <c r="J305" s="14">
        <f>VLOOKUP(Table2[[#This Row],[Salary]],'Tax rates'!A$2:C$8, 2) + VLOOKUP(Table2[[#This Row],[Salary]],'Tax rates'!A$2:C$8, 3) * (Table2[[#This Row],[Salary]] - VLOOKUP(Table2[[#This Row],[Salary]],'Tax rates'!A$2:C$8,1))</f>
        <v>13612.1</v>
      </c>
      <c r="K305" s="14">
        <f>Table2[[#This Row],[Salary]]-Table2[[#This Row],[Taxes]]</f>
        <v>66717.899999999994</v>
      </c>
      <c r="L305" s="15">
        <f>Table2[[#This Row],[After tax salary]]+Table2[[#This Row],[Bonus]]</f>
        <v>70734.399999999994</v>
      </c>
    </row>
    <row r="306" spans="1:12" x14ac:dyDescent="0.25">
      <c r="A306" s="5" t="s">
        <v>731</v>
      </c>
      <c r="B306" s="5" t="s">
        <v>1</v>
      </c>
      <c r="C306" s="5" t="s">
        <v>35</v>
      </c>
      <c r="D306" s="5" t="s">
        <v>3</v>
      </c>
      <c r="E306" s="6">
        <v>38914</v>
      </c>
      <c r="F306" s="5" t="s">
        <v>11</v>
      </c>
      <c r="G306" s="10">
        <v>41380</v>
      </c>
      <c r="H306" s="7">
        <v>2</v>
      </c>
      <c r="I306" s="12">
        <f>IF(OR(Table2[[#This Row],[Rating]]=4,Table2[[#This Row],[Rating]]=5), 0.05*Table2[[#This Row],[Salary]],0)</f>
        <v>0</v>
      </c>
      <c r="J306" s="14">
        <f>VLOOKUP(Table2[[#This Row],[Salary]],'Tax rates'!A$2:C$8, 2) + VLOOKUP(Table2[[#This Row],[Salary]],'Tax rates'!A$2:C$8, 3) * (Table2[[#This Row],[Salary]] - VLOOKUP(Table2[[#This Row],[Salary]],'Tax rates'!A$2:C$8,1))</f>
        <v>5043.1000000000004</v>
      </c>
      <c r="K306" s="14">
        <f>Table2[[#This Row],[Salary]]-Table2[[#This Row],[Taxes]]</f>
        <v>36336.9</v>
      </c>
      <c r="L306" s="15">
        <f>Table2[[#This Row],[After tax salary]]+Table2[[#This Row],[Bonus]]</f>
        <v>36336.9</v>
      </c>
    </row>
    <row r="307" spans="1:12" x14ac:dyDescent="0.25">
      <c r="A307" s="5" t="s">
        <v>337</v>
      </c>
      <c r="B307" s="5" t="s">
        <v>1</v>
      </c>
      <c r="C307" s="5" t="s">
        <v>23</v>
      </c>
      <c r="D307" s="5" t="s">
        <v>3</v>
      </c>
      <c r="E307" s="6">
        <v>38916</v>
      </c>
      <c r="F307" s="5" t="s">
        <v>25</v>
      </c>
      <c r="G307" s="10">
        <v>27560</v>
      </c>
      <c r="H307" s="7">
        <v>2</v>
      </c>
      <c r="I307" s="12">
        <f>IF(OR(Table2[[#This Row],[Rating]]=4,Table2[[#This Row],[Rating]]=5), 0.05*Table2[[#This Row],[Salary]],0)</f>
        <v>0</v>
      </c>
      <c r="J307" s="14">
        <f>VLOOKUP(Table2[[#This Row],[Salary]],'Tax rates'!A$2:C$8, 2) + VLOOKUP(Table2[[#This Row],[Salary]],'Tax rates'!A$2:C$8, 3) * (Table2[[#This Row],[Salary]] - VLOOKUP(Table2[[#This Row],[Salary]],'Tax rates'!A$2:C$8,1))</f>
        <v>3116.7</v>
      </c>
      <c r="K307" s="14">
        <f>Table2[[#This Row],[Salary]]-Table2[[#This Row],[Taxes]]</f>
        <v>24443.3</v>
      </c>
      <c r="L307" s="15">
        <f>Table2[[#This Row],[After tax salary]]+Table2[[#This Row],[Bonus]]</f>
        <v>24443.3</v>
      </c>
    </row>
    <row r="308" spans="1:12" x14ac:dyDescent="0.25">
      <c r="A308" s="5" t="s">
        <v>766</v>
      </c>
      <c r="B308" s="5" t="s">
        <v>13</v>
      </c>
      <c r="C308" s="5" t="s">
        <v>75</v>
      </c>
      <c r="D308" s="5" t="s">
        <v>3</v>
      </c>
      <c r="E308" s="6">
        <v>38954</v>
      </c>
      <c r="F308" s="5" t="s">
        <v>4</v>
      </c>
      <c r="G308" s="10">
        <v>40920</v>
      </c>
      <c r="H308" s="7">
        <v>4</v>
      </c>
      <c r="I308" s="12">
        <f>IF(OR(Table2[[#This Row],[Rating]]=4,Table2[[#This Row],[Rating]]=5), 0.05*Table2[[#This Row],[Salary]],0)</f>
        <v>2046</v>
      </c>
      <c r="J308" s="14">
        <f>VLOOKUP(Table2[[#This Row],[Salary]],'Tax rates'!A$2:C$8, 2) + VLOOKUP(Table2[[#This Row],[Salary]],'Tax rates'!A$2:C$8, 3) * (Table2[[#This Row],[Salary]] - VLOOKUP(Table2[[#This Row],[Salary]],'Tax rates'!A$2:C$8,1))</f>
        <v>4941.8999999999996</v>
      </c>
      <c r="K308" s="14">
        <f>Table2[[#This Row],[Salary]]-Table2[[#This Row],[Taxes]]</f>
        <v>35978.1</v>
      </c>
      <c r="L308" s="15">
        <f>Table2[[#This Row],[After tax salary]]+Table2[[#This Row],[Bonus]]</f>
        <v>38024.1</v>
      </c>
    </row>
    <row r="309" spans="1:12" x14ac:dyDescent="0.25">
      <c r="A309" s="5" t="s">
        <v>545</v>
      </c>
      <c r="B309" s="5" t="s">
        <v>1</v>
      </c>
      <c r="C309" s="5" t="s">
        <v>20</v>
      </c>
      <c r="D309" s="5" t="s">
        <v>32</v>
      </c>
      <c r="E309" s="6">
        <v>38960</v>
      </c>
      <c r="F309" s="7"/>
      <c r="G309" s="10">
        <v>12676</v>
      </c>
      <c r="H309" s="7">
        <v>2</v>
      </c>
      <c r="I309" s="12">
        <f>IF(OR(Table2[[#This Row],[Rating]]=4,Table2[[#This Row],[Rating]]=5), 0.05*Table2[[#This Row],[Salary]],0)</f>
        <v>0</v>
      </c>
      <c r="J309" s="14">
        <f>VLOOKUP(Table2[[#This Row],[Salary]],'Tax rates'!A$2:C$8, 2) + VLOOKUP(Table2[[#This Row],[Salary]],'Tax rates'!A$2:C$8, 3) * (Table2[[#This Row],[Salary]] - VLOOKUP(Table2[[#This Row],[Salary]],'Tax rates'!A$2:C$8,1))</f>
        <v>1330.62</v>
      </c>
      <c r="K309" s="14">
        <f>Table2[[#This Row],[Salary]]-Table2[[#This Row],[Taxes]]</f>
        <v>11345.380000000001</v>
      </c>
      <c r="L309" s="15">
        <f>Table2[[#This Row],[After tax salary]]+Table2[[#This Row],[Bonus]]</f>
        <v>11345.380000000001</v>
      </c>
    </row>
    <row r="310" spans="1:12" x14ac:dyDescent="0.25">
      <c r="A310" s="5" t="s">
        <v>519</v>
      </c>
      <c r="B310" s="5" t="s">
        <v>6</v>
      </c>
      <c r="C310" s="5" t="s">
        <v>73</v>
      </c>
      <c r="D310" s="5" t="s">
        <v>32</v>
      </c>
      <c r="E310" s="6">
        <v>38961</v>
      </c>
      <c r="F310" s="7"/>
      <c r="G310" s="10">
        <v>20028</v>
      </c>
      <c r="H310" s="7">
        <v>4</v>
      </c>
      <c r="I310" s="12">
        <f>IF(OR(Table2[[#This Row],[Rating]]=4,Table2[[#This Row],[Rating]]=5), 0.05*Table2[[#This Row],[Salary]],0)</f>
        <v>1001.4000000000001</v>
      </c>
      <c r="J310" s="14">
        <f>VLOOKUP(Table2[[#This Row],[Salary]],'Tax rates'!A$2:C$8, 2) + VLOOKUP(Table2[[#This Row],[Salary]],'Tax rates'!A$2:C$8, 3) * (Table2[[#This Row],[Salary]] - VLOOKUP(Table2[[#This Row],[Salary]],'Tax rates'!A$2:C$8,1))</f>
        <v>2212.8599999999997</v>
      </c>
      <c r="K310" s="14">
        <f>Table2[[#This Row],[Salary]]-Table2[[#This Row],[Taxes]]</f>
        <v>17815.14</v>
      </c>
      <c r="L310" s="15">
        <f>Table2[[#This Row],[After tax salary]]+Table2[[#This Row],[Bonus]]</f>
        <v>18816.54</v>
      </c>
    </row>
    <row r="311" spans="1:12" x14ac:dyDescent="0.25">
      <c r="A311" s="5" t="s">
        <v>659</v>
      </c>
      <c r="B311" s="5" t="s">
        <v>1</v>
      </c>
      <c r="C311" s="5" t="s">
        <v>59</v>
      </c>
      <c r="D311" s="5" t="s">
        <v>16</v>
      </c>
      <c r="E311" s="6">
        <v>38969</v>
      </c>
      <c r="F311" s="7"/>
      <c r="G311" s="10">
        <v>63850</v>
      </c>
      <c r="H311" s="7">
        <v>2</v>
      </c>
      <c r="I311" s="12">
        <f>IF(OR(Table2[[#This Row],[Rating]]=4,Table2[[#This Row],[Rating]]=5), 0.05*Table2[[#This Row],[Salary]],0)</f>
        <v>0</v>
      </c>
      <c r="J311" s="14">
        <f>VLOOKUP(Table2[[#This Row],[Salary]],'Tax rates'!A$2:C$8, 2) + VLOOKUP(Table2[[#This Row],[Salary]],'Tax rates'!A$2:C$8, 3) * (Table2[[#This Row],[Salary]] - VLOOKUP(Table2[[#This Row],[Salary]],'Tax rates'!A$2:C$8,1))</f>
        <v>9986.5</v>
      </c>
      <c r="K311" s="14">
        <f>Table2[[#This Row],[Salary]]-Table2[[#This Row],[Taxes]]</f>
        <v>53863.5</v>
      </c>
      <c r="L311" s="15">
        <f>Table2[[#This Row],[After tax salary]]+Table2[[#This Row],[Bonus]]</f>
        <v>53863.5</v>
      </c>
    </row>
    <row r="312" spans="1:12" x14ac:dyDescent="0.25">
      <c r="A312" s="5" t="s">
        <v>375</v>
      </c>
      <c r="B312" s="5" t="s">
        <v>13</v>
      </c>
      <c r="C312" s="5" t="s">
        <v>75</v>
      </c>
      <c r="D312" s="5" t="s">
        <v>16</v>
      </c>
      <c r="E312" s="6">
        <v>38970</v>
      </c>
      <c r="F312" s="7"/>
      <c r="G312" s="10">
        <v>83070</v>
      </c>
      <c r="H312" s="7">
        <v>3</v>
      </c>
      <c r="I312" s="12">
        <f>IF(OR(Table2[[#This Row],[Rating]]=4,Table2[[#This Row],[Rating]]=5), 0.05*Table2[[#This Row],[Salary]],0)</f>
        <v>0</v>
      </c>
      <c r="J312" s="14">
        <f>VLOOKUP(Table2[[#This Row],[Salary]],'Tax rates'!A$2:C$8, 2) + VLOOKUP(Table2[[#This Row],[Salary]],'Tax rates'!A$2:C$8, 3) * (Table2[[#This Row],[Salary]] - VLOOKUP(Table2[[#This Row],[Salary]],'Tax rates'!A$2:C$8,1))</f>
        <v>14226.3</v>
      </c>
      <c r="K312" s="14">
        <f>Table2[[#This Row],[Salary]]-Table2[[#This Row],[Taxes]]</f>
        <v>68843.7</v>
      </c>
      <c r="L312" s="15">
        <f>Table2[[#This Row],[After tax salary]]+Table2[[#This Row],[Bonus]]</f>
        <v>68843.7</v>
      </c>
    </row>
    <row r="313" spans="1:12" x14ac:dyDescent="0.25">
      <c r="A313" s="5" t="s">
        <v>233</v>
      </c>
      <c r="B313" s="5" t="s">
        <v>6</v>
      </c>
      <c r="C313" s="5" t="s">
        <v>2</v>
      </c>
      <c r="D313" s="5" t="s">
        <v>24</v>
      </c>
      <c r="E313" s="6">
        <v>38975</v>
      </c>
      <c r="F313" s="5" t="s">
        <v>11</v>
      </c>
      <c r="G313" s="10">
        <v>42740</v>
      </c>
      <c r="H313" s="7">
        <v>2</v>
      </c>
      <c r="I313" s="12">
        <f>IF(OR(Table2[[#This Row],[Rating]]=4,Table2[[#This Row],[Rating]]=5), 0.05*Table2[[#This Row],[Salary]],0)</f>
        <v>0</v>
      </c>
      <c r="J313" s="14">
        <f>VLOOKUP(Table2[[#This Row],[Salary]],'Tax rates'!A$2:C$8, 2) + VLOOKUP(Table2[[#This Row],[Salary]],'Tax rates'!A$2:C$8, 3) * (Table2[[#This Row],[Salary]] - VLOOKUP(Table2[[#This Row],[Salary]],'Tax rates'!A$2:C$8,1))</f>
        <v>5342.3</v>
      </c>
      <c r="K313" s="14">
        <f>Table2[[#This Row],[Salary]]-Table2[[#This Row],[Taxes]]</f>
        <v>37397.699999999997</v>
      </c>
      <c r="L313" s="15">
        <f>Table2[[#This Row],[After tax salary]]+Table2[[#This Row],[Bonus]]</f>
        <v>37397.699999999997</v>
      </c>
    </row>
    <row r="314" spans="1:12" x14ac:dyDescent="0.25">
      <c r="A314" s="5" t="s">
        <v>251</v>
      </c>
      <c r="B314" s="5" t="s">
        <v>1</v>
      </c>
      <c r="C314" s="5" t="s">
        <v>30</v>
      </c>
      <c r="D314" s="5" t="s">
        <v>3</v>
      </c>
      <c r="E314" s="6">
        <v>38980</v>
      </c>
      <c r="F314" s="5" t="s">
        <v>25</v>
      </c>
      <c r="G314" s="10">
        <v>24340</v>
      </c>
      <c r="H314" s="7">
        <v>4</v>
      </c>
      <c r="I314" s="12">
        <f>IF(OR(Table2[[#This Row],[Rating]]=4,Table2[[#This Row],[Rating]]=5), 0.05*Table2[[#This Row],[Salary]],0)</f>
        <v>1217</v>
      </c>
      <c r="J314" s="14">
        <f>VLOOKUP(Table2[[#This Row],[Salary]],'Tax rates'!A$2:C$8, 2) + VLOOKUP(Table2[[#This Row],[Salary]],'Tax rates'!A$2:C$8, 3) * (Table2[[#This Row],[Salary]] - VLOOKUP(Table2[[#This Row],[Salary]],'Tax rates'!A$2:C$8,1))</f>
        <v>2730.3</v>
      </c>
      <c r="K314" s="14">
        <f>Table2[[#This Row],[Salary]]-Table2[[#This Row],[Taxes]]</f>
        <v>21609.7</v>
      </c>
      <c r="L314" s="15">
        <f>Table2[[#This Row],[After tax salary]]+Table2[[#This Row],[Bonus]]</f>
        <v>22826.7</v>
      </c>
    </row>
    <row r="315" spans="1:12" x14ac:dyDescent="0.25">
      <c r="A315" s="5" t="s">
        <v>664</v>
      </c>
      <c r="B315" s="5" t="s">
        <v>6</v>
      </c>
      <c r="C315" s="5" t="s">
        <v>18</v>
      </c>
      <c r="D315" s="5" t="s">
        <v>3</v>
      </c>
      <c r="E315" s="6">
        <v>38982</v>
      </c>
      <c r="F315" s="5" t="s">
        <v>4</v>
      </c>
      <c r="G315" s="10">
        <v>60100</v>
      </c>
      <c r="H315" s="7">
        <v>1</v>
      </c>
      <c r="I315" s="12">
        <f>IF(OR(Table2[[#This Row],[Rating]]=4,Table2[[#This Row],[Rating]]=5), 0.05*Table2[[#This Row],[Salary]],0)</f>
        <v>0</v>
      </c>
      <c r="J315" s="14">
        <f>VLOOKUP(Table2[[#This Row],[Salary]],'Tax rates'!A$2:C$8, 2) + VLOOKUP(Table2[[#This Row],[Salary]],'Tax rates'!A$2:C$8, 3) * (Table2[[#This Row],[Salary]] - VLOOKUP(Table2[[#This Row],[Salary]],'Tax rates'!A$2:C$8,1))</f>
        <v>9161.5</v>
      </c>
      <c r="K315" s="14">
        <f>Table2[[#This Row],[Salary]]-Table2[[#This Row],[Taxes]]</f>
        <v>50938.5</v>
      </c>
      <c r="L315" s="15">
        <f>Table2[[#This Row],[After tax salary]]+Table2[[#This Row],[Bonus]]</f>
        <v>50938.5</v>
      </c>
    </row>
    <row r="316" spans="1:12" x14ac:dyDescent="0.25">
      <c r="A316" s="5" t="s">
        <v>146</v>
      </c>
      <c r="B316" s="5" t="s">
        <v>27</v>
      </c>
      <c r="C316" s="5" t="s">
        <v>30</v>
      </c>
      <c r="D316" s="5" t="s">
        <v>16</v>
      </c>
      <c r="E316" s="6">
        <v>38986</v>
      </c>
      <c r="F316" s="7"/>
      <c r="G316" s="10">
        <v>36230</v>
      </c>
      <c r="H316" s="7">
        <v>2</v>
      </c>
      <c r="I316" s="12">
        <f>IF(OR(Table2[[#This Row],[Rating]]=4,Table2[[#This Row],[Rating]]=5), 0.05*Table2[[#This Row],[Salary]],0)</f>
        <v>0</v>
      </c>
      <c r="J316" s="14">
        <f>VLOOKUP(Table2[[#This Row],[Salary]],'Tax rates'!A$2:C$8, 2) + VLOOKUP(Table2[[#This Row],[Salary]],'Tax rates'!A$2:C$8, 3) * (Table2[[#This Row],[Salary]] - VLOOKUP(Table2[[#This Row],[Salary]],'Tax rates'!A$2:C$8,1))</f>
        <v>4157.1000000000004</v>
      </c>
      <c r="K316" s="14">
        <f>Table2[[#This Row],[Salary]]-Table2[[#This Row],[Taxes]]</f>
        <v>32072.9</v>
      </c>
      <c r="L316" s="15">
        <f>Table2[[#This Row],[After tax salary]]+Table2[[#This Row],[Bonus]]</f>
        <v>32072.9</v>
      </c>
    </row>
    <row r="317" spans="1:12" x14ac:dyDescent="0.25">
      <c r="A317" s="5" t="s">
        <v>734</v>
      </c>
      <c r="B317" s="5" t="s">
        <v>1</v>
      </c>
      <c r="C317" s="5" t="s">
        <v>18</v>
      </c>
      <c r="D317" s="5" t="s">
        <v>3</v>
      </c>
      <c r="E317" s="6">
        <v>38990</v>
      </c>
      <c r="F317" s="5" t="s">
        <v>25</v>
      </c>
      <c r="G317" s="10">
        <v>66430</v>
      </c>
      <c r="H317" s="7">
        <v>2</v>
      </c>
      <c r="I317" s="12">
        <f>IF(OR(Table2[[#This Row],[Rating]]=4,Table2[[#This Row],[Rating]]=5), 0.05*Table2[[#This Row],[Salary]],0)</f>
        <v>0</v>
      </c>
      <c r="J317" s="14">
        <f>VLOOKUP(Table2[[#This Row],[Salary]],'Tax rates'!A$2:C$8, 2) + VLOOKUP(Table2[[#This Row],[Salary]],'Tax rates'!A$2:C$8, 3) * (Table2[[#This Row],[Salary]] - VLOOKUP(Table2[[#This Row],[Salary]],'Tax rates'!A$2:C$8,1))</f>
        <v>10554.1</v>
      </c>
      <c r="K317" s="14">
        <f>Table2[[#This Row],[Salary]]-Table2[[#This Row],[Taxes]]</f>
        <v>55875.9</v>
      </c>
      <c r="L317" s="15">
        <f>Table2[[#This Row],[After tax salary]]+Table2[[#This Row],[Bonus]]</f>
        <v>55875.9</v>
      </c>
    </row>
    <row r="318" spans="1:12" x14ac:dyDescent="0.25">
      <c r="A318" s="5" t="s">
        <v>578</v>
      </c>
      <c r="B318" s="5" t="s">
        <v>13</v>
      </c>
      <c r="C318" s="5" t="s">
        <v>18</v>
      </c>
      <c r="D318" s="5" t="s">
        <v>3</v>
      </c>
      <c r="E318" s="6">
        <v>39001</v>
      </c>
      <c r="F318" s="5" t="s">
        <v>25</v>
      </c>
      <c r="G318" s="10">
        <v>70020</v>
      </c>
      <c r="H318" s="7">
        <v>3</v>
      </c>
      <c r="I318" s="12">
        <f>IF(OR(Table2[[#This Row],[Rating]]=4,Table2[[#This Row],[Rating]]=5), 0.05*Table2[[#This Row],[Salary]],0)</f>
        <v>0</v>
      </c>
      <c r="J318" s="14">
        <f>VLOOKUP(Table2[[#This Row],[Salary]],'Tax rates'!A$2:C$8, 2) + VLOOKUP(Table2[[#This Row],[Salary]],'Tax rates'!A$2:C$8, 3) * (Table2[[#This Row],[Salary]] - VLOOKUP(Table2[[#This Row],[Salary]],'Tax rates'!A$2:C$8,1))</f>
        <v>11343.9</v>
      </c>
      <c r="K318" s="14">
        <f>Table2[[#This Row],[Salary]]-Table2[[#This Row],[Taxes]]</f>
        <v>58676.1</v>
      </c>
      <c r="L318" s="15">
        <f>Table2[[#This Row],[After tax salary]]+Table2[[#This Row],[Bonus]]</f>
        <v>58676.1</v>
      </c>
    </row>
    <row r="319" spans="1:12" x14ac:dyDescent="0.25">
      <c r="A319" s="5" t="s">
        <v>700</v>
      </c>
      <c r="B319" s="5" t="s">
        <v>51</v>
      </c>
      <c r="C319" s="5" t="s">
        <v>2</v>
      </c>
      <c r="D319" s="5" t="s">
        <v>3</v>
      </c>
      <c r="E319" s="6">
        <v>39002</v>
      </c>
      <c r="F319" s="5" t="s">
        <v>11</v>
      </c>
      <c r="G319" s="10">
        <v>32120</v>
      </c>
      <c r="H319" s="7">
        <v>1</v>
      </c>
      <c r="I319" s="12">
        <f>IF(OR(Table2[[#This Row],[Rating]]=4,Table2[[#This Row],[Rating]]=5), 0.05*Table2[[#This Row],[Salary]],0)</f>
        <v>0</v>
      </c>
      <c r="J319" s="14">
        <f>VLOOKUP(Table2[[#This Row],[Salary]],'Tax rates'!A$2:C$8, 2) + VLOOKUP(Table2[[#This Row],[Salary]],'Tax rates'!A$2:C$8, 3) * (Table2[[#This Row],[Salary]] - VLOOKUP(Table2[[#This Row],[Salary]],'Tax rates'!A$2:C$8,1))</f>
        <v>3663.9</v>
      </c>
      <c r="K319" s="14">
        <f>Table2[[#This Row],[Salary]]-Table2[[#This Row],[Taxes]]</f>
        <v>28456.1</v>
      </c>
      <c r="L319" s="15">
        <f>Table2[[#This Row],[After tax salary]]+Table2[[#This Row],[Bonus]]</f>
        <v>28456.1</v>
      </c>
    </row>
    <row r="320" spans="1:12" x14ac:dyDescent="0.25">
      <c r="A320" s="5" t="s">
        <v>120</v>
      </c>
      <c r="B320" s="5" t="s">
        <v>27</v>
      </c>
      <c r="C320" s="5" t="s">
        <v>37</v>
      </c>
      <c r="D320" s="5" t="s">
        <v>16</v>
      </c>
      <c r="E320" s="6">
        <v>39011</v>
      </c>
      <c r="F320" s="7"/>
      <c r="G320" s="10">
        <v>86470</v>
      </c>
      <c r="H320" s="7">
        <v>4</v>
      </c>
      <c r="I320" s="12">
        <f>IF(OR(Table2[[#This Row],[Rating]]=4,Table2[[#This Row],[Rating]]=5), 0.05*Table2[[#This Row],[Salary]],0)</f>
        <v>4323.5</v>
      </c>
      <c r="J320" s="14">
        <f>VLOOKUP(Table2[[#This Row],[Salary]],'Tax rates'!A$2:C$8, 2) + VLOOKUP(Table2[[#This Row],[Salary]],'Tax rates'!A$2:C$8, 3) * (Table2[[#This Row],[Salary]] - VLOOKUP(Table2[[#This Row],[Salary]],'Tax rates'!A$2:C$8,1))</f>
        <v>15042.3</v>
      </c>
      <c r="K320" s="14">
        <f>Table2[[#This Row],[Salary]]-Table2[[#This Row],[Taxes]]</f>
        <v>71427.7</v>
      </c>
      <c r="L320" s="15">
        <f>Table2[[#This Row],[After tax salary]]+Table2[[#This Row],[Bonus]]</f>
        <v>75751.199999999997</v>
      </c>
    </row>
    <row r="321" spans="1:12" x14ac:dyDescent="0.25">
      <c r="A321" s="5" t="s">
        <v>236</v>
      </c>
      <c r="B321" s="5" t="s">
        <v>6</v>
      </c>
      <c r="C321" s="5" t="s">
        <v>20</v>
      </c>
      <c r="D321" s="5" t="s">
        <v>16</v>
      </c>
      <c r="E321" s="6">
        <v>39024</v>
      </c>
      <c r="F321" s="7"/>
      <c r="G321" s="10">
        <v>76020</v>
      </c>
      <c r="H321" s="7">
        <v>1</v>
      </c>
      <c r="I321" s="12">
        <f>IF(OR(Table2[[#This Row],[Rating]]=4,Table2[[#This Row],[Rating]]=5), 0.05*Table2[[#This Row],[Salary]],0)</f>
        <v>0</v>
      </c>
      <c r="J321" s="14">
        <f>VLOOKUP(Table2[[#This Row],[Salary]],'Tax rates'!A$2:C$8, 2) + VLOOKUP(Table2[[#This Row],[Salary]],'Tax rates'!A$2:C$8, 3) * (Table2[[#This Row],[Salary]] - VLOOKUP(Table2[[#This Row],[Salary]],'Tax rates'!A$2:C$8,1))</f>
        <v>12663.9</v>
      </c>
      <c r="K321" s="14">
        <f>Table2[[#This Row],[Salary]]-Table2[[#This Row],[Taxes]]</f>
        <v>63356.1</v>
      </c>
      <c r="L321" s="15">
        <f>Table2[[#This Row],[After tax salary]]+Table2[[#This Row],[Bonus]]</f>
        <v>63356.1</v>
      </c>
    </row>
    <row r="322" spans="1:12" x14ac:dyDescent="0.25">
      <c r="A322" s="5" t="s">
        <v>566</v>
      </c>
      <c r="B322" s="5" t="s">
        <v>51</v>
      </c>
      <c r="C322" s="5" t="s">
        <v>106</v>
      </c>
      <c r="D322" s="5" t="s">
        <v>3</v>
      </c>
      <c r="E322" s="6">
        <v>39029</v>
      </c>
      <c r="F322" s="5" t="s">
        <v>11</v>
      </c>
      <c r="G322" s="10">
        <v>85300</v>
      </c>
      <c r="H322" s="7">
        <v>2</v>
      </c>
      <c r="I322" s="12">
        <f>IF(OR(Table2[[#This Row],[Rating]]=4,Table2[[#This Row],[Rating]]=5), 0.05*Table2[[#This Row],[Salary]],0)</f>
        <v>0</v>
      </c>
      <c r="J322" s="14">
        <f>VLOOKUP(Table2[[#This Row],[Salary]],'Tax rates'!A$2:C$8, 2) + VLOOKUP(Table2[[#This Row],[Salary]],'Tax rates'!A$2:C$8, 3) * (Table2[[#This Row],[Salary]] - VLOOKUP(Table2[[#This Row],[Salary]],'Tax rates'!A$2:C$8,1))</f>
        <v>14761.5</v>
      </c>
      <c r="K322" s="14">
        <f>Table2[[#This Row],[Salary]]-Table2[[#This Row],[Taxes]]</f>
        <v>70538.5</v>
      </c>
      <c r="L322" s="15">
        <f>Table2[[#This Row],[After tax salary]]+Table2[[#This Row],[Bonus]]</f>
        <v>70538.5</v>
      </c>
    </row>
    <row r="323" spans="1:12" x14ac:dyDescent="0.25">
      <c r="A323" s="5" t="s">
        <v>608</v>
      </c>
      <c r="B323" s="5" t="s">
        <v>13</v>
      </c>
      <c r="C323" s="5" t="s">
        <v>15</v>
      </c>
      <c r="D323" s="5" t="s">
        <v>3</v>
      </c>
      <c r="E323" s="6">
        <v>39038</v>
      </c>
      <c r="F323" s="5" t="s">
        <v>9</v>
      </c>
      <c r="G323" s="10">
        <v>71400</v>
      </c>
      <c r="H323" s="7">
        <v>4</v>
      </c>
      <c r="I323" s="12">
        <f>IF(OR(Table2[[#This Row],[Rating]]=4,Table2[[#This Row],[Rating]]=5), 0.05*Table2[[#This Row],[Salary]],0)</f>
        <v>3570</v>
      </c>
      <c r="J323" s="14">
        <f>VLOOKUP(Table2[[#This Row],[Salary]],'Tax rates'!A$2:C$8, 2) + VLOOKUP(Table2[[#This Row],[Salary]],'Tax rates'!A$2:C$8, 3) * (Table2[[#This Row],[Salary]] - VLOOKUP(Table2[[#This Row],[Salary]],'Tax rates'!A$2:C$8,1))</f>
        <v>11647.5</v>
      </c>
      <c r="K323" s="14">
        <f>Table2[[#This Row],[Salary]]-Table2[[#This Row],[Taxes]]</f>
        <v>59752.5</v>
      </c>
      <c r="L323" s="15">
        <f>Table2[[#This Row],[After tax salary]]+Table2[[#This Row],[Bonus]]</f>
        <v>63322.5</v>
      </c>
    </row>
    <row r="324" spans="1:12" x14ac:dyDescent="0.25">
      <c r="A324" s="5" t="s">
        <v>90</v>
      </c>
      <c r="B324" s="5" t="s">
        <v>13</v>
      </c>
      <c r="C324" s="5" t="s">
        <v>75</v>
      </c>
      <c r="D324" s="5" t="s">
        <v>16</v>
      </c>
      <c r="E324" s="6">
        <v>39040</v>
      </c>
      <c r="F324" s="7"/>
      <c r="G324" s="10">
        <v>62150</v>
      </c>
      <c r="H324" s="7">
        <v>4</v>
      </c>
      <c r="I324" s="12">
        <f>IF(OR(Table2[[#This Row],[Rating]]=4,Table2[[#This Row],[Rating]]=5), 0.05*Table2[[#This Row],[Salary]],0)</f>
        <v>3107.5</v>
      </c>
      <c r="J324" s="14">
        <f>VLOOKUP(Table2[[#This Row],[Salary]],'Tax rates'!A$2:C$8, 2) + VLOOKUP(Table2[[#This Row],[Salary]],'Tax rates'!A$2:C$8, 3) * (Table2[[#This Row],[Salary]] - VLOOKUP(Table2[[#This Row],[Salary]],'Tax rates'!A$2:C$8,1))</f>
        <v>9612.5</v>
      </c>
      <c r="K324" s="14">
        <f>Table2[[#This Row],[Salary]]-Table2[[#This Row],[Taxes]]</f>
        <v>52537.5</v>
      </c>
      <c r="L324" s="15">
        <f>Table2[[#This Row],[After tax salary]]+Table2[[#This Row],[Bonus]]</f>
        <v>55645</v>
      </c>
    </row>
    <row r="325" spans="1:12" x14ac:dyDescent="0.25">
      <c r="A325" s="5" t="s">
        <v>592</v>
      </c>
      <c r="B325" s="5" t="s">
        <v>6</v>
      </c>
      <c r="C325" s="5" t="s">
        <v>30</v>
      </c>
      <c r="D325" s="5" t="s">
        <v>3</v>
      </c>
      <c r="E325" s="6">
        <v>39047</v>
      </c>
      <c r="F325" s="5" t="s">
        <v>11</v>
      </c>
      <c r="G325" s="10">
        <v>65880</v>
      </c>
      <c r="H325" s="7">
        <v>5</v>
      </c>
      <c r="I325" s="12">
        <f>IF(OR(Table2[[#This Row],[Rating]]=4,Table2[[#This Row],[Rating]]=5), 0.05*Table2[[#This Row],[Salary]],0)</f>
        <v>3294</v>
      </c>
      <c r="J325" s="14">
        <f>VLOOKUP(Table2[[#This Row],[Salary]],'Tax rates'!A$2:C$8, 2) + VLOOKUP(Table2[[#This Row],[Salary]],'Tax rates'!A$2:C$8, 3) * (Table2[[#This Row],[Salary]] - VLOOKUP(Table2[[#This Row],[Salary]],'Tax rates'!A$2:C$8,1))</f>
        <v>10433.1</v>
      </c>
      <c r="K325" s="14">
        <f>Table2[[#This Row],[Salary]]-Table2[[#This Row],[Taxes]]</f>
        <v>55446.9</v>
      </c>
      <c r="L325" s="15">
        <f>Table2[[#This Row],[After tax salary]]+Table2[[#This Row],[Bonus]]</f>
        <v>58740.9</v>
      </c>
    </row>
    <row r="326" spans="1:12" x14ac:dyDescent="0.25">
      <c r="A326" s="5" t="s">
        <v>644</v>
      </c>
      <c r="B326" s="5" t="s">
        <v>6</v>
      </c>
      <c r="C326" s="5" t="s">
        <v>59</v>
      </c>
      <c r="D326" s="5" t="s">
        <v>16</v>
      </c>
      <c r="E326" s="6">
        <v>39063</v>
      </c>
      <c r="F326" s="7"/>
      <c r="G326" s="10">
        <v>77930</v>
      </c>
      <c r="H326" s="7">
        <v>5</v>
      </c>
      <c r="I326" s="12">
        <f>IF(OR(Table2[[#This Row],[Rating]]=4,Table2[[#This Row],[Rating]]=5), 0.05*Table2[[#This Row],[Salary]],0)</f>
        <v>3896.5</v>
      </c>
      <c r="J326" s="14">
        <f>VLOOKUP(Table2[[#This Row],[Salary]],'Tax rates'!A$2:C$8, 2) + VLOOKUP(Table2[[#This Row],[Salary]],'Tax rates'!A$2:C$8, 3) * (Table2[[#This Row],[Salary]] - VLOOKUP(Table2[[#This Row],[Salary]],'Tax rates'!A$2:C$8,1))</f>
        <v>13084.1</v>
      </c>
      <c r="K326" s="14">
        <f>Table2[[#This Row],[Salary]]-Table2[[#This Row],[Taxes]]</f>
        <v>64845.9</v>
      </c>
      <c r="L326" s="15">
        <f>Table2[[#This Row],[After tax salary]]+Table2[[#This Row],[Bonus]]</f>
        <v>68742.399999999994</v>
      </c>
    </row>
    <row r="327" spans="1:12" x14ac:dyDescent="0.25">
      <c r="A327" s="5" t="s">
        <v>321</v>
      </c>
      <c r="B327" s="5" t="s">
        <v>29</v>
      </c>
      <c r="C327" s="5" t="s">
        <v>35</v>
      </c>
      <c r="D327" s="5" t="s">
        <v>3</v>
      </c>
      <c r="E327" s="6">
        <v>39063</v>
      </c>
      <c r="F327" s="5" t="s">
        <v>4</v>
      </c>
      <c r="G327" s="10">
        <v>86320</v>
      </c>
      <c r="H327" s="7">
        <v>4</v>
      </c>
      <c r="I327" s="12">
        <f>IF(OR(Table2[[#This Row],[Rating]]=4,Table2[[#This Row],[Rating]]=5), 0.05*Table2[[#This Row],[Salary]],0)</f>
        <v>4316</v>
      </c>
      <c r="J327" s="14">
        <f>VLOOKUP(Table2[[#This Row],[Salary]],'Tax rates'!A$2:C$8, 2) + VLOOKUP(Table2[[#This Row],[Salary]],'Tax rates'!A$2:C$8, 3) * (Table2[[#This Row],[Salary]] - VLOOKUP(Table2[[#This Row],[Salary]],'Tax rates'!A$2:C$8,1))</f>
        <v>15006.3</v>
      </c>
      <c r="K327" s="14">
        <f>Table2[[#This Row],[Salary]]-Table2[[#This Row],[Taxes]]</f>
        <v>71313.7</v>
      </c>
      <c r="L327" s="15">
        <f>Table2[[#This Row],[After tax salary]]+Table2[[#This Row],[Bonus]]</f>
        <v>75629.7</v>
      </c>
    </row>
    <row r="328" spans="1:12" x14ac:dyDescent="0.25">
      <c r="A328" s="5" t="s">
        <v>699</v>
      </c>
      <c r="B328" s="5" t="s">
        <v>29</v>
      </c>
      <c r="C328" s="5" t="s">
        <v>106</v>
      </c>
      <c r="D328" s="5" t="s">
        <v>3</v>
      </c>
      <c r="E328" s="6">
        <v>39069</v>
      </c>
      <c r="F328" s="5" t="s">
        <v>21</v>
      </c>
      <c r="G328" s="10">
        <v>37670</v>
      </c>
      <c r="H328" s="7">
        <v>3</v>
      </c>
      <c r="I328" s="12">
        <f>IF(OR(Table2[[#This Row],[Rating]]=4,Table2[[#This Row],[Rating]]=5), 0.05*Table2[[#This Row],[Salary]],0)</f>
        <v>0</v>
      </c>
      <c r="J328" s="14">
        <f>VLOOKUP(Table2[[#This Row],[Salary]],'Tax rates'!A$2:C$8, 2) + VLOOKUP(Table2[[#This Row],[Salary]],'Tax rates'!A$2:C$8, 3) * (Table2[[#This Row],[Salary]] - VLOOKUP(Table2[[#This Row],[Salary]],'Tax rates'!A$2:C$8,1))</f>
        <v>4329.8999999999996</v>
      </c>
      <c r="K328" s="14">
        <f>Table2[[#This Row],[Salary]]-Table2[[#This Row],[Taxes]]</f>
        <v>33340.1</v>
      </c>
      <c r="L328" s="15">
        <f>Table2[[#This Row],[After tax salary]]+Table2[[#This Row],[Bonus]]</f>
        <v>33340.1</v>
      </c>
    </row>
    <row r="329" spans="1:12" x14ac:dyDescent="0.25">
      <c r="A329" s="5" t="s">
        <v>50</v>
      </c>
      <c r="B329" s="5" t="s">
        <v>51</v>
      </c>
      <c r="C329" s="5" t="s">
        <v>23</v>
      </c>
      <c r="D329" s="5" t="s">
        <v>3</v>
      </c>
      <c r="E329" s="6">
        <v>39085</v>
      </c>
      <c r="F329" s="5" t="s">
        <v>4</v>
      </c>
      <c r="G329" s="10">
        <v>87030</v>
      </c>
      <c r="H329" s="7">
        <v>3</v>
      </c>
      <c r="I329" s="12">
        <f>IF(OR(Table2[[#This Row],[Rating]]=4,Table2[[#This Row],[Rating]]=5), 0.05*Table2[[#This Row],[Salary]],0)</f>
        <v>0</v>
      </c>
      <c r="J329" s="14">
        <f>VLOOKUP(Table2[[#This Row],[Salary]],'Tax rates'!A$2:C$8, 2) + VLOOKUP(Table2[[#This Row],[Salary]],'Tax rates'!A$2:C$8, 3) * (Table2[[#This Row],[Salary]] - VLOOKUP(Table2[[#This Row],[Salary]],'Tax rates'!A$2:C$8,1))</f>
        <v>15176.7</v>
      </c>
      <c r="K329" s="14">
        <f>Table2[[#This Row],[Salary]]-Table2[[#This Row],[Taxes]]</f>
        <v>71853.3</v>
      </c>
      <c r="L329" s="15">
        <f>Table2[[#This Row],[After tax salary]]+Table2[[#This Row],[Bonus]]</f>
        <v>71853.3</v>
      </c>
    </row>
    <row r="330" spans="1:12" x14ac:dyDescent="0.25">
      <c r="A330" s="5" t="s">
        <v>271</v>
      </c>
      <c r="B330" s="5" t="s">
        <v>1</v>
      </c>
      <c r="C330" s="5" t="s">
        <v>35</v>
      </c>
      <c r="D330" s="5" t="s">
        <v>16</v>
      </c>
      <c r="E330" s="6">
        <v>39087</v>
      </c>
      <c r="F330" s="7"/>
      <c r="G330" s="10">
        <v>70150</v>
      </c>
      <c r="H330" s="7">
        <v>2</v>
      </c>
      <c r="I330" s="12">
        <f>IF(OR(Table2[[#This Row],[Rating]]=4,Table2[[#This Row],[Rating]]=5), 0.05*Table2[[#This Row],[Salary]],0)</f>
        <v>0</v>
      </c>
      <c r="J330" s="14">
        <f>VLOOKUP(Table2[[#This Row],[Salary]],'Tax rates'!A$2:C$8, 2) + VLOOKUP(Table2[[#This Row],[Salary]],'Tax rates'!A$2:C$8, 3) * (Table2[[#This Row],[Salary]] - VLOOKUP(Table2[[#This Row],[Salary]],'Tax rates'!A$2:C$8,1))</f>
        <v>11372.5</v>
      </c>
      <c r="K330" s="14">
        <f>Table2[[#This Row],[Salary]]-Table2[[#This Row],[Taxes]]</f>
        <v>58777.5</v>
      </c>
      <c r="L330" s="15">
        <f>Table2[[#This Row],[After tax salary]]+Table2[[#This Row],[Bonus]]</f>
        <v>58777.5</v>
      </c>
    </row>
    <row r="331" spans="1:12" x14ac:dyDescent="0.25">
      <c r="A331" s="5" t="s">
        <v>641</v>
      </c>
      <c r="B331" s="5" t="s">
        <v>13</v>
      </c>
      <c r="C331" s="5" t="s">
        <v>18</v>
      </c>
      <c r="D331" s="5" t="s">
        <v>32</v>
      </c>
      <c r="E331" s="6">
        <v>39087</v>
      </c>
      <c r="F331" s="7"/>
      <c r="G331" s="10">
        <v>14416</v>
      </c>
      <c r="H331" s="7">
        <v>4</v>
      </c>
      <c r="I331" s="12">
        <f>IF(OR(Table2[[#This Row],[Rating]]=4,Table2[[#This Row],[Rating]]=5), 0.05*Table2[[#This Row],[Salary]],0)</f>
        <v>720.80000000000007</v>
      </c>
      <c r="J331" s="14">
        <f>VLOOKUP(Table2[[#This Row],[Salary]],'Tax rates'!A$2:C$8, 2) + VLOOKUP(Table2[[#This Row],[Salary]],'Tax rates'!A$2:C$8, 3) * (Table2[[#This Row],[Salary]] - VLOOKUP(Table2[[#This Row],[Salary]],'Tax rates'!A$2:C$8,1))</f>
        <v>1539.42</v>
      </c>
      <c r="K331" s="14">
        <f>Table2[[#This Row],[Salary]]-Table2[[#This Row],[Taxes]]</f>
        <v>12876.58</v>
      </c>
      <c r="L331" s="15">
        <f>Table2[[#This Row],[After tax salary]]+Table2[[#This Row],[Bonus]]</f>
        <v>13597.38</v>
      </c>
    </row>
    <row r="332" spans="1:12" x14ac:dyDescent="0.25">
      <c r="A332" s="5" t="s">
        <v>612</v>
      </c>
      <c r="B332" s="5" t="s">
        <v>6</v>
      </c>
      <c r="C332" s="5" t="s">
        <v>35</v>
      </c>
      <c r="D332" s="5" t="s">
        <v>16</v>
      </c>
      <c r="E332" s="6">
        <v>39090</v>
      </c>
      <c r="F332" s="7"/>
      <c r="G332" s="10">
        <v>63290</v>
      </c>
      <c r="H332" s="7">
        <v>5</v>
      </c>
      <c r="I332" s="12">
        <f>IF(OR(Table2[[#This Row],[Rating]]=4,Table2[[#This Row],[Rating]]=5), 0.05*Table2[[#This Row],[Salary]],0)</f>
        <v>3164.5</v>
      </c>
      <c r="J332" s="14">
        <f>VLOOKUP(Table2[[#This Row],[Salary]],'Tax rates'!A$2:C$8, 2) + VLOOKUP(Table2[[#This Row],[Salary]],'Tax rates'!A$2:C$8, 3) * (Table2[[#This Row],[Salary]] - VLOOKUP(Table2[[#This Row],[Salary]],'Tax rates'!A$2:C$8,1))</f>
        <v>9863.2999999999993</v>
      </c>
      <c r="K332" s="14">
        <f>Table2[[#This Row],[Salary]]-Table2[[#This Row],[Taxes]]</f>
        <v>53426.7</v>
      </c>
      <c r="L332" s="15">
        <f>Table2[[#This Row],[After tax salary]]+Table2[[#This Row],[Bonus]]</f>
        <v>56591.199999999997</v>
      </c>
    </row>
    <row r="333" spans="1:12" x14ac:dyDescent="0.25">
      <c r="A333" s="5" t="s">
        <v>275</v>
      </c>
      <c r="B333" s="5" t="s">
        <v>51</v>
      </c>
      <c r="C333" s="5" t="s">
        <v>35</v>
      </c>
      <c r="D333" s="5" t="s">
        <v>3</v>
      </c>
      <c r="E333" s="6">
        <v>39091</v>
      </c>
      <c r="F333" s="5" t="s">
        <v>11</v>
      </c>
      <c r="G333" s="10">
        <v>46410</v>
      </c>
      <c r="H333" s="7">
        <v>2</v>
      </c>
      <c r="I333" s="12">
        <f>IF(OR(Table2[[#This Row],[Rating]]=4,Table2[[#This Row],[Rating]]=5), 0.05*Table2[[#This Row],[Salary]],0)</f>
        <v>0</v>
      </c>
      <c r="J333" s="14">
        <f>VLOOKUP(Table2[[#This Row],[Salary]],'Tax rates'!A$2:C$8, 2) + VLOOKUP(Table2[[#This Row],[Salary]],'Tax rates'!A$2:C$8, 3) * (Table2[[#This Row],[Salary]] - VLOOKUP(Table2[[#This Row],[Salary]],'Tax rates'!A$2:C$8,1))</f>
        <v>6149.7</v>
      </c>
      <c r="K333" s="14">
        <f>Table2[[#This Row],[Salary]]-Table2[[#This Row],[Taxes]]</f>
        <v>40260.300000000003</v>
      </c>
      <c r="L333" s="15">
        <f>Table2[[#This Row],[After tax salary]]+Table2[[#This Row],[Bonus]]</f>
        <v>40260.300000000003</v>
      </c>
    </row>
    <row r="334" spans="1:12" x14ac:dyDescent="0.25">
      <c r="A334" s="5" t="s">
        <v>567</v>
      </c>
      <c r="B334" s="5" t="s">
        <v>6</v>
      </c>
      <c r="C334" s="5" t="s">
        <v>18</v>
      </c>
      <c r="D334" s="5" t="s">
        <v>16</v>
      </c>
      <c r="E334" s="6">
        <v>39092</v>
      </c>
      <c r="F334" s="7"/>
      <c r="G334" s="10">
        <v>73990</v>
      </c>
      <c r="H334" s="7">
        <v>3</v>
      </c>
      <c r="I334" s="12">
        <f>IF(OR(Table2[[#This Row],[Rating]]=4,Table2[[#This Row],[Rating]]=5), 0.05*Table2[[#This Row],[Salary]],0)</f>
        <v>0</v>
      </c>
      <c r="J334" s="14">
        <f>VLOOKUP(Table2[[#This Row],[Salary]],'Tax rates'!A$2:C$8, 2) + VLOOKUP(Table2[[#This Row],[Salary]],'Tax rates'!A$2:C$8, 3) * (Table2[[#This Row],[Salary]] - VLOOKUP(Table2[[#This Row],[Salary]],'Tax rates'!A$2:C$8,1))</f>
        <v>12217.3</v>
      </c>
      <c r="K334" s="14">
        <f>Table2[[#This Row],[Salary]]-Table2[[#This Row],[Taxes]]</f>
        <v>61772.7</v>
      </c>
      <c r="L334" s="15">
        <f>Table2[[#This Row],[After tax salary]]+Table2[[#This Row],[Bonus]]</f>
        <v>61772.7</v>
      </c>
    </row>
    <row r="335" spans="1:12" x14ac:dyDescent="0.25">
      <c r="A335" s="5" t="s">
        <v>748</v>
      </c>
      <c r="B335" s="5" t="s">
        <v>13</v>
      </c>
      <c r="C335" s="5" t="s">
        <v>75</v>
      </c>
      <c r="D335" s="5" t="s">
        <v>16</v>
      </c>
      <c r="E335" s="6">
        <v>39094</v>
      </c>
      <c r="F335" s="7"/>
      <c r="G335" s="10">
        <v>83020</v>
      </c>
      <c r="H335" s="7">
        <v>4</v>
      </c>
      <c r="I335" s="12">
        <f>IF(OR(Table2[[#This Row],[Rating]]=4,Table2[[#This Row],[Rating]]=5), 0.05*Table2[[#This Row],[Salary]],0)</f>
        <v>4151</v>
      </c>
      <c r="J335" s="14">
        <f>VLOOKUP(Table2[[#This Row],[Salary]],'Tax rates'!A$2:C$8, 2) + VLOOKUP(Table2[[#This Row],[Salary]],'Tax rates'!A$2:C$8, 3) * (Table2[[#This Row],[Salary]] - VLOOKUP(Table2[[#This Row],[Salary]],'Tax rates'!A$2:C$8,1))</f>
        <v>14214.3</v>
      </c>
      <c r="K335" s="14">
        <f>Table2[[#This Row],[Salary]]-Table2[[#This Row],[Taxes]]</f>
        <v>68805.7</v>
      </c>
      <c r="L335" s="15">
        <f>Table2[[#This Row],[After tax salary]]+Table2[[#This Row],[Bonus]]</f>
        <v>72956.7</v>
      </c>
    </row>
    <row r="336" spans="1:12" x14ac:dyDescent="0.25">
      <c r="A336" s="5" t="s">
        <v>110</v>
      </c>
      <c r="B336" s="5" t="s">
        <v>13</v>
      </c>
      <c r="C336" s="5" t="s">
        <v>59</v>
      </c>
      <c r="D336" s="5" t="s">
        <v>24</v>
      </c>
      <c r="E336" s="6">
        <v>39098</v>
      </c>
      <c r="F336" s="5" t="s">
        <v>11</v>
      </c>
      <c r="G336" s="10">
        <v>47705</v>
      </c>
      <c r="H336" s="7">
        <v>5</v>
      </c>
      <c r="I336" s="12">
        <f>IF(OR(Table2[[#This Row],[Rating]]=4,Table2[[#This Row],[Rating]]=5), 0.05*Table2[[#This Row],[Salary]],0)</f>
        <v>2385.25</v>
      </c>
      <c r="J336" s="14">
        <f>VLOOKUP(Table2[[#This Row],[Salary]],'Tax rates'!A$2:C$8, 2) + VLOOKUP(Table2[[#This Row],[Salary]],'Tax rates'!A$2:C$8, 3) * (Table2[[#This Row],[Salary]] - VLOOKUP(Table2[[#This Row],[Salary]],'Tax rates'!A$2:C$8,1))</f>
        <v>6434.6</v>
      </c>
      <c r="K336" s="14">
        <f>Table2[[#This Row],[Salary]]-Table2[[#This Row],[Taxes]]</f>
        <v>41270.400000000001</v>
      </c>
      <c r="L336" s="15">
        <f>Table2[[#This Row],[After tax salary]]+Table2[[#This Row],[Bonus]]</f>
        <v>43655.65</v>
      </c>
    </row>
    <row r="337" spans="1:12" x14ac:dyDescent="0.25">
      <c r="A337" s="5" t="s">
        <v>665</v>
      </c>
      <c r="B337" s="5" t="s">
        <v>6</v>
      </c>
      <c r="C337" s="5" t="s">
        <v>18</v>
      </c>
      <c r="D337" s="5" t="s">
        <v>3</v>
      </c>
      <c r="E337" s="6">
        <v>39106</v>
      </c>
      <c r="F337" s="5" t="s">
        <v>11</v>
      </c>
      <c r="G337" s="10">
        <v>45500</v>
      </c>
      <c r="H337" s="7">
        <v>3</v>
      </c>
      <c r="I337" s="12">
        <f>IF(OR(Table2[[#This Row],[Rating]]=4,Table2[[#This Row],[Rating]]=5), 0.05*Table2[[#This Row],[Salary]],0)</f>
        <v>0</v>
      </c>
      <c r="J337" s="14">
        <f>VLOOKUP(Table2[[#This Row],[Salary]],'Tax rates'!A$2:C$8, 2) + VLOOKUP(Table2[[#This Row],[Salary]],'Tax rates'!A$2:C$8, 3) * (Table2[[#This Row],[Salary]] - VLOOKUP(Table2[[#This Row],[Salary]],'Tax rates'!A$2:C$8,1))</f>
        <v>5949.5</v>
      </c>
      <c r="K337" s="14">
        <f>Table2[[#This Row],[Salary]]-Table2[[#This Row],[Taxes]]</f>
        <v>39550.5</v>
      </c>
      <c r="L337" s="15">
        <f>Table2[[#This Row],[After tax salary]]+Table2[[#This Row],[Bonus]]</f>
        <v>39550.5</v>
      </c>
    </row>
    <row r="338" spans="1:12" x14ac:dyDescent="0.25">
      <c r="A338" s="5" t="s">
        <v>390</v>
      </c>
      <c r="B338" s="5" t="s">
        <v>6</v>
      </c>
      <c r="C338" s="5" t="s">
        <v>35</v>
      </c>
      <c r="D338" s="5" t="s">
        <v>16</v>
      </c>
      <c r="E338" s="6">
        <v>39106</v>
      </c>
      <c r="F338" s="7"/>
      <c r="G338" s="10">
        <v>64263</v>
      </c>
      <c r="H338" s="7">
        <v>3</v>
      </c>
      <c r="I338" s="12">
        <f>IF(OR(Table2[[#This Row],[Rating]]=4,Table2[[#This Row],[Rating]]=5), 0.05*Table2[[#This Row],[Salary]],0)</f>
        <v>0</v>
      </c>
      <c r="J338" s="14">
        <f>VLOOKUP(Table2[[#This Row],[Salary]],'Tax rates'!A$2:C$8, 2) + VLOOKUP(Table2[[#This Row],[Salary]],'Tax rates'!A$2:C$8, 3) * (Table2[[#This Row],[Salary]] - VLOOKUP(Table2[[#This Row],[Salary]],'Tax rates'!A$2:C$8,1))</f>
        <v>10077.36</v>
      </c>
      <c r="K338" s="14">
        <f>Table2[[#This Row],[Salary]]-Table2[[#This Row],[Taxes]]</f>
        <v>54185.64</v>
      </c>
      <c r="L338" s="15">
        <f>Table2[[#This Row],[After tax salary]]+Table2[[#This Row],[Bonus]]</f>
        <v>54185.64</v>
      </c>
    </row>
    <row r="339" spans="1:12" x14ac:dyDescent="0.25">
      <c r="A339" s="5" t="s">
        <v>462</v>
      </c>
      <c r="B339" s="5" t="s">
        <v>1</v>
      </c>
      <c r="C339" s="5" t="s">
        <v>20</v>
      </c>
      <c r="D339" s="5" t="s">
        <v>24</v>
      </c>
      <c r="E339" s="6">
        <v>39107</v>
      </c>
      <c r="F339" s="5" t="s">
        <v>9</v>
      </c>
      <c r="G339" s="10">
        <v>18655</v>
      </c>
      <c r="H339" s="7">
        <v>4</v>
      </c>
      <c r="I339" s="12">
        <f>IF(OR(Table2[[#This Row],[Rating]]=4,Table2[[#This Row],[Rating]]=5), 0.05*Table2[[#This Row],[Salary]],0)</f>
        <v>932.75</v>
      </c>
      <c r="J339" s="14">
        <f>VLOOKUP(Table2[[#This Row],[Salary]],'Tax rates'!A$2:C$8, 2) + VLOOKUP(Table2[[#This Row],[Salary]],'Tax rates'!A$2:C$8, 3) * (Table2[[#This Row],[Salary]] - VLOOKUP(Table2[[#This Row],[Salary]],'Tax rates'!A$2:C$8,1))</f>
        <v>2048.1</v>
      </c>
      <c r="K339" s="14">
        <f>Table2[[#This Row],[Salary]]-Table2[[#This Row],[Taxes]]</f>
        <v>16606.900000000001</v>
      </c>
      <c r="L339" s="15">
        <f>Table2[[#This Row],[After tax salary]]+Table2[[#This Row],[Bonus]]</f>
        <v>17539.650000000001</v>
      </c>
    </row>
    <row r="340" spans="1:12" x14ac:dyDescent="0.25">
      <c r="A340" s="5" t="s">
        <v>302</v>
      </c>
      <c r="B340" s="5" t="s">
        <v>6</v>
      </c>
      <c r="C340" s="5" t="s">
        <v>30</v>
      </c>
      <c r="D340" s="5" t="s">
        <v>16</v>
      </c>
      <c r="E340" s="6">
        <v>39109</v>
      </c>
      <c r="F340" s="7"/>
      <c r="G340" s="10">
        <v>33120</v>
      </c>
      <c r="H340" s="7">
        <v>2</v>
      </c>
      <c r="I340" s="12">
        <f>IF(OR(Table2[[#This Row],[Rating]]=4,Table2[[#This Row],[Rating]]=5), 0.05*Table2[[#This Row],[Salary]],0)</f>
        <v>0</v>
      </c>
      <c r="J340" s="14">
        <f>VLOOKUP(Table2[[#This Row],[Salary]],'Tax rates'!A$2:C$8, 2) + VLOOKUP(Table2[[#This Row],[Salary]],'Tax rates'!A$2:C$8, 3) * (Table2[[#This Row],[Salary]] - VLOOKUP(Table2[[#This Row],[Salary]],'Tax rates'!A$2:C$8,1))</f>
        <v>3783.9</v>
      </c>
      <c r="K340" s="14">
        <f>Table2[[#This Row],[Salary]]-Table2[[#This Row],[Taxes]]</f>
        <v>29336.1</v>
      </c>
      <c r="L340" s="15">
        <f>Table2[[#This Row],[After tax salary]]+Table2[[#This Row],[Bonus]]</f>
        <v>29336.1</v>
      </c>
    </row>
    <row r="341" spans="1:12" x14ac:dyDescent="0.25">
      <c r="A341" s="5" t="s">
        <v>531</v>
      </c>
      <c r="B341" s="5" t="s">
        <v>1</v>
      </c>
      <c r="C341" s="5" t="s">
        <v>102</v>
      </c>
      <c r="D341" s="5" t="s">
        <v>16</v>
      </c>
      <c r="E341" s="6">
        <v>39116</v>
      </c>
      <c r="F341" s="7"/>
      <c r="G341" s="10">
        <v>60760</v>
      </c>
      <c r="H341" s="7">
        <v>2</v>
      </c>
      <c r="I341" s="12">
        <f>IF(OR(Table2[[#This Row],[Rating]]=4,Table2[[#This Row],[Rating]]=5), 0.05*Table2[[#This Row],[Salary]],0)</f>
        <v>0</v>
      </c>
      <c r="J341" s="14">
        <f>VLOOKUP(Table2[[#This Row],[Salary]],'Tax rates'!A$2:C$8, 2) + VLOOKUP(Table2[[#This Row],[Salary]],'Tax rates'!A$2:C$8, 3) * (Table2[[#This Row],[Salary]] - VLOOKUP(Table2[[#This Row],[Salary]],'Tax rates'!A$2:C$8,1))</f>
        <v>9306.7000000000007</v>
      </c>
      <c r="K341" s="14">
        <f>Table2[[#This Row],[Salary]]-Table2[[#This Row],[Taxes]]</f>
        <v>51453.3</v>
      </c>
      <c r="L341" s="15">
        <f>Table2[[#This Row],[After tax salary]]+Table2[[#This Row],[Bonus]]</f>
        <v>51453.3</v>
      </c>
    </row>
    <row r="342" spans="1:12" x14ac:dyDescent="0.25">
      <c r="A342" s="5" t="s">
        <v>662</v>
      </c>
      <c r="B342" s="5" t="s">
        <v>1</v>
      </c>
      <c r="C342" s="5" t="s">
        <v>35</v>
      </c>
      <c r="D342" s="5" t="s">
        <v>24</v>
      </c>
      <c r="E342" s="6">
        <v>39118</v>
      </c>
      <c r="F342" s="5" t="s">
        <v>4</v>
      </c>
      <c r="G342" s="10">
        <v>20075</v>
      </c>
      <c r="H342" s="7">
        <v>1</v>
      </c>
      <c r="I342" s="12">
        <f>IF(OR(Table2[[#This Row],[Rating]]=4,Table2[[#This Row],[Rating]]=5), 0.05*Table2[[#This Row],[Salary]],0)</f>
        <v>0</v>
      </c>
      <c r="J342" s="14">
        <f>VLOOKUP(Table2[[#This Row],[Salary]],'Tax rates'!A$2:C$8, 2) + VLOOKUP(Table2[[#This Row],[Salary]],'Tax rates'!A$2:C$8, 3) * (Table2[[#This Row],[Salary]] - VLOOKUP(Table2[[#This Row],[Salary]],'Tax rates'!A$2:C$8,1))</f>
        <v>2218.5</v>
      </c>
      <c r="K342" s="14">
        <f>Table2[[#This Row],[Salary]]-Table2[[#This Row],[Taxes]]</f>
        <v>17856.5</v>
      </c>
      <c r="L342" s="15">
        <f>Table2[[#This Row],[After tax salary]]+Table2[[#This Row],[Bonus]]</f>
        <v>17856.5</v>
      </c>
    </row>
    <row r="343" spans="1:12" x14ac:dyDescent="0.25">
      <c r="A343" s="5" t="s">
        <v>309</v>
      </c>
      <c r="B343" s="5" t="s">
        <v>1</v>
      </c>
      <c r="C343" s="5" t="s">
        <v>23</v>
      </c>
      <c r="D343" s="5" t="s">
        <v>3</v>
      </c>
      <c r="E343" s="6">
        <v>39120</v>
      </c>
      <c r="F343" s="5" t="s">
        <v>4</v>
      </c>
      <c r="G343" s="10">
        <v>88850</v>
      </c>
      <c r="H343" s="7">
        <v>3</v>
      </c>
      <c r="I343" s="12">
        <f>IF(OR(Table2[[#This Row],[Rating]]=4,Table2[[#This Row],[Rating]]=5), 0.05*Table2[[#This Row],[Salary]],0)</f>
        <v>0</v>
      </c>
      <c r="J343" s="14">
        <f>VLOOKUP(Table2[[#This Row],[Salary]],'Tax rates'!A$2:C$8, 2) + VLOOKUP(Table2[[#This Row],[Salary]],'Tax rates'!A$2:C$8, 3) * (Table2[[#This Row],[Salary]] - VLOOKUP(Table2[[#This Row],[Salary]],'Tax rates'!A$2:C$8,1))</f>
        <v>15613.5</v>
      </c>
      <c r="K343" s="14">
        <f>Table2[[#This Row],[Salary]]-Table2[[#This Row],[Taxes]]</f>
        <v>73236.5</v>
      </c>
      <c r="L343" s="15">
        <f>Table2[[#This Row],[After tax salary]]+Table2[[#This Row],[Bonus]]</f>
        <v>73236.5</v>
      </c>
    </row>
    <row r="344" spans="1:12" x14ac:dyDescent="0.25">
      <c r="A344" s="5" t="s">
        <v>449</v>
      </c>
      <c r="B344" s="5" t="s">
        <v>29</v>
      </c>
      <c r="C344" s="5" t="s">
        <v>23</v>
      </c>
      <c r="D344" s="5" t="s">
        <v>3</v>
      </c>
      <c r="E344" s="6">
        <v>39123</v>
      </c>
      <c r="F344" s="5" t="s">
        <v>21</v>
      </c>
      <c r="G344" s="10">
        <v>77840</v>
      </c>
      <c r="H344" s="7">
        <v>2</v>
      </c>
      <c r="I344" s="12">
        <f>IF(OR(Table2[[#This Row],[Rating]]=4,Table2[[#This Row],[Rating]]=5), 0.05*Table2[[#This Row],[Salary]],0)</f>
        <v>0</v>
      </c>
      <c r="J344" s="14">
        <f>VLOOKUP(Table2[[#This Row],[Salary]],'Tax rates'!A$2:C$8, 2) + VLOOKUP(Table2[[#This Row],[Salary]],'Tax rates'!A$2:C$8, 3) * (Table2[[#This Row],[Salary]] - VLOOKUP(Table2[[#This Row],[Salary]],'Tax rates'!A$2:C$8,1))</f>
        <v>13064.3</v>
      </c>
      <c r="K344" s="14">
        <f>Table2[[#This Row],[Salary]]-Table2[[#This Row],[Taxes]]</f>
        <v>64775.7</v>
      </c>
      <c r="L344" s="15">
        <f>Table2[[#This Row],[After tax salary]]+Table2[[#This Row],[Bonus]]</f>
        <v>64775.7</v>
      </c>
    </row>
    <row r="345" spans="1:12" x14ac:dyDescent="0.25">
      <c r="A345" s="5" t="s">
        <v>686</v>
      </c>
      <c r="B345" s="5" t="s">
        <v>13</v>
      </c>
      <c r="C345" s="5" t="s">
        <v>2</v>
      </c>
      <c r="D345" s="5" t="s">
        <v>3</v>
      </c>
      <c r="E345" s="6">
        <v>39123</v>
      </c>
      <c r="F345" s="5" t="s">
        <v>4</v>
      </c>
      <c r="G345" s="10">
        <v>54270</v>
      </c>
      <c r="H345" s="7">
        <v>3</v>
      </c>
      <c r="I345" s="12">
        <f>IF(OR(Table2[[#This Row],[Rating]]=4,Table2[[#This Row],[Rating]]=5), 0.05*Table2[[#This Row],[Salary]],0)</f>
        <v>0</v>
      </c>
      <c r="J345" s="14">
        <f>VLOOKUP(Table2[[#This Row],[Salary]],'Tax rates'!A$2:C$8, 2) + VLOOKUP(Table2[[#This Row],[Salary]],'Tax rates'!A$2:C$8, 3) * (Table2[[#This Row],[Salary]] - VLOOKUP(Table2[[#This Row],[Salary]],'Tax rates'!A$2:C$8,1))</f>
        <v>7878.9</v>
      </c>
      <c r="K345" s="14">
        <f>Table2[[#This Row],[Salary]]-Table2[[#This Row],[Taxes]]</f>
        <v>46391.1</v>
      </c>
      <c r="L345" s="15">
        <f>Table2[[#This Row],[After tax salary]]+Table2[[#This Row],[Bonus]]</f>
        <v>46391.1</v>
      </c>
    </row>
    <row r="346" spans="1:12" x14ac:dyDescent="0.25">
      <c r="A346" s="5" t="s">
        <v>152</v>
      </c>
      <c r="B346" s="5" t="s">
        <v>27</v>
      </c>
      <c r="C346" s="5" t="s">
        <v>2</v>
      </c>
      <c r="D346" s="5" t="s">
        <v>3</v>
      </c>
      <c r="E346" s="6">
        <v>39134</v>
      </c>
      <c r="F346" s="5" t="s">
        <v>11</v>
      </c>
      <c r="G346" s="10">
        <v>45110</v>
      </c>
      <c r="H346" s="7">
        <v>2</v>
      </c>
      <c r="I346" s="12">
        <f>IF(OR(Table2[[#This Row],[Rating]]=4,Table2[[#This Row],[Rating]]=5), 0.05*Table2[[#This Row],[Salary]],0)</f>
        <v>0</v>
      </c>
      <c r="J346" s="14">
        <f>VLOOKUP(Table2[[#This Row],[Salary]],'Tax rates'!A$2:C$8, 2) + VLOOKUP(Table2[[#This Row],[Salary]],'Tax rates'!A$2:C$8, 3) * (Table2[[#This Row],[Salary]] - VLOOKUP(Table2[[#This Row],[Salary]],'Tax rates'!A$2:C$8,1))</f>
        <v>5863.7</v>
      </c>
      <c r="K346" s="14">
        <f>Table2[[#This Row],[Salary]]-Table2[[#This Row],[Taxes]]</f>
        <v>39246.300000000003</v>
      </c>
      <c r="L346" s="15">
        <f>Table2[[#This Row],[After tax salary]]+Table2[[#This Row],[Bonus]]</f>
        <v>39246.300000000003</v>
      </c>
    </row>
    <row r="347" spans="1:12" x14ac:dyDescent="0.25">
      <c r="A347" s="5" t="s">
        <v>5</v>
      </c>
      <c r="B347" s="5" t="s">
        <v>6</v>
      </c>
      <c r="C347" s="5" t="s">
        <v>2</v>
      </c>
      <c r="D347" s="5" t="s">
        <v>3</v>
      </c>
      <c r="E347" s="6">
        <v>39137</v>
      </c>
      <c r="F347" s="5" t="s">
        <v>4</v>
      </c>
      <c r="G347" s="10">
        <v>39000</v>
      </c>
      <c r="H347" s="7">
        <v>5</v>
      </c>
      <c r="I347" s="12">
        <f>IF(OR(Table2[[#This Row],[Rating]]=4,Table2[[#This Row],[Rating]]=5), 0.05*Table2[[#This Row],[Salary]],0)</f>
        <v>1950</v>
      </c>
      <c r="J347" s="14">
        <f>VLOOKUP(Table2[[#This Row],[Salary]],'Tax rates'!A$2:C$8, 2) + VLOOKUP(Table2[[#This Row],[Salary]],'Tax rates'!A$2:C$8, 3) * (Table2[[#This Row],[Salary]] - VLOOKUP(Table2[[#This Row],[Salary]],'Tax rates'!A$2:C$8,1))</f>
        <v>4519.5</v>
      </c>
      <c r="K347" s="14">
        <f>Table2[[#This Row],[Salary]]-Table2[[#This Row],[Taxes]]</f>
        <v>34480.5</v>
      </c>
      <c r="L347" s="15">
        <f>Table2[[#This Row],[After tax salary]]+Table2[[#This Row],[Bonus]]</f>
        <v>36430.5</v>
      </c>
    </row>
    <row r="348" spans="1:12" x14ac:dyDescent="0.25">
      <c r="A348" s="5" t="s">
        <v>609</v>
      </c>
      <c r="B348" s="5" t="s">
        <v>1</v>
      </c>
      <c r="C348" s="5" t="s">
        <v>8</v>
      </c>
      <c r="D348" s="5" t="s">
        <v>24</v>
      </c>
      <c r="E348" s="6">
        <v>39138</v>
      </c>
      <c r="F348" s="5" t="s">
        <v>21</v>
      </c>
      <c r="G348" s="10">
        <v>15005</v>
      </c>
      <c r="H348" s="7">
        <v>4</v>
      </c>
      <c r="I348" s="12">
        <f>IF(OR(Table2[[#This Row],[Rating]]=4,Table2[[#This Row],[Rating]]=5), 0.05*Table2[[#This Row],[Salary]],0)</f>
        <v>750.25</v>
      </c>
      <c r="J348" s="14">
        <f>VLOOKUP(Table2[[#This Row],[Salary]],'Tax rates'!A$2:C$8, 2) + VLOOKUP(Table2[[#This Row],[Salary]],'Tax rates'!A$2:C$8, 3) * (Table2[[#This Row],[Salary]] - VLOOKUP(Table2[[#This Row],[Salary]],'Tax rates'!A$2:C$8,1))</f>
        <v>1610.1</v>
      </c>
      <c r="K348" s="14">
        <f>Table2[[#This Row],[Salary]]-Table2[[#This Row],[Taxes]]</f>
        <v>13394.9</v>
      </c>
      <c r="L348" s="15">
        <f>Table2[[#This Row],[After tax salary]]+Table2[[#This Row],[Bonus]]</f>
        <v>14145.15</v>
      </c>
    </row>
    <row r="349" spans="1:12" x14ac:dyDescent="0.25">
      <c r="A349" s="5" t="s">
        <v>447</v>
      </c>
      <c r="B349" s="5" t="s">
        <v>6</v>
      </c>
      <c r="C349" s="5" t="s">
        <v>2</v>
      </c>
      <c r="D349" s="5" t="s">
        <v>3</v>
      </c>
      <c r="E349" s="6">
        <v>39141</v>
      </c>
      <c r="F349" s="5" t="s">
        <v>11</v>
      </c>
      <c r="G349" s="10">
        <v>66824</v>
      </c>
      <c r="H349" s="7">
        <v>2</v>
      </c>
      <c r="I349" s="12">
        <f>IF(OR(Table2[[#This Row],[Rating]]=4,Table2[[#This Row],[Rating]]=5), 0.05*Table2[[#This Row],[Salary]],0)</f>
        <v>0</v>
      </c>
      <c r="J349" s="14">
        <f>VLOOKUP(Table2[[#This Row],[Salary]],'Tax rates'!A$2:C$8, 2) + VLOOKUP(Table2[[#This Row],[Salary]],'Tax rates'!A$2:C$8, 3) * (Table2[[#This Row],[Salary]] - VLOOKUP(Table2[[#This Row],[Salary]],'Tax rates'!A$2:C$8,1))</f>
        <v>10640.779999999999</v>
      </c>
      <c r="K349" s="14">
        <f>Table2[[#This Row],[Salary]]-Table2[[#This Row],[Taxes]]</f>
        <v>56183.22</v>
      </c>
      <c r="L349" s="15">
        <f>Table2[[#This Row],[After tax salary]]+Table2[[#This Row],[Bonus]]</f>
        <v>56183.22</v>
      </c>
    </row>
    <row r="350" spans="1:12" x14ac:dyDescent="0.25">
      <c r="A350" s="5" t="s">
        <v>79</v>
      </c>
      <c r="B350" s="5" t="s">
        <v>27</v>
      </c>
      <c r="C350" s="5" t="s">
        <v>18</v>
      </c>
      <c r="D350" s="5" t="s">
        <v>16</v>
      </c>
      <c r="E350" s="6">
        <v>39144</v>
      </c>
      <c r="F350" s="7"/>
      <c r="G350" s="10">
        <v>64430</v>
      </c>
      <c r="H350" s="7">
        <v>4</v>
      </c>
      <c r="I350" s="12">
        <f>IF(OR(Table2[[#This Row],[Rating]]=4,Table2[[#This Row],[Rating]]=5), 0.05*Table2[[#This Row],[Salary]],0)</f>
        <v>3221.5</v>
      </c>
      <c r="J350" s="14">
        <f>VLOOKUP(Table2[[#This Row],[Salary]],'Tax rates'!A$2:C$8, 2) + VLOOKUP(Table2[[#This Row],[Salary]],'Tax rates'!A$2:C$8, 3) * (Table2[[#This Row],[Salary]] - VLOOKUP(Table2[[#This Row],[Salary]],'Tax rates'!A$2:C$8,1))</f>
        <v>10114.1</v>
      </c>
      <c r="K350" s="14">
        <f>Table2[[#This Row],[Salary]]-Table2[[#This Row],[Taxes]]</f>
        <v>54315.9</v>
      </c>
      <c r="L350" s="15">
        <f>Table2[[#This Row],[After tax salary]]+Table2[[#This Row],[Bonus]]</f>
        <v>57537.4</v>
      </c>
    </row>
    <row r="351" spans="1:12" x14ac:dyDescent="0.25">
      <c r="A351" s="5" t="s">
        <v>314</v>
      </c>
      <c r="B351" s="5" t="s">
        <v>13</v>
      </c>
      <c r="C351" s="5" t="s">
        <v>8</v>
      </c>
      <c r="D351" s="5" t="s">
        <v>16</v>
      </c>
      <c r="E351" s="6">
        <v>39144</v>
      </c>
      <c r="F351" s="7"/>
      <c r="G351" s="10">
        <v>45040</v>
      </c>
      <c r="H351" s="7">
        <v>5</v>
      </c>
      <c r="I351" s="12">
        <f>IF(OR(Table2[[#This Row],[Rating]]=4,Table2[[#This Row],[Rating]]=5), 0.05*Table2[[#This Row],[Salary]],0)</f>
        <v>2252</v>
      </c>
      <c r="J351" s="14">
        <f>VLOOKUP(Table2[[#This Row],[Salary]],'Tax rates'!A$2:C$8, 2) + VLOOKUP(Table2[[#This Row],[Salary]],'Tax rates'!A$2:C$8, 3) * (Table2[[#This Row],[Salary]] - VLOOKUP(Table2[[#This Row],[Salary]],'Tax rates'!A$2:C$8,1))</f>
        <v>5848.3</v>
      </c>
      <c r="K351" s="14">
        <f>Table2[[#This Row],[Salary]]-Table2[[#This Row],[Taxes]]</f>
        <v>39191.699999999997</v>
      </c>
      <c r="L351" s="15">
        <f>Table2[[#This Row],[After tax salary]]+Table2[[#This Row],[Bonus]]</f>
        <v>41443.699999999997</v>
      </c>
    </row>
    <row r="352" spans="1:12" x14ac:dyDescent="0.25">
      <c r="A352" s="5" t="s">
        <v>407</v>
      </c>
      <c r="B352" s="5" t="s">
        <v>1</v>
      </c>
      <c r="C352" s="5" t="s">
        <v>138</v>
      </c>
      <c r="D352" s="5" t="s">
        <v>3</v>
      </c>
      <c r="E352" s="6">
        <v>39147</v>
      </c>
      <c r="F352" s="5" t="s">
        <v>11</v>
      </c>
      <c r="G352" s="10">
        <v>43680</v>
      </c>
      <c r="H352" s="7">
        <v>5</v>
      </c>
      <c r="I352" s="12">
        <f>IF(OR(Table2[[#This Row],[Rating]]=4,Table2[[#This Row],[Rating]]=5), 0.05*Table2[[#This Row],[Salary]],0)</f>
        <v>2184</v>
      </c>
      <c r="J352" s="14">
        <f>VLOOKUP(Table2[[#This Row],[Salary]],'Tax rates'!A$2:C$8, 2) + VLOOKUP(Table2[[#This Row],[Salary]],'Tax rates'!A$2:C$8, 3) * (Table2[[#This Row],[Salary]] - VLOOKUP(Table2[[#This Row],[Salary]],'Tax rates'!A$2:C$8,1))</f>
        <v>5549.1</v>
      </c>
      <c r="K352" s="14">
        <f>Table2[[#This Row],[Salary]]-Table2[[#This Row],[Taxes]]</f>
        <v>38130.9</v>
      </c>
      <c r="L352" s="15">
        <f>Table2[[#This Row],[After tax salary]]+Table2[[#This Row],[Bonus]]</f>
        <v>40314.9</v>
      </c>
    </row>
    <row r="353" spans="1:12" x14ac:dyDescent="0.25">
      <c r="A353" s="5" t="s">
        <v>276</v>
      </c>
      <c r="B353" s="5" t="s">
        <v>1</v>
      </c>
      <c r="C353" s="5" t="s">
        <v>59</v>
      </c>
      <c r="D353" s="5" t="s">
        <v>3</v>
      </c>
      <c r="E353" s="6">
        <v>39147</v>
      </c>
      <c r="F353" s="5" t="s">
        <v>21</v>
      </c>
      <c r="G353" s="10">
        <v>45180</v>
      </c>
      <c r="H353" s="7">
        <v>5</v>
      </c>
      <c r="I353" s="12">
        <f>IF(OR(Table2[[#This Row],[Rating]]=4,Table2[[#This Row],[Rating]]=5), 0.05*Table2[[#This Row],[Salary]],0)</f>
        <v>2259</v>
      </c>
      <c r="J353" s="14">
        <f>VLOOKUP(Table2[[#This Row],[Salary]],'Tax rates'!A$2:C$8, 2) + VLOOKUP(Table2[[#This Row],[Salary]],'Tax rates'!A$2:C$8, 3) * (Table2[[#This Row],[Salary]] - VLOOKUP(Table2[[#This Row],[Salary]],'Tax rates'!A$2:C$8,1))</f>
        <v>5879.1</v>
      </c>
      <c r="K353" s="14">
        <f>Table2[[#This Row],[Salary]]-Table2[[#This Row],[Taxes]]</f>
        <v>39300.9</v>
      </c>
      <c r="L353" s="15">
        <f>Table2[[#This Row],[After tax salary]]+Table2[[#This Row],[Bonus]]</f>
        <v>41559.9</v>
      </c>
    </row>
    <row r="354" spans="1:12" x14ac:dyDescent="0.25">
      <c r="A354" s="5" t="s">
        <v>196</v>
      </c>
      <c r="B354" s="5" t="s">
        <v>13</v>
      </c>
      <c r="C354" s="5" t="s">
        <v>197</v>
      </c>
      <c r="D354" s="5" t="s">
        <v>16</v>
      </c>
      <c r="E354" s="6">
        <v>39147</v>
      </c>
      <c r="F354" s="7"/>
      <c r="G354" s="10">
        <v>42540</v>
      </c>
      <c r="H354" s="7">
        <v>5</v>
      </c>
      <c r="I354" s="12">
        <f>IF(OR(Table2[[#This Row],[Rating]]=4,Table2[[#This Row],[Rating]]=5), 0.05*Table2[[#This Row],[Salary]],0)</f>
        <v>2127</v>
      </c>
      <c r="J354" s="14">
        <f>VLOOKUP(Table2[[#This Row],[Salary]],'Tax rates'!A$2:C$8, 2) + VLOOKUP(Table2[[#This Row],[Salary]],'Tax rates'!A$2:C$8, 3) * (Table2[[#This Row],[Salary]] - VLOOKUP(Table2[[#This Row],[Salary]],'Tax rates'!A$2:C$8,1))</f>
        <v>5298.3</v>
      </c>
      <c r="K354" s="14">
        <f>Table2[[#This Row],[Salary]]-Table2[[#This Row],[Taxes]]</f>
        <v>37241.699999999997</v>
      </c>
      <c r="L354" s="15">
        <f>Table2[[#This Row],[After tax salary]]+Table2[[#This Row],[Bonus]]</f>
        <v>39368.699999999997</v>
      </c>
    </row>
    <row r="355" spans="1:12" x14ac:dyDescent="0.25">
      <c r="A355" s="5" t="s">
        <v>707</v>
      </c>
      <c r="B355" s="5" t="s">
        <v>13</v>
      </c>
      <c r="C355" s="5" t="s">
        <v>2</v>
      </c>
      <c r="D355" s="5" t="s">
        <v>3</v>
      </c>
      <c r="E355" s="6">
        <v>39153</v>
      </c>
      <c r="F355" s="5" t="s">
        <v>11</v>
      </c>
      <c r="G355" s="10">
        <v>43600</v>
      </c>
      <c r="H355" s="7">
        <v>5</v>
      </c>
      <c r="I355" s="12">
        <f>IF(OR(Table2[[#This Row],[Rating]]=4,Table2[[#This Row],[Rating]]=5), 0.05*Table2[[#This Row],[Salary]],0)</f>
        <v>2180</v>
      </c>
      <c r="J355" s="14">
        <f>VLOOKUP(Table2[[#This Row],[Salary]],'Tax rates'!A$2:C$8, 2) + VLOOKUP(Table2[[#This Row],[Salary]],'Tax rates'!A$2:C$8, 3) * (Table2[[#This Row],[Salary]] - VLOOKUP(Table2[[#This Row],[Salary]],'Tax rates'!A$2:C$8,1))</f>
        <v>5531.5</v>
      </c>
      <c r="K355" s="14">
        <f>Table2[[#This Row],[Salary]]-Table2[[#This Row],[Taxes]]</f>
        <v>38068.5</v>
      </c>
      <c r="L355" s="15">
        <f>Table2[[#This Row],[After tax salary]]+Table2[[#This Row],[Bonus]]</f>
        <v>40248.5</v>
      </c>
    </row>
    <row r="356" spans="1:12" x14ac:dyDescent="0.25">
      <c r="A356" s="5" t="s">
        <v>771</v>
      </c>
      <c r="B356" s="5" t="s">
        <v>6</v>
      </c>
      <c r="C356" s="5" t="s">
        <v>8</v>
      </c>
      <c r="D356" s="5" t="s">
        <v>16</v>
      </c>
      <c r="E356" s="6">
        <v>39154</v>
      </c>
      <c r="F356" s="7"/>
      <c r="G356" s="10">
        <v>26360</v>
      </c>
      <c r="H356" s="7">
        <v>4</v>
      </c>
      <c r="I356" s="12">
        <f>IF(OR(Table2[[#This Row],[Rating]]=4,Table2[[#This Row],[Rating]]=5), 0.05*Table2[[#This Row],[Salary]],0)</f>
        <v>1318</v>
      </c>
      <c r="J356" s="14">
        <f>VLOOKUP(Table2[[#This Row],[Salary]],'Tax rates'!A$2:C$8, 2) + VLOOKUP(Table2[[#This Row],[Salary]],'Tax rates'!A$2:C$8, 3) * (Table2[[#This Row],[Salary]] - VLOOKUP(Table2[[#This Row],[Salary]],'Tax rates'!A$2:C$8,1))</f>
        <v>2972.7</v>
      </c>
      <c r="K356" s="14">
        <f>Table2[[#This Row],[Salary]]-Table2[[#This Row],[Taxes]]</f>
        <v>23387.3</v>
      </c>
      <c r="L356" s="15">
        <f>Table2[[#This Row],[After tax salary]]+Table2[[#This Row],[Bonus]]</f>
        <v>24705.3</v>
      </c>
    </row>
    <row r="357" spans="1:12" x14ac:dyDescent="0.25">
      <c r="A357" s="5" t="s">
        <v>469</v>
      </c>
      <c r="B357" s="5" t="s">
        <v>6</v>
      </c>
      <c r="C357" s="5" t="s">
        <v>35</v>
      </c>
      <c r="D357" s="5" t="s">
        <v>24</v>
      </c>
      <c r="E357" s="6">
        <v>39155</v>
      </c>
      <c r="F357" s="5" t="s">
        <v>21</v>
      </c>
      <c r="G357" s="10">
        <v>27710</v>
      </c>
      <c r="H357" s="7">
        <v>3</v>
      </c>
      <c r="I357" s="12">
        <f>IF(OR(Table2[[#This Row],[Rating]]=4,Table2[[#This Row],[Rating]]=5), 0.05*Table2[[#This Row],[Salary]],0)</f>
        <v>0</v>
      </c>
      <c r="J357" s="14">
        <f>VLOOKUP(Table2[[#This Row],[Salary]],'Tax rates'!A$2:C$8, 2) + VLOOKUP(Table2[[#This Row],[Salary]],'Tax rates'!A$2:C$8, 3) * (Table2[[#This Row],[Salary]] - VLOOKUP(Table2[[#This Row],[Salary]],'Tax rates'!A$2:C$8,1))</f>
        <v>3134.7</v>
      </c>
      <c r="K357" s="14">
        <f>Table2[[#This Row],[Salary]]-Table2[[#This Row],[Taxes]]</f>
        <v>24575.3</v>
      </c>
      <c r="L357" s="15">
        <f>Table2[[#This Row],[After tax salary]]+Table2[[#This Row],[Bonus]]</f>
        <v>24575.3</v>
      </c>
    </row>
    <row r="358" spans="1:12" x14ac:dyDescent="0.25">
      <c r="A358" s="5" t="s">
        <v>366</v>
      </c>
      <c r="B358" s="5" t="s">
        <v>13</v>
      </c>
      <c r="C358" s="5" t="s">
        <v>59</v>
      </c>
      <c r="D358" s="5" t="s">
        <v>3</v>
      </c>
      <c r="E358" s="6">
        <v>39157</v>
      </c>
      <c r="F358" s="5" t="s">
        <v>11</v>
      </c>
      <c r="G358" s="10">
        <v>47610</v>
      </c>
      <c r="H358" s="7">
        <v>4</v>
      </c>
      <c r="I358" s="12">
        <f>IF(OR(Table2[[#This Row],[Rating]]=4,Table2[[#This Row],[Rating]]=5), 0.05*Table2[[#This Row],[Salary]],0)</f>
        <v>2380.5</v>
      </c>
      <c r="J358" s="14">
        <f>VLOOKUP(Table2[[#This Row],[Salary]],'Tax rates'!A$2:C$8, 2) + VLOOKUP(Table2[[#This Row],[Salary]],'Tax rates'!A$2:C$8, 3) * (Table2[[#This Row],[Salary]] - VLOOKUP(Table2[[#This Row],[Salary]],'Tax rates'!A$2:C$8,1))</f>
        <v>6413.7</v>
      </c>
      <c r="K358" s="14">
        <f>Table2[[#This Row],[Salary]]-Table2[[#This Row],[Taxes]]</f>
        <v>41196.300000000003</v>
      </c>
      <c r="L358" s="15">
        <f>Table2[[#This Row],[After tax salary]]+Table2[[#This Row],[Bonus]]</f>
        <v>43576.800000000003</v>
      </c>
    </row>
    <row r="359" spans="1:12" x14ac:dyDescent="0.25">
      <c r="A359" s="5" t="s">
        <v>533</v>
      </c>
      <c r="B359" s="5" t="s">
        <v>13</v>
      </c>
      <c r="C359" s="5" t="s">
        <v>18</v>
      </c>
      <c r="D359" s="5" t="s">
        <v>16</v>
      </c>
      <c r="E359" s="6">
        <v>39166</v>
      </c>
      <c r="F359" s="7"/>
      <c r="G359" s="10">
        <v>79220</v>
      </c>
      <c r="H359" s="7">
        <v>4</v>
      </c>
      <c r="I359" s="12">
        <f>IF(OR(Table2[[#This Row],[Rating]]=4,Table2[[#This Row],[Rating]]=5), 0.05*Table2[[#This Row],[Salary]],0)</f>
        <v>3961</v>
      </c>
      <c r="J359" s="14">
        <f>VLOOKUP(Table2[[#This Row],[Salary]],'Tax rates'!A$2:C$8, 2) + VLOOKUP(Table2[[#This Row],[Salary]],'Tax rates'!A$2:C$8, 3) * (Table2[[#This Row],[Salary]] - VLOOKUP(Table2[[#This Row],[Salary]],'Tax rates'!A$2:C$8,1))</f>
        <v>13367.9</v>
      </c>
      <c r="K359" s="14">
        <f>Table2[[#This Row],[Salary]]-Table2[[#This Row],[Taxes]]</f>
        <v>65852.100000000006</v>
      </c>
      <c r="L359" s="15">
        <f>Table2[[#This Row],[After tax salary]]+Table2[[#This Row],[Bonus]]</f>
        <v>69813.100000000006</v>
      </c>
    </row>
    <row r="360" spans="1:12" x14ac:dyDescent="0.25">
      <c r="A360" s="5" t="s">
        <v>403</v>
      </c>
      <c r="B360" s="5" t="s">
        <v>29</v>
      </c>
      <c r="C360" s="5" t="s">
        <v>59</v>
      </c>
      <c r="D360" s="5" t="s">
        <v>16</v>
      </c>
      <c r="E360" s="6">
        <v>39167</v>
      </c>
      <c r="F360" s="7"/>
      <c r="G360" s="10">
        <v>29000</v>
      </c>
      <c r="H360" s="7">
        <v>5</v>
      </c>
      <c r="I360" s="12">
        <f>IF(OR(Table2[[#This Row],[Rating]]=4,Table2[[#This Row],[Rating]]=5), 0.05*Table2[[#This Row],[Salary]],0)</f>
        <v>1450</v>
      </c>
      <c r="J360" s="14">
        <f>VLOOKUP(Table2[[#This Row],[Salary]],'Tax rates'!A$2:C$8, 2) + VLOOKUP(Table2[[#This Row],[Salary]],'Tax rates'!A$2:C$8, 3) * (Table2[[#This Row],[Salary]] - VLOOKUP(Table2[[#This Row],[Salary]],'Tax rates'!A$2:C$8,1))</f>
        <v>3289.5</v>
      </c>
      <c r="K360" s="14">
        <f>Table2[[#This Row],[Salary]]-Table2[[#This Row],[Taxes]]</f>
        <v>25710.5</v>
      </c>
      <c r="L360" s="15">
        <f>Table2[[#This Row],[After tax salary]]+Table2[[#This Row],[Bonus]]</f>
        <v>27160.5</v>
      </c>
    </row>
    <row r="361" spans="1:12" x14ac:dyDescent="0.25">
      <c r="A361" s="5" t="s">
        <v>596</v>
      </c>
      <c r="B361" s="5" t="s">
        <v>27</v>
      </c>
      <c r="C361" s="5" t="s">
        <v>18</v>
      </c>
      <c r="D361" s="5" t="s">
        <v>3</v>
      </c>
      <c r="E361" s="6">
        <v>39168</v>
      </c>
      <c r="F361" s="5" t="s">
        <v>4</v>
      </c>
      <c r="G361" s="10">
        <v>24300</v>
      </c>
      <c r="H361" s="7">
        <v>3</v>
      </c>
      <c r="I361" s="12">
        <f>IF(OR(Table2[[#This Row],[Rating]]=4,Table2[[#This Row],[Rating]]=5), 0.05*Table2[[#This Row],[Salary]],0)</f>
        <v>0</v>
      </c>
      <c r="J361" s="14">
        <f>VLOOKUP(Table2[[#This Row],[Salary]],'Tax rates'!A$2:C$8, 2) + VLOOKUP(Table2[[#This Row],[Salary]],'Tax rates'!A$2:C$8, 3) * (Table2[[#This Row],[Salary]] - VLOOKUP(Table2[[#This Row],[Salary]],'Tax rates'!A$2:C$8,1))</f>
        <v>2725.5</v>
      </c>
      <c r="K361" s="14">
        <f>Table2[[#This Row],[Salary]]-Table2[[#This Row],[Taxes]]</f>
        <v>21574.5</v>
      </c>
      <c r="L361" s="15">
        <f>Table2[[#This Row],[After tax salary]]+Table2[[#This Row],[Bonus]]</f>
        <v>21574.5</v>
      </c>
    </row>
    <row r="362" spans="1:12" x14ac:dyDescent="0.25">
      <c r="A362" s="5" t="s">
        <v>517</v>
      </c>
      <c r="B362" s="5" t="s">
        <v>51</v>
      </c>
      <c r="C362" s="5" t="s">
        <v>35</v>
      </c>
      <c r="D362" s="5" t="s">
        <v>3</v>
      </c>
      <c r="E362" s="6">
        <v>39171</v>
      </c>
      <c r="F362" s="5" t="s">
        <v>21</v>
      </c>
      <c r="G362" s="10">
        <v>25690</v>
      </c>
      <c r="H362" s="7">
        <v>2</v>
      </c>
      <c r="I362" s="12">
        <f>IF(OR(Table2[[#This Row],[Rating]]=4,Table2[[#This Row],[Rating]]=5), 0.05*Table2[[#This Row],[Salary]],0)</f>
        <v>0</v>
      </c>
      <c r="J362" s="14">
        <f>VLOOKUP(Table2[[#This Row],[Salary]],'Tax rates'!A$2:C$8, 2) + VLOOKUP(Table2[[#This Row],[Salary]],'Tax rates'!A$2:C$8, 3) * (Table2[[#This Row],[Salary]] - VLOOKUP(Table2[[#This Row],[Salary]],'Tax rates'!A$2:C$8,1))</f>
        <v>2892.3</v>
      </c>
      <c r="K362" s="14">
        <f>Table2[[#This Row],[Salary]]-Table2[[#This Row],[Taxes]]</f>
        <v>22797.7</v>
      </c>
      <c r="L362" s="15">
        <f>Table2[[#This Row],[After tax salary]]+Table2[[#This Row],[Bonus]]</f>
        <v>22797.7</v>
      </c>
    </row>
    <row r="363" spans="1:12" x14ac:dyDescent="0.25">
      <c r="A363" s="5" t="s">
        <v>43</v>
      </c>
      <c r="B363" s="5" t="s">
        <v>6</v>
      </c>
      <c r="C363" s="5" t="s">
        <v>30</v>
      </c>
      <c r="D363" s="5" t="s">
        <v>3</v>
      </c>
      <c r="E363" s="6">
        <v>39174</v>
      </c>
      <c r="F363" s="5" t="s">
        <v>4</v>
      </c>
      <c r="G363" s="10">
        <v>23320</v>
      </c>
      <c r="H363" s="7">
        <v>4</v>
      </c>
      <c r="I363" s="12">
        <f>IF(OR(Table2[[#This Row],[Rating]]=4,Table2[[#This Row],[Rating]]=5), 0.05*Table2[[#This Row],[Salary]],0)</f>
        <v>1166</v>
      </c>
      <c r="J363" s="14">
        <f>VLOOKUP(Table2[[#This Row],[Salary]],'Tax rates'!A$2:C$8, 2) + VLOOKUP(Table2[[#This Row],[Salary]],'Tax rates'!A$2:C$8, 3) * (Table2[[#This Row],[Salary]] - VLOOKUP(Table2[[#This Row],[Salary]],'Tax rates'!A$2:C$8,1))</f>
        <v>2607.8999999999996</v>
      </c>
      <c r="K363" s="14">
        <f>Table2[[#This Row],[Salary]]-Table2[[#This Row],[Taxes]]</f>
        <v>20712.099999999999</v>
      </c>
      <c r="L363" s="15">
        <f>Table2[[#This Row],[After tax salary]]+Table2[[#This Row],[Bonus]]</f>
        <v>21878.1</v>
      </c>
    </row>
    <row r="364" spans="1:12" x14ac:dyDescent="0.25">
      <c r="A364" s="5" t="s">
        <v>605</v>
      </c>
      <c r="B364" s="5" t="s">
        <v>13</v>
      </c>
      <c r="C364" s="5" t="s">
        <v>30</v>
      </c>
      <c r="D364" s="5" t="s">
        <v>24</v>
      </c>
      <c r="E364" s="6">
        <v>39176</v>
      </c>
      <c r="F364" s="5" t="s">
        <v>11</v>
      </c>
      <c r="G364" s="10">
        <v>10700</v>
      </c>
      <c r="H364" s="7">
        <v>4</v>
      </c>
      <c r="I364" s="12">
        <f>IF(OR(Table2[[#This Row],[Rating]]=4,Table2[[#This Row],[Rating]]=5), 0.05*Table2[[#This Row],[Salary]],0)</f>
        <v>535</v>
      </c>
      <c r="J364" s="14">
        <f>VLOOKUP(Table2[[#This Row],[Salary]],'Tax rates'!A$2:C$8, 2) + VLOOKUP(Table2[[#This Row],[Salary]],'Tax rates'!A$2:C$8, 3) * (Table2[[#This Row],[Salary]] - VLOOKUP(Table2[[#This Row],[Salary]],'Tax rates'!A$2:C$8,1))</f>
        <v>1093.5</v>
      </c>
      <c r="K364" s="14">
        <f>Table2[[#This Row],[Salary]]-Table2[[#This Row],[Taxes]]</f>
        <v>9606.5</v>
      </c>
      <c r="L364" s="15">
        <f>Table2[[#This Row],[After tax salary]]+Table2[[#This Row],[Bonus]]</f>
        <v>10141.5</v>
      </c>
    </row>
    <row r="365" spans="1:12" x14ac:dyDescent="0.25">
      <c r="A365" s="5" t="s">
        <v>586</v>
      </c>
      <c r="B365" s="5" t="s">
        <v>1</v>
      </c>
      <c r="C365" s="5" t="s">
        <v>59</v>
      </c>
      <c r="D365" s="5" t="s">
        <v>3</v>
      </c>
      <c r="E365" s="6">
        <v>39180</v>
      </c>
      <c r="F365" s="5" t="s">
        <v>21</v>
      </c>
      <c r="G365" s="10">
        <v>86540</v>
      </c>
      <c r="H365" s="7">
        <v>4</v>
      </c>
      <c r="I365" s="12">
        <f>IF(OR(Table2[[#This Row],[Rating]]=4,Table2[[#This Row],[Rating]]=5), 0.05*Table2[[#This Row],[Salary]],0)</f>
        <v>4327</v>
      </c>
      <c r="J365" s="14">
        <f>VLOOKUP(Table2[[#This Row],[Salary]],'Tax rates'!A$2:C$8, 2) + VLOOKUP(Table2[[#This Row],[Salary]],'Tax rates'!A$2:C$8, 3) * (Table2[[#This Row],[Salary]] - VLOOKUP(Table2[[#This Row],[Salary]],'Tax rates'!A$2:C$8,1))</f>
        <v>15059.1</v>
      </c>
      <c r="K365" s="14">
        <f>Table2[[#This Row],[Salary]]-Table2[[#This Row],[Taxes]]</f>
        <v>71480.899999999994</v>
      </c>
      <c r="L365" s="15">
        <f>Table2[[#This Row],[After tax salary]]+Table2[[#This Row],[Bonus]]</f>
        <v>75807.899999999994</v>
      </c>
    </row>
    <row r="366" spans="1:12" x14ac:dyDescent="0.25">
      <c r="A366" s="5" t="s">
        <v>131</v>
      </c>
      <c r="B366" s="5" t="s">
        <v>51</v>
      </c>
      <c r="C366" s="5" t="s">
        <v>18</v>
      </c>
      <c r="D366" s="5" t="s">
        <v>3</v>
      </c>
      <c r="E366" s="6">
        <v>39181</v>
      </c>
      <c r="F366" s="5" t="s">
        <v>11</v>
      </c>
      <c r="G366" s="10">
        <v>23330</v>
      </c>
      <c r="H366" s="7">
        <v>4</v>
      </c>
      <c r="I366" s="12">
        <f>IF(OR(Table2[[#This Row],[Rating]]=4,Table2[[#This Row],[Rating]]=5), 0.05*Table2[[#This Row],[Salary]],0)</f>
        <v>1166.5</v>
      </c>
      <c r="J366" s="14">
        <f>VLOOKUP(Table2[[#This Row],[Salary]],'Tax rates'!A$2:C$8, 2) + VLOOKUP(Table2[[#This Row],[Salary]],'Tax rates'!A$2:C$8, 3) * (Table2[[#This Row],[Salary]] - VLOOKUP(Table2[[#This Row],[Salary]],'Tax rates'!A$2:C$8,1))</f>
        <v>2609.1</v>
      </c>
      <c r="K366" s="14">
        <f>Table2[[#This Row],[Salary]]-Table2[[#This Row],[Taxes]]</f>
        <v>20720.900000000001</v>
      </c>
      <c r="L366" s="15">
        <f>Table2[[#This Row],[After tax salary]]+Table2[[#This Row],[Bonus]]</f>
        <v>21887.4</v>
      </c>
    </row>
    <row r="367" spans="1:12" x14ac:dyDescent="0.25">
      <c r="A367" s="5" t="s">
        <v>640</v>
      </c>
      <c r="B367" s="5" t="s">
        <v>1</v>
      </c>
      <c r="C367" s="5" t="s">
        <v>2</v>
      </c>
      <c r="D367" s="5" t="s">
        <v>3</v>
      </c>
      <c r="E367" s="6">
        <v>39183</v>
      </c>
      <c r="F367" s="5" t="s">
        <v>25</v>
      </c>
      <c r="G367" s="10">
        <v>82700</v>
      </c>
      <c r="H367" s="7">
        <v>3</v>
      </c>
      <c r="I367" s="12">
        <f>IF(OR(Table2[[#This Row],[Rating]]=4,Table2[[#This Row],[Rating]]=5), 0.05*Table2[[#This Row],[Salary]],0)</f>
        <v>0</v>
      </c>
      <c r="J367" s="14">
        <f>VLOOKUP(Table2[[#This Row],[Salary]],'Tax rates'!A$2:C$8, 2) + VLOOKUP(Table2[[#This Row],[Salary]],'Tax rates'!A$2:C$8, 3) * (Table2[[#This Row],[Salary]] - VLOOKUP(Table2[[#This Row],[Salary]],'Tax rates'!A$2:C$8,1))</f>
        <v>14137.5</v>
      </c>
      <c r="K367" s="14">
        <f>Table2[[#This Row],[Salary]]-Table2[[#This Row],[Taxes]]</f>
        <v>68562.5</v>
      </c>
      <c r="L367" s="15">
        <f>Table2[[#This Row],[After tax salary]]+Table2[[#This Row],[Bonus]]</f>
        <v>68562.5</v>
      </c>
    </row>
    <row r="368" spans="1:12" x14ac:dyDescent="0.25">
      <c r="A368" s="5" t="s">
        <v>674</v>
      </c>
      <c r="B368" s="5" t="s">
        <v>6</v>
      </c>
      <c r="C368" s="5" t="s">
        <v>106</v>
      </c>
      <c r="D368" s="5" t="s">
        <v>16</v>
      </c>
      <c r="E368" s="6">
        <v>39189</v>
      </c>
      <c r="F368" s="7"/>
      <c r="G368" s="10">
        <v>66580</v>
      </c>
      <c r="H368" s="7">
        <v>5</v>
      </c>
      <c r="I368" s="12">
        <f>IF(OR(Table2[[#This Row],[Rating]]=4,Table2[[#This Row],[Rating]]=5), 0.05*Table2[[#This Row],[Salary]],0)</f>
        <v>3329</v>
      </c>
      <c r="J368" s="14">
        <f>VLOOKUP(Table2[[#This Row],[Salary]],'Tax rates'!A$2:C$8, 2) + VLOOKUP(Table2[[#This Row],[Salary]],'Tax rates'!A$2:C$8, 3) * (Table2[[#This Row],[Salary]] - VLOOKUP(Table2[[#This Row],[Salary]],'Tax rates'!A$2:C$8,1))</f>
        <v>10587.1</v>
      </c>
      <c r="K368" s="14">
        <f>Table2[[#This Row],[Salary]]-Table2[[#This Row],[Taxes]]</f>
        <v>55992.9</v>
      </c>
      <c r="L368" s="15">
        <f>Table2[[#This Row],[After tax salary]]+Table2[[#This Row],[Bonus]]</f>
        <v>59321.9</v>
      </c>
    </row>
    <row r="369" spans="1:12" x14ac:dyDescent="0.25">
      <c r="A369" s="5" t="s">
        <v>480</v>
      </c>
      <c r="B369" s="5" t="s">
        <v>1</v>
      </c>
      <c r="C369" s="5" t="s">
        <v>18</v>
      </c>
      <c r="D369" s="5" t="s">
        <v>16</v>
      </c>
      <c r="E369" s="6">
        <v>39189</v>
      </c>
      <c r="F369" s="7"/>
      <c r="G369" s="10">
        <v>63850</v>
      </c>
      <c r="H369" s="7">
        <v>2</v>
      </c>
      <c r="I369" s="12">
        <f>IF(OR(Table2[[#This Row],[Rating]]=4,Table2[[#This Row],[Rating]]=5), 0.05*Table2[[#This Row],[Salary]],0)</f>
        <v>0</v>
      </c>
      <c r="J369" s="14">
        <f>VLOOKUP(Table2[[#This Row],[Salary]],'Tax rates'!A$2:C$8, 2) + VLOOKUP(Table2[[#This Row],[Salary]],'Tax rates'!A$2:C$8, 3) * (Table2[[#This Row],[Salary]] - VLOOKUP(Table2[[#This Row],[Salary]],'Tax rates'!A$2:C$8,1))</f>
        <v>9986.5</v>
      </c>
      <c r="K369" s="14">
        <f>Table2[[#This Row],[Salary]]-Table2[[#This Row],[Taxes]]</f>
        <v>53863.5</v>
      </c>
      <c r="L369" s="15">
        <f>Table2[[#This Row],[After tax salary]]+Table2[[#This Row],[Bonus]]</f>
        <v>53863.5</v>
      </c>
    </row>
    <row r="370" spans="1:12" x14ac:dyDescent="0.25">
      <c r="A370" s="5" t="s">
        <v>475</v>
      </c>
      <c r="B370" s="5" t="s">
        <v>1</v>
      </c>
      <c r="C370" s="5" t="s">
        <v>57</v>
      </c>
      <c r="D370" s="5" t="s">
        <v>3</v>
      </c>
      <c r="E370" s="6">
        <v>39197</v>
      </c>
      <c r="F370" s="5" t="s">
        <v>4</v>
      </c>
      <c r="G370" s="10">
        <v>63190</v>
      </c>
      <c r="H370" s="7">
        <v>1</v>
      </c>
      <c r="I370" s="12">
        <f>IF(OR(Table2[[#This Row],[Rating]]=4,Table2[[#This Row],[Rating]]=5), 0.05*Table2[[#This Row],[Salary]],0)</f>
        <v>0</v>
      </c>
      <c r="J370" s="14">
        <f>VLOOKUP(Table2[[#This Row],[Salary]],'Tax rates'!A$2:C$8, 2) + VLOOKUP(Table2[[#This Row],[Salary]],'Tax rates'!A$2:C$8, 3) * (Table2[[#This Row],[Salary]] - VLOOKUP(Table2[[#This Row],[Salary]],'Tax rates'!A$2:C$8,1))</f>
        <v>9841.2999999999993</v>
      </c>
      <c r="K370" s="14">
        <f>Table2[[#This Row],[Salary]]-Table2[[#This Row],[Taxes]]</f>
        <v>53348.7</v>
      </c>
      <c r="L370" s="15">
        <f>Table2[[#This Row],[After tax salary]]+Table2[[#This Row],[Bonus]]</f>
        <v>53348.7</v>
      </c>
    </row>
    <row r="371" spans="1:12" x14ac:dyDescent="0.25">
      <c r="A371" s="5" t="s">
        <v>714</v>
      </c>
      <c r="B371" s="5" t="s">
        <v>1</v>
      </c>
      <c r="C371" s="5" t="s">
        <v>8</v>
      </c>
      <c r="D371" s="5" t="s">
        <v>3</v>
      </c>
      <c r="E371" s="6">
        <v>39199</v>
      </c>
      <c r="F371" s="5" t="s">
        <v>4</v>
      </c>
      <c r="G371" s="10">
        <v>31840</v>
      </c>
      <c r="H371" s="7">
        <v>1</v>
      </c>
      <c r="I371" s="12">
        <f>IF(OR(Table2[[#This Row],[Rating]]=4,Table2[[#This Row],[Rating]]=5), 0.05*Table2[[#This Row],[Salary]],0)</f>
        <v>0</v>
      </c>
      <c r="J371" s="14">
        <f>VLOOKUP(Table2[[#This Row],[Salary]],'Tax rates'!A$2:C$8, 2) + VLOOKUP(Table2[[#This Row],[Salary]],'Tax rates'!A$2:C$8, 3) * (Table2[[#This Row],[Salary]] - VLOOKUP(Table2[[#This Row],[Salary]],'Tax rates'!A$2:C$8,1))</f>
        <v>3630.2999999999997</v>
      </c>
      <c r="K371" s="14">
        <f>Table2[[#This Row],[Salary]]-Table2[[#This Row],[Taxes]]</f>
        <v>28209.7</v>
      </c>
      <c r="L371" s="15">
        <f>Table2[[#This Row],[After tax salary]]+Table2[[#This Row],[Bonus]]</f>
        <v>28209.7</v>
      </c>
    </row>
    <row r="372" spans="1:12" x14ac:dyDescent="0.25">
      <c r="A372" s="5" t="s">
        <v>298</v>
      </c>
      <c r="B372" s="5" t="s">
        <v>1</v>
      </c>
      <c r="C372" s="5" t="s">
        <v>35</v>
      </c>
      <c r="D372" s="5" t="s">
        <v>32</v>
      </c>
      <c r="E372" s="6">
        <v>39208</v>
      </c>
      <c r="F372" s="7"/>
      <c r="G372" s="10">
        <v>26944</v>
      </c>
      <c r="H372" s="7">
        <v>4</v>
      </c>
      <c r="I372" s="12">
        <f>IF(OR(Table2[[#This Row],[Rating]]=4,Table2[[#This Row],[Rating]]=5), 0.05*Table2[[#This Row],[Salary]],0)</f>
        <v>1347.2</v>
      </c>
      <c r="J372" s="14">
        <f>VLOOKUP(Table2[[#This Row],[Salary]],'Tax rates'!A$2:C$8, 2) + VLOOKUP(Table2[[#This Row],[Salary]],'Tax rates'!A$2:C$8, 3) * (Table2[[#This Row],[Salary]] - VLOOKUP(Table2[[#This Row],[Salary]],'Tax rates'!A$2:C$8,1))</f>
        <v>3042.7799999999997</v>
      </c>
      <c r="K372" s="14">
        <f>Table2[[#This Row],[Salary]]-Table2[[#This Row],[Taxes]]</f>
        <v>23901.22</v>
      </c>
      <c r="L372" s="15">
        <f>Table2[[#This Row],[After tax salary]]+Table2[[#This Row],[Bonus]]</f>
        <v>25248.420000000002</v>
      </c>
    </row>
    <row r="373" spans="1:12" x14ac:dyDescent="0.25">
      <c r="A373" s="5" t="s">
        <v>244</v>
      </c>
      <c r="B373" s="5" t="s">
        <v>6</v>
      </c>
      <c r="C373" s="5" t="s">
        <v>75</v>
      </c>
      <c r="D373" s="5" t="s">
        <v>3</v>
      </c>
      <c r="E373" s="6">
        <v>39215</v>
      </c>
      <c r="F373" s="5" t="s">
        <v>4</v>
      </c>
      <c r="G373" s="10">
        <v>31910</v>
      </c>
      <c r="H373" s="7">
        <v>5</v>
      </c>
      <c r="I373" s="12">
        <f>IF(OR(Table2[[#This Row],[Rating]]=4,Table2[[#This Row],[Rating]]=5), 0.05*Table2[[#This Row],[Salary]],0)</f>
        <v>1595.5</v>
      </c>
      <c r="J373" s="14">
        <f>VLOOKUP(Table2[[#This Row],[Salary]],'Tax rates'!A$2:C$8, 2) + VLOOKUP(Table2[[#This Row],[Salary]],'Tax rates'!A$2:C$8, 3) * (Table2[[#This Row],[Salary]] - VLOOKUP(Table2[[#This Row],[Salary]],'Tax rates'!A$2:C$8,1))</f>
        <v>3638.7</v>
      </c>
      <c r="K373" s="14">
        <f>Table2[[#This Row],[Salary]]-Table2[[#This Row],[Taxes]]</f>
        <v>28271.3</v>
      </c>
      <c r="L373" s="15">
        <f>Table2[[#This Row],[After tax salary]]+Table2[[#This Row],[Bonus]]</f>
        <v>29866.799999999999</v>
      </c>
    </row>
    <row r="374" spans="1:12" x14ac:dyDescent="0.25">
      <c r="A374" s="5" t="s">
        <v>652</v>
      </c>
      <c r="B374" s="5" t="s">
        <v>29</v>
      </c>
      <c r="C374" s="5" t="s">
        <v>30</v>
      </c>
      <c r="D374" s="5" t="s">
        <v>3</v>
      </c>
      <c r="E374" s="6">
        <v>39217</v>
      </c>
      <c r="F374" s="5" t="s">
        <v>4</v>
      </c>
      <c r="G374" s="10">
        <v>73830</v>
      </c>
      <c r="H374" s="7">
        <v>2</v>
      </c>
      <c r="I374" s="12">
        <f>IF(OR(Table2[[#This Row],[Rating]]=4,Table2[[#This Row],[Rating]]=5), 0.05*Table2[[#This Row],[Salary]],0)</f>
        <v>0</v>
      </c>
      <c r="J374" s="14">
        <f>VLOOKUP(Table2[[#This Row],[Salary]],'Tax rates'!A$2:C$8, 2) + VLOOKUP(Table2[[#This Row],[Salary]],'Tax rates'!A$2:C$8, 3) * (Table2[[#This Row],[Salary]] - VLOOKUP(Table2[[#This Row],[Salary]],'Tax rates'!A$2:C$8,1))</f>
        <v>12182.1</v>
      </c>
      <c r="K374" s="14">
        <f>Table2[[#This Row],[Salary]]-Table2[[#This Row],[Taxes]]</f>
        <v>61647.9</v>
      </c>
      <c r="L374" s="15">
        <f>Table2[[#This Row],[After tax salary]]+Table2[[#This Row],[Bonus]]</f>
        <v>61647.9</v>
      </c>
    </row>
    <row r="375" spans="1:12" x14ac:dyDescent="0.25">
      <c r="A375" s="5" t="s">
        <v>663</v>
      </c>
      <c r="B375" s="5" t="s">
        <v>6</v>
      </c>
      <c r="C375" s="5" t="s">
        <v>23</v>
      </c>
      <c r="D375" s="5" t="s">
        <v>3</v>
      </c>
      <c r="E375" s="6">
        <v>39224</v>
      </c>
      <c r="F375" s="5" t="s">
        <v>11</v>
      </c>
      <c r="G375" s="10">
        <v>73030</v>
      </c>
      <c r="H375" s="7">
        <v>5</v>
      </c>
      <c r="I375" s="12">
        <f>IF(OR(Table2[[#This Row],[Rating]]=4,Table2[[#This Row],[Rating]]=5), 0.05*Table2[[#This Row],[Salary]],0)</f>
        <v>3651.5</v>
      </c>
      <c r="J375" s="14">
        <f>VLOOKUP(Table2[[#This Row],[Salary]],'Tax rates'!A$2:C$8, 2) + VLOOKUP(Table2[[#This Row],[Salary]],'Tax rates'!A$2:C$8, 3) * (Table2[[#This Row],[Salary]] - VLOOKUP(Table2[[#This Row],[Salary]],'Tax rates'!A$2:C$8,1))</f>
        <v>12006.1</v>
      </c>
      <c r="K375" s="14">
        <f>Table2[[#This Row],[Salary]]-Table2[[#This Row],[Taxes]]</f>
        <v>61023.9</v>
      </c>
      <c r="L375" s="15">
        <f>Table2[[#This Row],[After tax salary]]+Table2[[#This Row],[Bonus]]</f>
        <v>64675.4</v>
      </c>
    </row>
    <row r="376" spans="1:12" x14ac:dyDescent="0.25">
      <c r="A376" s="5" t="s">
        <v>486</v>
      </c>
      <c r="B376" s="5" t="s">
        <v>1</v>
      </c>
      <c r="C376" s="5" t="s">
        <v>35</v>
      </c>
      <c r="D376" s="5" t="s">
        <v>16</v>
      </c>
      <c r="E376" s="6">
        <v>39239</v>
      </c>
      <c r="F376" s="7"/>
      <c r="G376" s="10">
        <v>75550</v>
      </c>
      <c r="H376" s="7">
        <v>3</v>
      </c>
      <c r="I376" s="12">
        <f>IF(OR(Table2[[#This Row],[Rating]]=4,Table2[[#This Row],[Rating]]=5), 0.05*Table2[[#This Row],[Salary]],0)</f>
        <v>0</v>
      </c>
      <c r="J376" s="14">
        <f>VLOOKUP(Table2[[#This Row],[Salary]],'Tax rates'!A$2:C$8, 2) + VLOOKUP(Table2[[#This Row],[Salary]],'Tax rates'!A$2:C$8, 3) * (Table2[[#This Row],[Salary]] - VLOOKUP(Table2[[#This Row],[Salary]],'Tax rates'!A$2:C$8,1))</f>
        <v>12560.5</v>
      </c>
      <c r="K376" s="14">
        <f>Table2[[#This Row],[Salary]]-Table2[[#This Row],[Taxes]]</f>
        <v>62989.5</v>
      </c>
      <c r="L376" s="15">
        <f>Table2[[#This Row],[After tax salary]]+Table2[[#This Row],[Bonus]]</f>
        <v>62989.5</v>
      </c>
    </row>
    <row r="377" spans="1:12" x14ac:dyDescent="0.25">
      <c r="A377" s="5" t="s">
        <v>681</v>
      </c>
      <c r="B377" s="5" t="s">
        <v>51</v>
      </c>
      <c r="C377" s="5" t="s">
        <v>35</v>
      </c>
      <c r="D377" s="5" t="s">
        <v>16</v>
      </c>
      <c r="E377" s="6">
        <v>39248</v>
      </c>
      <c r="F377" s="7"/>
      <c r="G377" s="10">
        <v>78590</v>
      </c>
      <c r="H377" s="7">
        <v>1</v>
      </c>
      <c r="I377" s="12">
        <f>IF(OR(Table2[[#This Row],[Rating]]=4,Table2[[#This Row],[Rating]]=5), 0.05*Table2[[#This Row],[Salary]],0)</f>
        <v>0</v>
      </c>
      <c r="J377" s="14">
        <f>VLOOKUP(Table2[[#This Row],[Salary]],'Tax rates'!A$2:C$8, 2) + VLOOKUP(Table2[[#This Row],[Salary]],'Tax rates'!A$2:C$8, 3) * (Table2[[#This Row],[Salary]] - VLOOKUP(Table2[[#This Row],[Salary]],'Tax rates'!A$2:C$8,1))</f>
        <v>13229.3</v>
      </c>
      <c r="K377" s="14">
        <f>Table2[[#This Row],[Salary]]-Table2[[#This Row],[Taxes]]</f>
        <v>65360.7</v>
      </c>
      <c r="L377" s="15">
        <f>Table2[[#This Row],[After tax salary]]+Table2[[#This Row],[Bonus]]</f>
        <v>65360.7</v>
      </c>
    </row>
    <row r="378" spans="1:12" x14ac:dyDescent="0.25">
      <c r="A378" s="5" t="s">
        <v>223</v>
      </c>
      <c r="B378" s="5" t="s">
        <v>1</v>
      </c>
      <c r="C378" s="5" t="s">
        <v>35</v>
      </c>
      <c r="D378" s="5" t="s">
        <v>24</v>
      </c>
      <c r="E378" s="6">
        <v>39253</v>
      </c>
      <c r="F378" s="5" t="s">
        <v>9</v>
      </c>
      <c r="G378" s="10">
        <v>11230</v>
      </c>
      <c r="H378" s="7">
        <v>4</v>
      </c>
      <c r="I378" s="12">
        <f>IF(OR(Table2[[#This Row],[Rating]]=4,Table2[[#This Row],[Rating]]=5), 0.05*Table2[[#This Row],[Salary]],0)</f>
        <v>561.5</v>
      </c>
      <c r="J378" s="14">
        <f>VLOOKUP(Table2[[#This Row],[Salary]],'Tax rates'!A$2:C$8, 2) + VLOOKUP(Table2[[#This Row],[Salary]],'Tax rates'!A$2:C$8, 3) * (Table2[[#This Row],[Salary]] - VLOOKUP(Table2[[#This Row],[Salary]],'Tax rates'!A$2:C$8,1))</f>
        <v>1157.0999999999999</v>
      </c>
      <c r="K378" s="14">
        <f>Table2[[#This Row],[Salary]]-Table2[[#This Row],[Taxes]]</f>
        <v>10072.9</v>
      </c>
      <c r="L378" s="15">
        <f>Table2[[#This Row],[After tax salary]]+Table2[[#This Row],[Bonus]]</f>
        <v>10634.4</v>
      </c>
    </row>
    <row r="379" spans="1:12" x14ac:dyDescent="0.25">
      <c r="A379" s="5" t="s">
        <v>238</v>
      </c>
      <c r="B379" s="5" t="s">
        <v>1</v>
      </c>
      <c r="C379" s="5" t="s">
        <v>59</v>
      </c>
      <c r="D379" s="5" t="s">
        <v>3</v>
      </c>
      <c r="E379" s="6">
        <v>39258</v>
      </c>
      <c r="F379" s="5" t="s">
        <v>9</v>
      </c>
      <c r="G379" s="10">
        <v>66920</v>
      </c>
      <c r="H379" s="7">
        <v>2</v>
      </c>
      <c r="I379" s="12">
        <f>IF(OR(Table2[[#This Row],[Rating]]=4,Table2[[#This Row],[Rating]]=5), 0.05*Table2[[#This Row],[Salary]],0)</f>
        <v>0</v>
      </c>
      <c r="J379" s="14">
        <f>VLOOKUP(Table2[[#This Row],[Salary]],'Tax rates'!A$2:C$8, 2) + VLOOKUP(Table2[[#This Row],[Salary]],'Tax rates'!A$2:C$8, 3) * (Table2[[#This Row],[Salary]] - VLOOKUP(Table2[[#This Row],[Salary]],'Tax rates'!A$2:C$8,1))</f>
        <v>10661.9</v>
      </c>
      <c r="K379" s="14">
        <f>Table2[[#This Row],[Salary]]-Table2[[#This Row],[Taxes]]</f>
        <v>56258.1</v>
      </c>
      <c r="L379" s="15">
        <f>Table2[[#This Row],[After tax salary]]+Table2[[#This Row],[Bonus]]</f>
        <v>56258.1</v>
      </c>
    </row>
    <row r="380" spans="1:12" x14ac:dyDescent="0.25">
      <c r="A380" s="5" t="s">
        <v>172</v>
      </c>
      <c r="B380" s="5" t="s">
        <v>6</v>
      </c>
      <c r="C380" s="5" t="s">
        <v>18</v>
      </c>
      <c r="D380" s="5" t="s">
        <v>16</v>
      </c>
      <c r="E380" s="6">
        <v>39262</v>
      </c>
      <c r="F380" s="7"/>
      <c r="G380" s="10">
        <v>45770</v>
      </c>
      <c r="H380" s="7">
        <v>5</v>
      </c>
      <c r="I380" s="12">
        <f>IF(OR(Table2[[#This Row],[Rating]]=4,Table2[[#This Row],[Rating]]=5), 0.05*Table2[[#This Row],[Salary]],0)</f>
        <v>2288.5</v>
      </c>
      <c r="J380" s="14">
        <f>VLOOKUP(Table2[[#This Row],[Salary]],'Tax rates'!A$2:C$8, 2) + VLOOKUP(Table2[[#This Row],[Salary]],'Tax rates'!A$2:C$8, 3) * (Table2[[#This Row],[Salary]] - VLOOKUP(Table2[[#This Row],[Salary]],'Tax rates'!A$2:C$8,1))</f>
        <v>6008.9</v>
      </c>
      <c r="K380" s="14">
        <f>Table2[[#This Row],[Salary]]-Table2[[#This Row],[Taxes]]</f>
        <v>39761.1</v>
      </c>
      <c r="L380" s="15">
        <f>Table2[[#This Row],[After tax salary]]+Table2[[#This Row],[Bonus]]</f>
        <v>42049.599999999999</v>
      </c>
    </row>
    <row r="381" spans="1:12" x14ac:dyDescent="0.25">
      <c r="A381" s="5" t="s">
        <v>128</v>
      </c>
      <c r="B381" s="5" t="s">
        <v>1</v>
      </c>
      <c r="C381" s="5" t="s">
        <v>30</v>
      </c>
      <c r="D381" s="5" t="s">
        <v>3</v>
      </c>
      <c r="E381" s="6">
        <v>39262</v>
      </c>
      <c r="F381" s="5" t="s">
        <v>9</v>
      </c>
      <c r="G381" s="10">
        <v>63440</v>
      </c>
      <c r="H381" s="7">
        <v>3</v>
      </c>
      <c r="I381" s="12">
        <f>IF(OR(Table2[[#This Row],[Rating]]=4,Table2[[#This Row],[Rating]]=5), 0.05*Table2[[#This Row],[Salary]],0)</f>
        <v>0</v>
      </c>
      <c r="J381" s="14">
        <f>VLOOKUP(Table2[[#This Row],[Salary]],'Tax rates'!A$2:C$8, 2) + VLOOKUP(Table2[[#This Row],[Salary]],'Tax rates'!A$2:C$8, 3) * (Table2[[#This Row],[Salary]] - VLOOKUP(Table2[[#This Row],[Salary]],'Tax rates'!A$2:C$8,1))</f>
        <v>9896.2999999999993</v>
      </c>
      <c r="K381" s="14">
        <f>Table2[[#This Row],[Salary]]-Table2[[#This Row],[Taxes]]</f>
        <v>53543.7</v>
      </c>
      <c r="L381" s="15">
        <f>Table2[[#This Row],[After tax salary]]+Table2[[#This Row],[Bonus]]</f>
        <v>53543.7</v>
      </c>
    </row>
    <row r="382" spans="1:12" x14ac:dyDescent="0.25">
      <c r="A382" s="5" t="s">
        <v>308</v>
      </c>
      <c r="B382" s="5" t="s">
        <v>6</v>
      </c>
      <c r="C382" s="5" t="s">
        <v>18</v>
      </c>
      <c r="D382" s="5" t="s">
        <v>3</v>
      </c>
      <c r="E382" s="6">
        <v>39264</v>
      </c>
      <c r="F382" s="5" t="s">
        <v>11</v>
      </c>
      <c r="G382" s="10">
        <v>81980</v>
      </c>
      <c r="H382" s="7">
        <v>2</v>
      </c>
      <c r="I382" s="12">
        <f>IF(OR(Table2[[#This Row],[Rating]]=4,Table2[[#This Row],[Rating]]=5), 0.05*Table2[[#This Row],[Salary]],0)</f>
        <v>0</v>
      </c>
      <c r="J382" s="14">
        <f>VLOOKUP(Table2[[#This Row],[Salary]],'Tax rates'!A$2:C$8, 2) + VLOOKUP(Table2[[#This Row],[Salary]],'Tax rates'!A$2:C$8, 3) * (Table2[[#This Row],[Salary]] - VLOOKUP(Table2[[#This Row],[Salary]],'Tax rates'!A$2:C$8,1))</f>
        <v>13975.1</v>
      </c>
      <c r="K382" s="14">
        <f>Table2[[#This Row],[Salary]]-Table2[[#This Row],[Taxes]]</f>
        <v>68004.899999999994</v>
      </c>
      <c r="L382" s="15">
        <f>Table2[[#This Row],[After tax salary]]+Table2[[#This Row],[Bonus]]</f>
        <v>68004.899999999994</v>
      </c>
    </row>
    <row r="383" spans="1:12" x14ac:dyDescent="0.25">
      <c r="A383" s="5" t="s">
        <v>688</v>
      </c>
      <c r="B383" s="5" t="s">
        <v>1</v>
      </c>
      <c r="C383" s="5" t="s">
        <v>18</v>
      </c>
      <c r="D383" s="5" t="s">
        <v>3</v>
      </c>
      <c r="E383" s="6">
        <v>39264</v>
      </c>
      <c r="F383" s="5" t="s">
        <v>25</v>
      </c>
      <c r="G383" s="10">
        <v>63070</v>
      </c>
      <c r="H383" s="7">
        <v>1</v>
      </c>
      <c r="I383" s="12">
        <f>IF(OR(Table2[[#This Row],[Rating]]=4,Table2[[#This Row],[Rating]]=5), 0.05*Table2[[#This Row],[Salary]],0)</f>
        <v>0</v>
      </c>
      <c r="J383" s="14">
        <f>VLOOKUP(Table2[[#This Row],[Salary]],'Tax rates'!A$2:C$8, 2) + VLOOKUP(Table2[[#This Row],[Salary]],'Tax rates'!A$2:C$8, 3) * (Table2[[#This Row],[Salary]] - VLOOKUP(Table2[[#This Row],[Salary]],'Tax rates'!A$2:C$8,1))</f>
        <v>9814.9</v>
      </c>
      <c r="K383" s="14">
        <f>Table2[[#This Row],[Salary]]-Table2[[#This Row],[Taxes]]</f>
        <v>53255.1</v>
      </c>
      <c r="L383" s="15">
        <f>Table2[[#This Row],[After tax salary]]+Table2[[#This Row],[Bonus]]</f>
        <v>53255.1</v>
      </c>
    </row>
    <row r="384" spans="1:12" x14ac:dyDescent="0.25">
      <c r="A384" s="5" t="s">
        <v>361</v>
      </c>
      <c r="B384" s="5" t="s">
        <v>6</v>
      </c>
      <c r="C384" s="5" t="s">
        <v>35</v>
      </c>
      <c r="D384" s="5" t="s">
        <v>24</v>
      </c>
      <c r="E384" s="6">
        <v>39267</v>
      </c>
      <c r="F384" s="5" t="s">
        <v>4</v>
      </c>
      <c r="G384" s="10">
        <v>49545</v>
      </c>
      <c r="H384" s="7">
        <v>2</v>
      </c>
      <c r="I384" s="12">
        <f>IF(OR(Table2[[#This Row],[Rating]]=4,Table2[[#This Row],[Rating]]=5), 0.05*Table2[[#This Row],[Salary]],0)</f>
        <v>0</v>
      </c>
      <c r="J384" s="14">
        <f>VLOOKUP(Table2[[#This Row],[Salary]],'Tax rates'!A$2:C$8, 2) + VLOOKUP(Table2[[#This Row],[Salary]],'Tax rates'!A$2:C$8, 3) * (Table2[[#This Row],[Salary]] - VLOOKUP(Table2[[#This Row],[Salary]],'Tax rates'!A$2:C$8,1))</f>
        <v>6839.4</v>
      </c>
      <c r="K384" s="14">
        <f>Table2[[#This Row],[Salary]]-Table2[[#This Row],[Taxes]]</f>
        <v>42705.599999999999</v>
      </c>
      <c r="L384" s="15">
        <f>Table2[[#This Row],[After tax salary]]+Table2[[#This Row],[Bonus]]</f>
        <v>42705.599999999999</v>
      </c>
    </row>
    <row r="385" spans="1:12" x14ac:dyDescent="0.25">
      <c r="A385" s="5" t="s">
        <v>86</v>
      </c>
      <c r="B385" s="5" t="s">
        <v>51</v>
      </c>
      <c r="C385" s="5" t="s">
        <v>35</v>
      </c>
      <c r="D385" s="5" t="s">
        <v>16</v>
      </c>
      <c r="E385" s="6">
        <v>39272</v>
      </c>
      <c r="F385" s="7"/>
      <c r="G385" s="10">
        <v>35240</v>
      </c>
      <c r="H385" s="7">
        <v>3</v>
      </c>
      <c r="I385" s="12">
        <f>IF(OR(Table2[[#This Row],[Rating]]=4,Table2[[#This Row],[Rating]]=5), 0.05*Table2[[#This Row],[Salary]],0)</f>
        <v>0</v>
      </c>
      <c r="J385" s="14">
        <f>VLOOKUP(Table2[[#This Row],[Salary]],'Tax rates'!A$2:C$8, 2) + VLOOKUP(Table2[[#This Row],[Salary]],'Tax rates'!A$2:C$8, 3) * (Table2[[#This Row],[Salary]] - VLOOKUP(Table2[[#This Row],[Salary]],'Tax rates'!A$2:C$8,1))</f>
        <v>4038.2999999999997</v>
      </c>
      <c r="K385" s="14">
        <f>Table2[[#This Row],[Salary]]-Table2[[#This Row],[Taxes]]</f>
        <v>31201.7</v>
      </c>
      <c r="L385" s="15">
        <f>Table2[[#This Row],[After tax salary]]+Table2[[#This Row],[Bonus]]</f>
        <v>31201.7</v>
      </c>
    </row>
    <row r="386" spans="1:12" x14ac:dyDescent="0.25">
      <c r="A386" s="5" t="s">
        <v>214</v>
      </c>
      <c r="B386" s="5" t="s">
        <v>1</v>
      </c>
      <c r="C386" s="5" t="s">
        <v>2</v>
      </c>
      <c r="D386" s="5" t="s">
        <v>3</v>
      </c>
      <c r="E386" s="6">
        <v>39273</v>
      </c>
      <c r="F386" s="5" t="s">
        <v>4</v>
      </c>
      <c r="G386" s="10">
        <v>54200</v>
      </c>
      <c r="H386" s="7">
        <v>4</v>
      </c>
      <c r="I386" s="12">
        <f>IF(OR(Table2[[#This Row],[Rating]]=4,Table2[[#This Row],[Rating]]=5), 0.05*Table2[[#This Row],[Salary]],0)</f>
        <v>2710</v>
      </c>
      <c r="J386" s="14">
        <f>VLOOKUP(Table2[[#This Row],[Salary]],'Tax rates'!A$2:C$8, 2) + VLOOKUP(Table2[[#This Row],[Salary]],'Tax rates'!A$2:C$8, 3) * (Table2[[#This Row],[Salary]] - VLOOKUP(Table2[[#This Row],[Salary]],'Tax rates'!A$2:C$8,1))</f>
        <v>7863.5</v>
      </c>
      <c r="K386" s="14">
        <f>Table2[[#This Row],[Salary]]-Table2[[#This Row],[Taxes]]</f>
        <v>46336.5</v>
      </c>
      <c r="L386" s="15">
        <f>Table2[[#This Row],[After tax salary]]+Table2[[#This Row],[Bonus]]</f>
        <v>49046.5</v>
      </c>
    </row>
    <row r="387" spans="1:12" x14ac:dyDescent="0.25">
      <c r="A387" s="5" t="s">
        <v>597</v>
      </c>
      <c r="B387" s="5" t="s">
        <v>13</v>
      </c>
      <c r="C387" s="5" t="s">
        <v>8</v>
      </c>
      <c r="D387" s="5" t="s">
        <v>16</v>
      </c>
      <c r="E387" s="6">
        <v>39274</v>
      </c>
      <c r="F387" s="7"/>
      <c r="G387" s="10">
        <v>64090</v>
      </c>
      <c r="H387" s="7">
        <v>2</v>
      </c>
      <c r="I387" s="12">
        <f>IF(OR(Table2[[#This Row],[Rating]]=4,Table2[[#This Row],[Rating]]=5), 0.05*Table2[[#This Row],[Salary]],0)</f>
        <v>0</v>
      </c>
      <c r="J387" s="14">
        <f>VLOOKUP(Table2[[#This Row],[Salary]],'Tax rates'!A$2:C$8, 2) + VLOOKUP(Table2[[#This Row],[Salary]],'Tax rates'!A$2:C$8, 3) * (Table2[[#This Row],[Salary]] - VLOOKUP(Table2[[#This Row],[Salary]],'Tax rates'!A$2:C$8,1))</f>
        <v>10039.299999999999</v>
      </c>
      <c r="K387" s="14">
        <f>Table2[[#This Row],[Salary]]-Table2[[#This Row],[Taxes]]</f>
        <v>54050.7</v>
      </c>
      <c r="L387" s="15">
        <f>Table2[[#This Row],[After tax salary]]+Table2[[#This Row],[Bonus]]</f>
        <v>54050.7</v>
      </c>
    </row>
    <row r="388" spans="1:12" x14ac:dyDescent="0.25">
      <c r="A388" s="5" t="s">
        <v>485</v>
      </c>
      <c r="B388" s="5" t="s">
        <v>13</v>
      </c>
      <c r="C388" s="5" t="s">
        <v>18</v>
      </c>
      <c r="D388" s="5" t="s">
        <v>24</v>
      </c>
      <c r="E388" s="6">
        <v>39276</v>
      </c>
      <c r="F388" s="5" t="s">
        <v>25</v>
      </c>
      <c r="G388" s="10">
        <v>18895</v>
      </c>
      <c r="H388" s="7">
        <v>4</v>
      </c>
      <c r="I388" s="12">
        <f>IF(OR(Table2[[#This Row],[Rating]]=4,Table2[[#This Row],[Rating]]=5), 0.05*Table2[[#This Row],[Salary]],0)</f>
        <v>944.75</v>
      </c>
      <c r="J388" s="14">
        <f>VLOOKUP(Table2[[#This Row],[Salary]],'Tax rates'!A$2:C$8, 2) + VLOOKUP(Table2[[#This Row],[Salary]],'Tax rates'!A$2:C$8, 3) * (Table2[[#This Row],[Salary]] - VLOOKUP(Table2[[#This Row],[Salary]],'Tax rates'!A$2:C$8,1))</f>
        <v>2076.8999999999996</v>
      </c>
      <c r="K388" s="14">
        <f>Table2[[#This Row],[Salary]]-Table2[[#This Row],[Taxes]]</f>
        <v>16818.099999999999</v>
      </c>
      <c r="L388" s="15">
        <f>Table2[[#This Row],[After tax salary]]+Table2[[#This Row],[Bonus]]</f>
        <v>17762.849999999999</v>
      </c>
    </row>
    <row r="389" spans="1:12" x14ac:dyDescent="0.25">
      <c r="A389" s="5" t="s">
        <v>470</v>
      </c>
      <c r="B389" s="5" t="s">
        <v>51</v>
      </c>
      <c r="C389" s="5" t="s">
        <v>18</v>
      </c>
      <c r="D389" s="5" t="s">
        <v>32</v>
      </c>
      <c r="E389" s="6">
        <v>39278</v>
      </c>
      <c r="F389" s="7"/>
      <c r="G389" s="10">
        <v>30416</v>
      </c>
      <c r="H389" s="7">
        <v>1</v>
      </c>
      <c r="I389" s="12">
        <f>IF(OR(Table2[[#This Row],[Rating]]=4,Table2[[#This Row],[Rating]]=5), 0.05*Table2[[#This Row],[Salary]],0)</f>
        <v>0</v>
      </c>
      <c r="J389" s="14">
        <f>VLOOKUP(Table2[[#This Row],[Salary]],'Tax rates'!A$2:C$8, 2) + VLOOKUP(Table2[[#This Row],[Salary]],'Tax rates'!A$2:C$8, 3) * (Table2[[#This Row],[Salary]] - VLOOKUP(Table2[[#This Row],[Salary]],'Tax rates'!A$2:C$8,1))</f>
        <v>3459.42</v>
      </c>
      <c r="K389" s="14">
        <f>Table2[[#This Row],[Salary]]-Table2[[#This Row],[Taxes]]</f>
        <v>26956.58</v>
      </c>
      <c r="L389" s="15">
        <f>Table2[[#This Row],[After tax salary]]+Table2[[#This Row],[Bonus]]</f>
        <v>26956.58</v>
      </c>
    </row>
    <row r="390" spans="1:12" x14ac:dyDescent="0.25">
      <c r="A390" s="5" t="s">
        <v>639</v>
      </c>
      <c r="B390" s="5" t="s">
        <v>6</v>
      </c>
      <c r="C390" s="5" t="s">
        <v>75</v>
      </c>
      <c r="D390" s="5" t="s">
        <v>24</v>
      </c>
      <c r="E390" s="6">
        <v>39279</v>
      </c>
      <c r="F390" s="5" t="s">
        <v>4</v>
      </c>
      <c r="G390" s="10">
        <v>26890</v>
      </c>
      <c r="H390" s="7">
        <v>3</v>
      </c>
      <c r="I390" s="12">
        <f>IF(OR(Table2[[#This Row],[Rating]]=4,Table2[[#This Row],[Rating]]=5), 0.05*Table2[[#This Row],[Salary]],0)</f>
        <v>0</v>
      </c>
      <c r="J390" s="14">
        <f>VLOOKUP(Table2[[#This Row],[Salary]],'Tax rates'!A$2:C$8, 2) + VLOOKUP(Table2[[#This Row],[Salary]],'Tax rates'!A$2:C$8, 3) * (Table2[[#This Row],[Salary]] - VLOOKUP(Table2[[#This Row],[Salary]],'Tax rates'!A$2:C$8,1))</f>
        <v>3036.2999999999997</v>
      </c>
      <c r="K390" s="14">
        <f>Table2[[#This Row],[Salary]]-Table2[[#This Row],[Taxes]]</f>
        <v>23853.7</v>
      </c>
      <c r="L390" s="15">
        <f>Table2[[#This Row],[After tax salary]]+Table2[[#This Row],[Bonus]]</f>
        <v>23853.7</v>
      </c>
    </row>
    <row r="391" spans="1:12" x14ac:dyDescent="0.25">
      <c r="A391" s="5" t="s">
        <v>414</v>
      </c>
      <c r="B391" s="5" t="s">
        <v>6</v>
      </c>
      <c r="C391" s="5" t="s">
        <v>30</v>
      </c>
      <c r="D391" s="5" t="s">
        <v>3</v>
      </c>
      <c r="E391" s="6">
        <v>39282</v>
      </c>
      <c r="F391" s="5" t="s">
        <v>21</v>
      </c>
      <c r="G391" s="10">
        <v>69420</v>
      </c>
      <c r="H391" s="7">
        <v>2</v>
      </c>
      <c r="I391" s="12">
        <f>IF(OR(Table2[[#This Row],[Rating]]=4,Table2[[#This Row],[Rating]]=5), 0.05*Table2[[#This Row],[Salary]],0)</f>
        <v>0</v>
      </c>
      <c r="J391" s="14">
        <f>VLOOKUP(Table2[[#This Row],[Salary]],'Tax rates'!A$2:C$8, 2) + VLOOKUP(Table2[[#This Row],[Salary]],'Tax rates'!A$2:C$8, 3) * (Table2[[#This Row],[Salary]] - VLOOKUP(Table2[[#This Row],[Salary]],'Tax rates'!A$2:C$8,1))</f>
        <v>11211.9</v>
      </c>
      <c r="K391" s="14">
        <f>Table2[[#This Row],[Salary]]-Table2[[#This Row],[Taxes]]</f>
        <v>58208.1</v>
      </c>
      <c r="L391" s="15">
        <f>Table2[[#This Row],[After tax salary]]+Table2[[#This Row],[Bonus]]</f>
        <v>58208.1</v>
      </c>
    </row>
    <row r="392" spans="1:12" x14ac:dyDescent="0.25">
      <c r="A392" s="5" t="s">
        <v>431</v>
      </c>
      <c r="B392" s="5" t="s">
        <v>6</v>
      </c>
      <c r="C392" s="5" t="s">
        <v>59</v>
      </c>
      <c r="D392" s="5" t="s">
        <v>16</v>
      </c>
      <c r="E392" s="6">
        <v>39283</v>
      </c>
      <c r="F392" s="7"/>
      <c r="G392" s="10">
        <v>74470</v>
      </c>
      <c r="H392" s="7">
        <v>3</v>
      </c>
      <c r="I392" s="12">
        <f>IF(OR(Table2[[#This Row],[Rating]]=4,Table2[[#This Row],[Rating]]=5), 0.05*Table2[[#This Row],[Salary]],0)</f>
        <v>0</v>
      </c>
      <c r="J392" s="14">
        <f>VLOOKUP(Table2[[#This Row],[Salary]],'Tax rates'!A$2:C$8, 2) + VLOOKUP(Table2[[#This Row],[Salary]],'Tax rates'!A$2:C$8, 3) * (Table2[[#This Row],[Salary]] - VLOOKUP(Table2[[#This Row],[Salary]],'Tax rates'!A$2:C$8,1))</f>
        <v>12322.9</v>
      </c>
      <c r="K392" s="14">
        <f>Table2[[#This Row],[Salary]]-Table2[[#This Row],[Taxes]]</f>
        <v>62147.1</v>
      </c>
      <c r="L392" s="15">
        <f>Table2[[#This Row],[After tax salary]]+Table2[[#This Row],[Bonus]]</f>
        <v>62147.1</v>
      </c>
    </row>
    <row r="393" spans="1:12" x14ac:dyDescent="0.25">
      <c r="A393" s="5" t="s">
        <v>164</v>
      </c>
      <c r="B393" s="5" t="s">
        <v>1</v>
      </c>
      <c r="C393" s="5" t="s">
        <v>35</v>
      </c>
      <c r="D393" s="5" t="s">
        <v>3</v>
      </c>
      <c r="E393" s="6">
        <v>39283</v>
      </c>
      <c r="F393" s="5" t="s">
        <v>4</v>
      </c>
      <c r="G393" s="10">
        <v>24980</v>
      </c>
      <c r="H393" s="7">
        <v>3</v>
      </c>
      <c r="I393" s="12">
        <f>IF(OR(Table2[[#This Row],[Rating]]=4,Table2[[#This Row],[Rating]]=5), 0.05*Table2[[#This Row],[Salary]],0)</f>
        <v>0</v>
      </c>
      <c r="J393" s="14">
        <f>VLOOKUP(Table2[[#This Row],[Salary]],'Tax rates'!A$2:C$8, 2) + VLOOKUP(Table2[[#This Row],[Salary]],'Tax rates'!A$2:C$8, 3) * (Table2[[#This Row],[Salary]] - VLOOKUP(Table2[[#This Row],[Salary]],'Tax rates'!A$2:C$8,1))</f>
        <v>2807.1</v>
      </c>
      <c r="K393" s="14">
        <f>Table2[[#This Row],[Salary]]-Table2[[#This Row],[Taxes]]</f>
        <v>22172.9</v>
      </c>
      <c r="L393" s="15">
        <f>Table2[[#This Row],[After tax salary]]+Table2[[#This Row],[Bonus]]</f>
        <v>22172.9</v>
      </c>
    </row>
    <row r="394" spans="1:12" x14ac:dyDescent="0.25">
      <c r="A394" s="5" t="s">
        <v>499</v>
      </c>
      <c r="B394" s="5" t="s">
        <v>6</v>
      </c>
      <c r="C394" s="5" t="s">
        <v>23</v>
      </c>
      <c r="D394" s="5" t="s">
        <v>3</v>
      </c>
      <c r="E394" s="6">
        <v>39284</v>
      </c>
      <c r="F394" s="5" t="s">
        <v>4</v>
      </c>
      <c r="G394" s="10">
        <v>25830</v>
      </c>
      <c r="H394" s="7">
        <v>5</v>
      </c>
      <c r="I394" s="12">
        <f>IF(OR(Table2[[#This Row],[Rating]]=4,Table2[[#This Row],[Rating]]=5), 0.05*Table2[[#This Row],[Salary]],0)</f>
        <v>1291.5</v>
      </c>
      <c r="J394" s="14">
        <f>VLOOKUP(Table2[[#This Row],[Salary]],'Tax rates'!A$2:C$8, 2) + VLOOKUP(Table2[[#This Row],[Salary]],'Tax rates'!A$2:C$8, 3) * (Table2[[#This Row],[Salary]] - VLOOKUP(Table2[[#This Row],[Salary]],'Tax rates'!A$2:C$8,1))</f>
        <v>2909.1</v>
      </c>
      <c r="K394" s="14">
        <f>Table2[[#This Row],[Salary]]-Table2[[#This Row],[Taxes]]</f>
        <v>22920.9</v>
      </c>
      <c r="L394" s="15">
        <f>Table2[[#This Row],[After tax salary]]+Table2[[#This Row],[Bonus]]</f>
        <v>24212.400000000001</v>
      </c>
    </row>
    <row r="395" spans="1:12" x14ac:dyDescent="0.25">
      <c r="A395" s="5" t="s">
        <v>611</v>
      </c>
      <c r="B395" s="5" t="s">
        <v>1</v>
      </c>
      <c r="C395" s="5" t="s">
        <v>59</v>
      </c>
      <c r="D395" s="5" t="s">
        <v>3</v>
      </c>
      <c r="E395" s="6">
        <v>39290</v>
      </c>
      <c r="F395" s="5" t="s">
        <v>11</v>
      </c>
      <c r="G395" s="10">
        <v>65250</v>
      </c>
      <c r="H395" s="7">
        <v>2</v>
      </c>
      <c r="I395" s="12">
        <f>IF(OR(Table2[[#This Row],[Rating]]=4,Table2[[#This Row],[Rating]]=5), 0.05*Table2[[#This Row],[Salary]],0)</f>
        <v>0</v>
      </c>
      <c r="J395" s="14">
        <f>VLOOKUP(Table2[[#This Row],[Salary]],'Tax rates'!A$2:C$8, 2) + VLOOKUP(Table2[[#This Row],[Salary]],'Tax rates'!A$2:C$8, 3) * (Table2[[#This Row],[Salary]] - VLOOKUP(Table2[[#This Row],[Salary]],'Tax rates'!A$2:C$8,1))</f>
        <v>10294.5</v>
      </c>
      <c r="K395" s="14">
        <f>Table2[[#This Row],[Salary]]-Table2[[#This Row],[Taxes]]</f>
        <v>54955.5</v>
      </c>
      <c r="L395" s="15">
        <f>Table2[[#This Row],[After tax salary]]+Table2[[#This Row],[Bonus]]</f>
        <v>54955.5</v>
      </c>
    </row>
    <row r="396" spans="1:12" x14ac:dyDescent="0.25">
      <c r="A396" s="5" t="s">
        <v>113</v>
      </c>
      <c r="B396" s="5" t="s">
        <v>6</v>
      </c>
      <c r="C396" s="5" t="s">
        <v>2</v>
      </c>
      <c r="D396" s="5" t="s">
        <v>32</v>
      </c>
      <c r="E396" s="6">
        <v>39293</v>
      </c>
      <c r="F396" s="7"/>
      <c r="G396" s="10">
        <v>26484</v>
      </c>
      <c r="H396" s="7">
        <v>5</v>
      </c>
      <c r="I396" s="12">
        <f>IF(OR(Table2[[#This Row],[Rating]]=4,Table2[[#This Row],[Rating]]=5), 0.05*Table2[[#This Row],[Salary]],0)</f>
        <v>1324.2</v>
      </c>
      <c r="J396" s="14">
        <f>VLOOKUP(Table2[[#This Row],[Salary]],'Tax rates'!A$2:C$8, 2) + VLOOKUP(Table2[[#This Row],[Salary]],'Tax rates'!A$2:C$8, 3) * (Table2[[#This Row],[Salary]] - VLOOKUP(Table2[[#This Row],[Salary]],'Tax rates'!A$2:C$8,1))</f>
        <v>2987.58</v>
      </c>
      <c r="K396" s="14">
        <f>Table2[[#This Row],[Salary]]-Table2[[#This Row],[Taxes]]</f>
        <v>23496.42</v>
      </c>
      <c r="L396" s="15">
        <f>Table2[[#This Row],[After tax salary]]+Table2[[#This Row],[Bonus]]</f>
        <v>24820.62</v>
      </c>
    </row>
    <row r="397" spans="1:12" x14ac:dyDescent="0.25">
      <c r="A397" s="5" t="s">
        <v>764</v>
      </c>
      <c r="B397" s="5" t="s">
        <v>1</v>
      </c>
      <c r="C397" s="5" t="s">
        <v>8</v>
      </c>
      <c r="D397" s="5" t="s">
        <v>16</v>
      </c>
      <c r="E397" s="6">
        <v>39295</v>
      </c>
      <c r="F397" s="7"/>
      <c r="G397" s="10">
        <v>40560</v>
      </c>
      <c r="H397" s="7">
        <v>5</v>
      </c>
      <c r="I397" s="12">
        <f>IF(OR(Table2[[#This Row],[Rating]]=4,Table2[[#This Row],[Rating]]=5), 0.05*Table2[[#This Row],[Salary]],0)</f>
        <v>2028</v>
      </c>
      <c r="J397" s="14">
        <f>VLOOKUP(Table2[[#This Row],[Salary]],'Tax rates'!A$2:C$8, 2) + VLOOKUP(Table2[[#This Row],[Salary]],'Tax rates'!A$2:C$8, 3) * (Table2[[#This Row],[Salary]] - VLOOKUP(Table2[[#This Row],[Salary]],'Tax rates'!A$2:C$8,1))</f>
        <v>4862.7</v>
      </c>
      <c r="K397" s="14">
        <f>Table2[[#This Row],[Salary]]-Table2[[#This Row],[Taxes]]</f>
        <v>35697.300000000003</v>
      </c>
      <c r="L397" s="15">
        <f>Table2[[#This Row],[After tax salary]]+Table2[[#This Row],[Bonus]]</f>
        <v>37725.300000000003</v>
      </c>
    </row>
    <row r="398" spans="1:12" x14ac:dyDescent="0.25">
      <c r="A398" s="5" t="s">
        <v>287</v>
      </c>
      <c r="B398" s="5" t="s">
        <v>51</v>
      </c>
      <c r="C398" s="5" t="s">
        <v>30</v>
      </c>
      <c r="D398" s="5" t="s">
        <v>16</v>
      </c>
      <c r="E398" s="6">
        <v>39298</v>
      </c>
      <c r="F398" s="7"/>
      <c r="G398" s="10">
        <v>76870</v>
      </c>
      <c r="H398" s="7">
        <v>5</v>
      </c>
      <c r="I398" s="12">
        <f>IF(OR(Table2[[#This Row],[Rating]]=4,Table2[[#This Row],[Rating]]=5), 0.05*Table2[[#This Row],[Salary]],0)</f>
        <v>3843.5</v>
      </c>
      <c r="J398" s="14">
        <f>VLOOKUP(Table2[[#This Row],[Salary]],'Tax rates'!A$2:C$8, 2) + VLOOKUP(Table2[[#This Row],[Salary]],'Tax rates'!A$2:C$8, 3) * (Table2[[#This Row],[Salary]] - VLOOKUP(Table2[[#This Row],[Salary]],'Tax rates'!A$2:C$8,1))</f>
        <v>12850.9</v>
      </c>
      <c r="K398" s="14">
        <f>Table2[[#This Row],[Salary]]-Table2[[#This Row],[Taxes]]</f>
        <v>64019.1</v>
      </c>
      <c r="L398" s="15">
        <f>Table2[[#This Row],[After tax salary]]+Table2[[#This Row],[Bonus]]</f>
        <v>67862.600000000006</v>
      </c>
    </row>
    <row r="399" spans="1:12" x14ac:dyDescent="0.25">
      <c r="A399" s="5" t="s">
        <v>301</v>
      </c>
      <c r="B399" s="5" t="s">
        <v>27</v>
      </c>
      <c r="C399" s="5" t="s">
        <v>23</v>
      </c>
      <c r="D399" s="5" t="s">
        <v>24</v>
      </c>
      <c r="E399" s="6">
        <v>39299</v>
      </c>
      <c r="F399" s="5" t="s">
        <v>9</v>
      </c>
      <c r="G399" s="10">
        <v>47760</v>
      </c>
      <c r="H399" s="7">
        <v>3</v>
      </c>
      <c r="I399" s="12">
        <f>IF(OR(Table2[[#This Row],[Rating]]=4,Table2[[#This Row],[Rating]]=5), 0.05*Table2[[#This Row],[Salary]],0)</f>
        <v>0</v>
      </c>
      <c r="J399" s="14">
        <f>VLOOKUP(Table2[[#This Row],[Salary]],'Tax rates'!A$2:C$8, 2) + VLOOKUP(Table2[[#This Row],[Salary]],'Tax rates'!A$2:C$8, 3) * (Table2[[#This Row],[Salary]] - VLOOKUP(Table2[[#This Row],[Salary]],'Tax rates'!A$2:C$8,1))</f>
        <v>6446.7</v>
      </c>
      <c r="K399" s="14">
        <f>Table2[[#This Row],[Salary]]-Table2[[#This Row],[Taxes]]</f>
        <v>41313.300000000003</v>
      </c>
      <c r="L399" s="15">
        <f>Table2[[#This Row],[After tax salary]]+Table2[[#This Row],[Bonus]]</f>
        <v>41313.300000000003</v>
      </c>
    </row>
    <row r="400" spans="1:12" x14ac:dyDescent="0.25">
      <c r="A400" s="5" t="s">
        <v>392</v>
      </c>
      <c r="B400" s="5" t="s">
        <v>29</v>
      </c>
      <c r="C400" s="5" t="s">
        <v>18</v>
      </c>
      <c r="D400" s="5" t="s">
        <v>3</v>
      </c>
      <c r="E400" s="6">
        <v>39312</v>
      </c>
      <c r="F400" s="5" t="s">
        <v>25</v>
      </c>
      <c r="G400" s="10">
        <v>71030</v>
      </c>
      <c r="H400" s="7">
        <v>3</v>
      </c>
      <c r="I400" s="12">
        <f>IF(OR(Table2[[#This Row],[Rating]]=4,Table2[[#This Row],[Rating]]=5), 0.05*Table2[[#This Row],[Salary]],0)</f>
        <v>0</v>
      </c>
      <c r="J400" s="14">
        <f>VLOOKUP(Table2[[#This Row],[Salary]],'Tax rates'!A$2:C$8, 2) + VLOOKUP(Table2[[#This Row],[Salary]],'Tax rates'!A$2:C$8, 3) * (Table2[[#This Row],[Salary]] - VLOOKUP(Table2[[#This Row],[Salary]],'Tax rates'!A$2:C$8,1))</f>
        <v>11566.1</v>
      </c>
      <c r="K400" s="14">
        <f>Table2[[#This Row],[Salary]]-Table2[[#This Row],[Taxes]]</f>
        <v>59463.9</v>
      </c>
      <c r="L400" s="15">
        <f>Table2[[#This Row],[After tax salary]]+Table2[[#This Row],[Bonus]]</f>
        <v>59463.9</v>
      </c>
    </row>
    <row r="401" spans="1:12" x14ac:dyDescent="0.25">
      <c r="A401" s="5" t="s">
        <v>721</v>
      </c>
      <c r="B401" s="5" t="s">
        <v>6</v>
      </c>
      <c r="C401" s="5" t="s">
        <v>8</v>
      </c>
      <c r="D401" s="5" t="s">
        <v>3</v>
      </c>
      <c r="E401" s="6">
        <v>39326</v>
      </c>
      <c r="F401" s="5" t="s">
        <v>4</v>
      </c>
      <c r="G401" s="10">
        <v>72900</v>
      </c>
      <c r="H401" s="7">
        <v>3</v>
      </c>
      <c r="I401" s="12">
        <f>IF(OR(Table2[[#This Row],[Rating]]=4,Table2[[#This Row],[Rating]]=5), 0.05*Table2[[#This Row],[Salary]],0)</f>
        <v>0</v>
      </c>
      <c r="J401" s="14">
        <f>VLOOKUP(Table2[[#This Row],[Salary]],'Tax rates'!A$2:C$8, 2) + VLOOKUP(Table2[[#This Row],[Salary]],'Tax rates'!A$2:C$8, 3) * (Table2[[#This Row],[Salary]] - VLOOKUP(Table2[[#This Row],[Salary]],'Tax rates'!A$2:C$8,1))</f>
        <v>11977.5</v>
      </c>
      <c r="K401" s="14">
        <f>Table2[[#This Row],[Salary]]-Table2[[#This Row],[Taxes]]</f>
        <v>60922.5</v>
      </c>
      <c r="L401" s="15">
        <f>Table2[[#This Row],[After tax salary]]+Table2[[#This Row],[Bonus]]</f>
        <v>60922.5</v>
      </c>
    </row>
    <row r="402" spans="1:12" x14ac:dyDescent="0.25">
      <c r="A402" s="5" t="s">
        <v>124</v>
      </c>
      <c r="B402" s="5" t="s">
        <v>51</v>
      </c>
      <c r="C402" s="5" t="s">
        <v>59</v>
      </c>
      <c r="D402" s="5" t="s">
        <v>16</v>
      </c>
      <c r="E402" s="6">
        <v>39330</v>
      </c>
      <c r="F402" s="7"/>
      <c r="G402" s="10">
        <v>81930</v>
      </c>
      <c r="H402" s="7">
        <v>5</v>
      </c>
      <c r="I402" s="12">
        <f>IF(OR(Table2[[#This Row],[Rating]]=4,Table2[[#This Row],[Rating]]=5), 0.05*Table2[[#This Row],[Salary]],0)</f>
        <v>4096.5</v>
      </c>
      <c r="J402" s="14">
        <f>VLOOKUP(Table2[[#This Row],[Salary]],'Tax rates'!A$2:C$8, 2) + VLOOKUP(Table2[[#This Row],[Salary]],'Tax rates'!A$2:C$8, 3) * (Table2[[#This Row],[Salary]] - VLOOKUP(Table2[[#This Row],[Salary]],'Tax rates'!A$2:C$8,1))</f>
        <v>13964.1</v>
      </c>
      <c r="K402" s="14">
        <f>Table2[[#This Row],[Salary]]-Table2[[#This Row],[Taxes]]</f>
        <v>67965.899999999994</v>
      </c>
      <c r="L402" s="15">
        <f>Table2[[#This Row],[After tax salary]]+Table2[[#This Row],[Bonus]]</f>
        <v>72062.399999999994</v>
      </c>
    </row>
    <row r="403" spans="1:12" x14ac:dyDescent="0.25">
      <c r="A403" s="5" t="s">
        <v>41</v>
      </c>
      <c r="B403" s="5" t="s">
        <v>6</v>
      </c>
      <c r="C403" s="5" t="s">
        <v>30</v>
      </c>
      <c r="D403" s="5" t="s">
        <v>3</v>
      </c>
      <c r="E403" s="6">
        <v>39335</v>
      </c>
      <c r="F403" s="5" t="s">
        <v>4</v>
      </c>
      <c r="G403" s="10">
        <v>62688</v>
      </c>
      <c r="H403" s="7">
        <v>2</v>
      </c>
      <c r="I403" s="12">
        <f>IF(OR(Table2[[#This Row],[Rating]]=4,Table2[[#This Row],[Rating]]=5), 0.05*Table2[[#This Row],[Salary]],0)</f>
        <v>0</v>
      </c>
      <c r="J403" s="14">
        <f>VLOOKUP(Table2[[#This Row],[Salary]],'Tax rates'!A$2:C$8, 2) + VLOOKUP(Table2[[#This Row],[Salary]],'Tax rates'!A$2:C$8, 3) * (Table2[[#This Row],[Salary]] - VLOOKUP(Table2[[#This Row],[Salary]],'Tax rates'!A$2:C$8,1))</f>
        <v>9730.86</v>
      </c>
      <c r="K403" s="14">
        <f>Table2[[#This Row],[Salary]]-Table2[[#This Row],[Taxes]]</f>
        <v>52957.14</v>
      </c>
      <c r="L403" s="15">
        <f>Table2[[#This Row],[After tax salary]]+Table2[[#This Row],[Bonus]]</f>
        <v>52957.14</v>
      </c>
    </row>
    <row r="404" spans="1:12" x14ac:dyDescent="0.25">
      <c r="A404" s="5" t="s">
        <v>536</v>
      </c>
      <c r="B404" s="5" t="s">
        <v>13</v>
      </c>
      <c r="C404" s="5" t="s">
        <v>35</v>
      </c>
      <c r="D404" s="5" t="s">
        <v>24</v>
      </c>
      <c r="E404" s="6">
        <v>39343</v>
      </c>
      <c r="F404" s="5" t="s">
        <v>9</v>
      </c>
      <c r="G404" s="10">
        <v>23000</v>
      </c>
      <c r="H404" s="7">
        <v>4</v>
      </c>
      <c r="I404" s="12">
        <f>IF(OR(Table2[[#This Row],[Rating]]=4,Table2[[#This Row],[Rating]]=5), 0.05*Table2[[#This Row],[Salary]],0)</f>
        <v>1150</v>
      </c>
      <c r="J404" s="14">
        <f>VLOOKUP(Table2[[#This Row],[Salary]],'Tax rates'!A$2:C$8, 2) + VLOOKUP(Table2[[#This Row],[Salary]],'Tax rates'!A$2:C$8, 3) * (Table2[[#This Row],[Salary]] - VLOOKUP(Table2[[#This Row],[Salary]],'Tax rates'!A$2:C$8,1))</f>
        <v>2569.5</v>
      </c>
      <c r="K404" s="14">
        <f>Table2[[#This Row],[Salary]]-Table2[[#This Row],[Taxes]]</f>
        <v>20430.5</v>
      </c>
      <c r="L404" s="15">
        <f>Table2[[#This Row],[After tax salary]]+Table2[[#This Row],[Bonus]]</f>
        <v>21580.5</v>
      </c>
    </row>
    <row r="405" spans="1:12" x14ac:dyDescent="0.25">
      <c r="A405" s="5" t="s">
        <v>212</v>
      </c>
      <c r="B405" s="5" t="s">
        <v>51</v>
      </c>
      <c r="C405" s="5" t="s">
        <v>18</v>
      </c>
      <c r="D405" s="5" t="s">
        <v>3</v>
      </c>
      <c r="E405" s="6">
        <v>39348</v>
      </c>
      <c r="F405" s="5" t="s">
        <v>4</v>
      </c>
      <c r="G405" s="10">
        <v>46220</v>
      </c>
      <c r="H405" s="7">
        <v>2</v>
      </c>
      <c r="I405" s="12">
        <f>IF(OR(Table2[[#This Row],[Rating]]=4,Table2[[#This Row],[Rating]]=5), 0.05*Table2[[#This Row],[Salary]],0)</f>
        <v>0</v>
      </c>
      <c r="J405" s="14">
        <f>VLOOKUP(Table2[[#This Row],[Salary]],'Tax rates'!A$2:C$8, 2) + VLOOKUP(Table2[[#This Row],[Salary]],'Tax rates'!A$2:C$8, 3) * (Table2[[#This Row],[Salary]] - VLOOKUP(Table2[[#This Row],[Salary]],'Tax rates'!A$2:C$8,1))</f>
        <v>6107.9</v>
      </c>
      <c r="K405" s="14">
        <f>Table2[[#This Row],[Salary]]-Table2[[#This Row],[Taxes]]</f>
        <v>40112.1</v>
      </c>
      <c r="L405" s="15">
        <f>Table2[[#This Row],[After tax salary]]+Table2[[#This Row],[Bonus]]</f>
        <v>40112.1</v>
      </c>
    </row>
    <row r="406" spans="1:12" x14ac:dyDescent="0.25">
      <c r="A406" s="5" t="s">
        <v>477</v>
      </c>
      <c r="B406" s="5" t="s">
        <v>1</v>
      </c>
      <c r="C406" s="5" t="s">
        <v>18</v>
      </c>
      <c r="D406" s="5" t="s">
        <v>3</v>
      </c>
      <c r="E406" s="6">
        <v>39354</v>
      </c>
      <c r="F406" s="5" t="s">
        <v>11</v>
      </c>
      <c r="G406" s="10">
        <v>67050</v>
      </c>
      <c r="H406" s="7">
        <v>4</v>
      </c>
      <c r="I406" s="12">
        <f>IF(OR(Table2[[#This Row],[Rating]]=4,Table2[[#This Row],[Rating]]=5), 0.05*Table2[[#This Row],[Salary]],0)</f>
        <v>3352.5</v>
      </c>
      <c r="J406" s="14">
        <f>VLOOKUP(Table2[[#This Row],[Salary]],'Tax rates'!A$2:C$8, 2) + VLOOKUP(Table2[[#This Row],[Salary]],'Tax rates'!A$2:C$8, 3) * (Table2[[#This Row],[Salary]] - VLOOKUP(Table2[[#This Row],[Salary]],'Tax rates'!A$2:C$8,1))</f>
        <v>10690.5</v>
      </c>
      <c r="K406" s="14">
        <f>Table2[[#This Row],[Salary]]-Table2[[#This Row],[Taxes]]</f>
        <v>56359.5</v>
      </c>
      <c r="L406" s="15">
        <f>Table2[[#This Row],[After tax salary]]+Table2[[#This Row],[Bonus]]</f>
        <v>59712</v>
      </c>
    </row>
    <row r="407" spans="1:12" x14ac:dyDescent="0.25">
      <c r="A407" s="5" t="s">
        <v>648</v>
      </c>
      <c r="B407" s="5" t="s">
        <v>1</v>
      </c>
      <c r="C407" s="5" t="s">
        <v>30</v>
      </c>
      <c r="D407" s="5" t="s">
        <v>3</v>
      </c>
      <c r="E407" s="6">
        <v>39362</v>
      </c>
      <c r="F407" s="5" t="s">
        <v>25</v>
      </c>
      <c r="G407" s="10">
        <v>42020</v>
      </c>
      <c r="H407" s="7">
        <v>5</v>
      </c>
      <c r="I407" s="12">
        <f>IF(OR(Table2[[#This Row],[Rating]]=4,Table2[[#This Row],[Rating]]=5), 0.05*Table2[[#This Row],[Salary]],0)</f>
        <v>2101</v>
      </c>
      <c r="J407" s="14">
        <f>VLOOKUP(Table2[[#This Row],[Salary]],'Tax rates'!A$2:C$8, 2) + VLOOKUP(Table2[[#This Row],[Salary]],'Tax rates'!A$2:C$8, 3) * (Table2[[#This Row],[Salary]] - VLOOKUP(Table2[[#This Row],[Salary]],'Tax rates'!A$2:C$8,1))</f>
        <v>5183.8999999999996</v>
      </c>
      <c r="K407" s="14">
        <f>Table2[[#This Row],[Salary]]-Table2[[#This Row],[Taxes]]</f>
        <v>36836.1</v>
      </c>
      <c r="L407" s="15">
        <f>Table2[[#This Row],[After tax salary]]+Table2[[#This Row],[Bonus]]</f>
        <v>38937.1</v>
      </c>
    </row>
    <row r="408" spans="1:12" x14ac:dyDescent="0.25">
      <c r="A408" s="5" t="s">
        <v>369</v>
      </c>
      <c r="B408" s="5" t="s">
        <v>13</v>
      </c>
      <c r="C408" s="5" t="s">
        <v>30</v>
      </c>
      <c r="D408" s="5" t="s">
        <v>3</v>
      </c>
      <c r="E408" s="6">
        <v>39372</v>
      </c>
      <c r="F408" s="5" t="s">
        <v>4</v>
      </c>
      <c r="G408" s="10">
        <v>50570</v>
      </c>
      <c r="H408" s="7">
        <v>4</v>
      </c>
      <c r="I408" s="12">
        <f>IF(OR(Table2[[#This Row],[Rating]]=4,Table2[[#This Row],[Rating]]=5), 0.05*Table2[[#This Row],[Salary]],0)</f>
        <v>2528.5</v>
      </c>
      <c r="J408" s="14">
        <f>VLOOKUP(Table2[[#This Row],[Salary]],'Tax rates'!A$2:C$8, 2) + VLOOKUP(Table2[[#This Row],[Salary]],'Tax rates'!A$2:C$8, 3) * (Table2[[#This Row],[Salary]] - VLOOKUP(Table2[[#This Row],[Salary]],'Tax rates'!A$2:C$8,1))</f>
        <v>7064.9</v>
      </c>
      <c r="K408" s="14">
        <f>Table2[[#This Row],[Salary]]-Table2[[#This Row],[Taxes]]</f>
        <v>43505.1</v>
      </c>
      <c r="L408" s="15">
        <f>Table2[[#This Row],[After tax salary]]+Table2[[#This Row],[Bonus]]</f>
        <v>46033.599999999999</v>
      </c>
    </row>
    <row r="409" spans="1:12" x14ac:dyDescent="0.25">
      <c r="A409" s="5" t="s">
        <v>76</v>
      </c>
      <c r="B409" s="5" t="s">
        <v>51</v>
      </c>
      <c r="C409" s="5" t="s">
        <v>18</v>
      </c>
      <c r="D409" s="5" t="s">
        <v>16</v>
      </c>
      <c r="E409" s="6">
        <v>39378</v>
      </c>
      <c r="F409" s="7"/>
      <c r="G409" s="10">
        <v>35460</v>
      </c>
      <c r="H409" s="7">
        <v>3</v>
      </c>
      <c r="I409" s="12">
        <f>IF(OR(Table2[[#This Row],[Rating]]=4,Table2[[#This Row],[Rating]]=5), 0.05*Table2[[#This Row],[Salary]],0)</f>
        <v>0</v>
      </c>
      <c r="J409" s="14">
        <f>VLOOKUP(Table2[[#This Row],[Salary]],'Tax rates'!A$2:C$8, 2) + VLOOKUP(Table2[[#This Row],[Salary]],'Tax rates'!A$2:C$8, 3) * (Table2[[#This Row],[Salary]] - VLOOKUP(Table2[[#This Row],[Salary]],'Tax rates'!A$2:C$8,1))</f>
        <v>4064.7</v>
      </c>
      <c r="K409" s="14">
        <f>Table2[[#This Row],[Salary]]-Table2[[#This Row],[Taxes]]</f>
        <v>31395.3</v>
      </c>
      <c r="L409" s="15">
        <f>Table2[[#This Row],[After tax salary]]+Table2[[#This Row],[Bonus]]</f>
        <v>31395.3</v>
      </c>
    </row>
    <row r="410" spans="1:12" x14ac:dyDescent="0.25">
      <c r="A410" s="5" t="s">
        <v>232</v>
      </c>
      <c r="B410" s="5" t="s">
        <v>29</v>
      </c>
      <c r="C410" s="5" t="s">
        <v>75</v>
      </c>
      <c r="D410" s="5" t="s">
        <v>3</v>
      </c>
      <c r="E410" s="6">
        <v>39379</v>
      </c>
      <c r="F410" s="5" t="s">
        <v>4</v>
      </c>
      <c r="G410" s="10">
        <v>67890</v>
      </c>
      <c r="H410" s="7">
        <v>5</v>
      </c>
      <c r="I410" s="12">
        <f>IF(OR(Table2[[#This Row],[Rating]]=4,Table2[[#This Row],[Rating]]=5), 0.05*Table2[[#This Row],[Salary]],0)</f>
        <v>3394.5</v>
      </c>
      <c r="J410" s="14">
        <f>VLOOKUP(Table2[[#This Row],[Salary]],'Tax rates'!A$2:C$8, 2) + VLOOKUP(Table2[[#This Row],[Salary]],'Tax rates'!A$2:C$8, 3) * (Table2[[#This Row],[Salary]] - VLOOKUP(Table2[[#This Row],[Salary]],'Tax rates'!A$2:C$8,1))</f>
        <v>10875.3</v>
      </c>
      <c r="K410" s="14">
        <f>Table2[[#This Row],[Salary]]-Table2[[#This Row],[Taxes]]</f>
        <v>57014.7</v>
      </c>
      <c r="L410" s="15">
        <f>Table2[[#This Row],[After tax salary]]+Table2[[#This Row],[Bonus]]</f>
        <v>60409.2</v>
      </c>
    </row>
    <row r="411" spans="1:12" x14ac:dyDescent="0.25">
      <c r="A411" s="5" t="s">
        <v>720</v>
      </c>
      <c r="B411" s="5" t="s">
        <v>51</v>
      </c>
      <c r="C411" s="5" t="s">
        <v>166</v>
      </c>
      <c r="D411" s="5" t="s">
        <v>3</v>
      </c>
      <c r="E411" s="6">
        <v>39388</v>
      </c>
      <c r="F411" s="5" t="s">
        <v>4</v>
      </c>
      <c r="G411" s="10">
        <v>71120</v>
      </c>
      <c r="H411" s="7">
        <v>4</v>
      </c>
      <c r="I411" s="12">
        <f>IF(OR(Table2[[#This Row],[Rating]]=4,Table2[[#This Row],[Rating]]=5), 0.05*Table2[[#This Row],[Salary]],0)</f>
        <v>3556</v>
      </c>
      <c r="J411" s="14">
        <f>VLOOKUP(Table2[[#This Row],[Salary]],'Tax rates'!A$2:C$8, 2) + VLOOKUP(Table2[[#This Row],[Salary]],'Tax rates'!A$2:C$8, 3) * (Table2[[#This Row],[Salary]] - VLOOKUP(Table2[[#This Row],[Salary]],'Tax rates'!A$2:C$8,1))</f>
        <v>11585.9</v>
      </c>
      <c r="K411" s="14">
        <f>Table2[[#This Row],[Salary]]-Table2[[#This Row],[Taxes]]</f>
        <v>59534.1</v>
      </c>
      <c r="L411" s="15">
        <f>Table2[[#This Row],[After tax salary]]+Table2[[#This Row],[Bonus]]</f>
        <v>63090.1</v>
      </c>
    </row>
    <row r="412" spans="1:12" x14ac:dyDescent="0.25">
      <c r="A412" s="5" t="s">
        <v>513</v>
      </c>
      <c r="B412" s="5" t="s">
        <v>6</v>
      </c>
      <c r="C412" s="5" t="s">
        <v>18</v>
      </c>
      <c r="D412" s="5" t="s">
        <v>3</v>
      </c>
      <c r="E412" s="6">
        <v>39390</v>
      </c>
      <c r="F412" s="5" t="s">
        <v>21</v>
      </c>
      <c r="G412" s="10">
        <v>71490</v>
      </c>
      <c r="H412" s="7">
        <v>5</v>
      </c>
      <c r="I412" s="12">
        <f>IF(OR(Table2[[#This Row],[Rating]]=4,Table2[[#This Row],[Rating]]=5), 0.05*Table2[[#This Row],[Salary]],0)</f>
        <v>3574.5</v>
      </c>
      <c r="J412" s="14">
        <f>VLOOKUP(Table2[[#This Row],[Salary]],'Tax rates'!A$2:C$8, 2) + VLOOKUP(Table2[[#This Row],[Salary]],'Tax rates'!A$2:C$8, 3) * (Table2[[#This Row],[Salary]] - VLOOKUP(Table2[[#This Row],[Salary]],'Tax rates'!A$2:C$8,1))</f>
        <v>11667.3</v>
      </c>
      <c r="K412" s="14">
        <f>Table2[[#This Row],[Salary]]-Table2[[#This Row],[Taxes]]</f>
        <v>59822.7</v>
      </c>
      <c r="L412" s="15">
        <f>Table2[[#This Row],[After tax salary]]+Table2[[#This Row],[Bonus]]</f>
        <v>63397.2</v>
      </c>
    </row>
    <row r="413" spans="1:12" x14ac:dyDescent="0.25">
      <c r="A413" s="5" t="s">
        <v>770</v>
      </c>
      <c r="B413" s="5" t="s">
        <v>6</v>
      </c>
      <c r="C413" s="5" t="s">
        <v>2</v>
      </c>
      <c r="D413" s="5" t="s">
        <v>3</v>
      </c>
      <c r="E413" s="6">
        <v>39398</v>
      </c>
      <c r="F413" s="5" t="s">
        <v>21</v>
      </c>
      <c r="G413" s="10">
        <v>48490</v>
      </c>
      <c r="H413" s="7">
        <v>2</v>
      </c>
      <c r="I413" s="12">
        <f>IF(OR(Table2[[#This Row],[Rating]]=4,Table2[[#This Row],[Rating]]=5), 0.05*Table2[[#This Row],[Salary]],0)</f>
        <v>0</v>
      </c>
      <c r="J413" s="14">
        <f>VLOOKUP(Table2[[#This Row],[Salary]],'Tax rates'!A$2:C$8, 2) + VLOOKUP(Table2[[#This Row],[Salary]],'Tax rates'!A$2:C$8, 3) * (Table2[[#This Row],[Salary]] - VLOOKUP(Table2[[#This Row],[Salary]],'Tax rates'!A$2:C$8,1))</f>
        <v>6607.3</v>
      </c>
      <c r="K413" s="14">
        <f>Table2[[#This Row],[Salary]]-Table2[[#This Row],[Taxes]]</f>
        <v>41882.699999999997</v>
      </c>
      <c r="L413" s="15">
        <f>Table2[[#This Row],[After tax salary]]+Table2[[#This Row],[Bonus]]</f>
        <v>41882.699999999997</v>
      </c>
    </row>
    <row r="414" spans="1:12" x14ac:dyDescent="0.25">
      <c r="A414" s="5" t="s">
        <v>629</v>
      </c>
      <c r="B414" s="5" t="s">
        <v>1</v>
      </c>
      <c r="C414" s="5" t="s">
        <v>35</v>
      </c>
      <c r="D414" s="5" t="s">
        <v>3</v>
      </c>
      <c r="E414" s="6">
        <v>39399</v>
      </c>
      <c r="F414" s="5" t="s">
        <v>11</v>
      </c>
      <c r="G414" s="10">
        <v>87220</v>
      </c>
      <c r="H414" s="7">
        <v>1</v>
      </c>
      <c r="I414" s="12">
        <f>IF(OR(Table2[[#This Row],[Rating]]=4,Table2[[#This Row],[Rating]]=5), 0.05*Table2[[#This Row],[Salary]],0)</f>
        <v>0</v>
      </c>
      <c r="J414" s="14">
        <f>VLOOKUP(Table2[[#This Row],[Salary]],'Tax rates'!A$2:C$8, 2) + VLOOKUP(Table2[[#This Row],[Salary]],'Tax rates'!A$2:C$8, 3) * (Table2[[#This Row],[Salary]] - VLOOKUP(Table2[[#This Row],[Salary]],'Tax rates'!A$2:C$8,1))</f>
        <v>15222.3</v>
      </c>
      <c r="K414" s="14">
        <f>Table2[[#This Row],[Salary]]-Table2[[#This Row],[Taxes]]</f>
        <v>71997.7</v>
      </c>
      <c r="L414" s="15">
        <f>Table2[[#This Row],[After tax salary]]+Table2[[#This Row],[Bonus]]</f>
        <v>71997.7</v>
      </c>
    </row>
    <row r="415" spans="1:12" x14ac:dyDescent="0.25">
      <c r="A415" s="5" t="s">
        <v>737</v>
      </c>
      <c r="B415" s="5" t="s">
        <v>13</v>
      </c>
      <c r="C415" s="5" t="s">
        <v>18</v>
      </c>
      <c r="D415" s="5" t="s">
        <v>3</v>
      </c>
      <c r="E415" s="6">
        <v>39403</v>
      </c>
      <c r="F415" s="5" t="s">
        <v>25</v>
      </c>
      <c r="G415" s="10">
        <v>38940</v>
      </c>
      <c r="H415" s="7">
        <v>2</v>
      </c>
      <c r="I415" s="12">
        <f>IF(OR(Table2[[#This Row],[Rating]]=4,Table2[[#This Row],[Rating]]=5), 0.05*Table2[[#This Row],[Salary]],0)</f>
        <v>0</v>
      </c>
      <c r="J415" s="14">
        <f>VLOOKUP(Table2[[#This Row],[Salary]],'Tax rates'!A$2:C$8, 2) + VLOOKUP(Table2[[#This Row],[Salary]],'Tax rates'!A$2:C$8, 3) * (Table2[[#This Row],[Salary]] - VLOOKUP(Table2[[#This Row],[Salary]],'Tax rates'!A$2:C$8,1))</f>
        <v>4506.3</v>
      </c>
      <c r="K415" s="14">
        <f>Table2[[#This Row],[Salary]]-Table2[[#This Row],[Taxes]]</f>
        <v>34433.699999999997</v>
      </c>
      <c r="L415" s="15">
        <f>Table2[[#This Row],[After tax salary]]+Table2[[#This Row],[Bonus]]</f>
        <v>34433.699999999997</v>
      </c>
    </row>
    <row r="416" spans="1:12" x14ac:dyDescent="0.25">
      <c r="A416" s="5" t="s">
        <v>433</v>
      </c>
      <c r="B416" s="5" t="s">
        <v>1</v>
      </c>
      <c r="C416" s="5" t="s">
        <v>23</v>
      </c>
      <c r="D416" s="5" t="s">
        <v>3</v>
      </c>
      <c r="E416" s="6">
        <v>39404</v>
      </c>
      <c r="F416" s="5" t="s">
        <v>21</v>
      </c>
      <c r="G416" s="10">
        <v>50990</v>
      </c>
      <c r="H416" s="7">
        <v>4</v>
      </c>
      <c r="I416" s="12">
        <f>IF(OR(Table2[[#This Row],[Rating]]=4,Table2[[#This Row],[Rating]]=5), 0.05*Table2[[#This Row],[Salary]],0)</f>
        <v>2549.5</v>
      </c>
      <c r="J416" s="14">
        <f>VLOOKUP(Table2[[#This Row],[Salary]],'Tax rates'!A$2:C$8, 2) + VLOOKUP(Table2[[#This Row],[Salary]],'Tax rates'!A$2:C$8, 3) * (Table2[[#This Row],[Salary]] - VLOOKUP(Table2[[#This Row],[Salary]],'Tax rates'!A$2:C$8,1))</f>
        <v>7157.3</v>
      </c>
      <c r="K416" s="14">
        <f>Table2[[#This Row],[Salary]]-Table2[[#This Row],[Taxes]]</f>
        <v>43832.7</v>
      </c>
      <c r="L416" s="15">
        <f>Table2[[#This Row],[After tax salary]]+Table2[[#This Row],[Bonus]]</f>
        <v>46382.2</v>
      </c>
    </row>
    <row r="417" spans="1:12" x14ac:dyDescent="0.25">
      <c r="A417" s="5" t="s">
        <v>168</v>
      </c>
      <c r="B417" s="5" t="s">
        <v>1</v>
      </c>
      <c r="C417" s="5" t="s">
        <v>18</v>
      </c>
      <c r="D417" s="5" t="s">
        <v>3</v>
      </c>
      <c r="E417" s="6">
        <v>39407</v>
      </c>
      <c r="F417" s="5" t="s">
        <v>11</v>
      </c>
      <c r="G417" s="10">
        <v>73072</v>
      </c>
      <c r="H417" s="7">
        <v>5</v>
      </c>
      <c r="I417" s="12">
        <f>IF(OR(Table2[[#This Row],[Rating]]=4,Table2[[#This Row],[Rating]]=5), 0.05*Table2[[#This Row],[Salary]],0)</f>
        <v>3653.6000000000004</v>
      </c>
      <c r="J417" s="14">
        <f>VLOOKUP(Table2[[#This Row],[Salary]],'Tax rates'!A$2:C$8, 2) + VLOOKUP(Table2[[#This Row],[Salary]],'Tax rates'!A$2:C$8, 3) * (Table2[[#This Row],[Salary]] - VLOOKUP(Table2[[#This Row],[Salary]],'Tax rates'!A$2:C$8,1))</f>
        <v>12015.34</v>
      </c>
      <c r="K417" s="14">
        <f>Table2[[#This Row],[Salary]]-Table2[[#This Row],[Taxes]]</f>
        <v>61056.66</v>
      </c>
      <c r="L417" s="15">
        <f>Table2[[#This Row],[After tax salary]]+Table2[[#This Row],[Bonus]]</f>
        <v>64710.26</v>
      </c>
    </row>
    <row r="418" spans="1:12" x14ac:dyDescent="0.25">
      <c r="A418" s="5" t="s">
        <v>729</v>
      </c>
      <c r="B418" s="5" t="s">
        <v>1</v>
      </c>
      <c r="C418" s="5" t="s">
        <v>73</v>
      </c>
      <c r="D418" s="5" t="s">
        <v>3</v>
      </c>
      <c r="E418" s="6">
        <v>39414</v>
      </c>
      <c r="F418" s="5" t="s">
        <v>4</v>
      </c>
      <c r="G418" s="10">
        <v>73440</v>
      </c>
      <c r="H418" s="7">
        <v>1</v>
      </c>
      <c r="I418" s="12">
        <f>IF(OR(Table2[[#This Row],[Rating]]=4,Table2[[#This Row],[Rating]]=5), 0.05*Table2[[#This Row],[Salary]],0)</f>
        <v>0</v>
      </c>
      <c r="J418" s="14">
        <f>VLOOKUP(Table2[[#This Row],[Salary]],'Tax rates'!A$2:C$8, 2) + VLOOKUP(Table2[[#This Row],[Salary]],'Tax rates'!A$2:C$8, 3) * (Table2[[#This Row],[Salary]] - VLOOKUP(Table2[[#This Row],[Salary]],'Tax rates'!A$2:C$8,1))</f>
        <v>12096.3</v>
      </c>
      <c r="K418" s="14">
        <f>Table2[[#This Row],[Salary]]-Table2[[#This Row],[Taxes]]</f>
        <v>61343.7</v>
      </c>
      <c r="L418" s="15">
        <f>Table2[[#This Row],[After tax salary]]+Table2[[#This Row],[Bonus]]</f>
        <v>61343.7</v>
      </c>
    </row>
    <row r="419" spans="1:12" x14ac:dyDescent="0.25">
      <c r="A419" s="5" t="s">
        <v>89</v>
      </c>
      <c r="B419" s="5" t="s">
        <v>1</v>
      </c>
      <c r="C419" s="5" t="s">
        <v>73</v>
      </c>
      <c r="D419" s="5" t="s">
        <v>24</v>
      </c>
      <c r="E419" s="6">
        <v>39417</v>
      </c>
      <c r="F419" s="5" t="s">
        <v>21</v>
      </c>
      <c r="G419" s="10">
        <v>46095</v>
      </c>
      <c r="H419" s="7">
        <v>3</v>
      </c>
      <c r="I419" s="12">
        <f>IF(OR(Table2[[#This Row],[Rating]]=4,Table2[[#This Row],[Rating]]=5), 0.05*Table2[[#This Row],[Salary]],0)</f>
        <v>0</v>
      </c>
      <c r="J419" s="14">
        <f>VLOOKUP(Table2[[#This Row],[Salary]],'Tax rates'!A$2:C$8, 2) + VLOOKUP(Table2[[#This Row],[Salary]],'Tax rates'!A$2:C$8, 3) * (Table2[[#This Row],[Salary]] - VLOOKUP(Table2[[#This Row],[Salary]],'Tax rates'!A$2:C$8,1))</f>
        <v>6080.4</v>
      </c>
      <c r="K419" s="14">
        <f>Table2[[#This Row],[Salary]]-Table2[[#This Row],[Taxes]]</f>
        <v>40014.6</v>
      </c>
      <c r="L419" s="15">
        <f>Table2[[#This Row],[After tax salary]]+Table2[[#This Row],[Bonus]]</f>
        <v>40014.6</v>
      </c>
    </row>
    <row r="420" spans="1:12" x14ac:dyDescent="0.25">
      <c r="A420" s="5" t="s">
        <v>344</v>
      </c>
      <c r="B420" s="5" t="s">
        <v>29</v>
      </c>
      <c r="C420" s="5" t="s">
        <v>2</v>
      </c>
      <c r="D420" s="5" t="s">
        <v>32</v>
      </c>
      <c r="E420" s="6">
        <v>39417</v>
      </c>
      <c r="F420" s="7"/>
      <c r="G420" s="10">
        <v>23692</v>
      </c>
      <c r="H420" s="7">
        <v>4</v>
      </c>
      <c r="I420" s="12">
        <f>IF(OR(Table2[[#This Row],[Rating]]=4,Table2[[#This Row],[Rating]]=5), 0.05*Table2[[#This Row],[Salary]],0)</f>
        <v>1184.6000000000001</v>
      </c>
      <c r="J420" s="14">
        <f>VLOOKUP(Table2[[#This Row],[Salary]],'Tax rates'!A$2:C$8, 2) + VLOOKUP(Table2[[#This Row],[Salary]],'Tax rates'!A$2:C$8, 3) * (Table2[[#This Row],[Salary]] - VLOOKUP(Table2[[#This Row],[Salary]],'Tax rates'!A$2:C$8,1))</f>
        <v>2652.54</v>
      </c>
      <c r="K420" s="14">
        <f>Table2[[#This Row],[Salary]]-Table2[[#This Row],[Taxes]]</f>
        <v>21039.46</v>
      </c>
      <c r="L420" s="15">
        <f>Table2[[#This Row],[After tax salary]]+Table2[[#This Row],[Bonus]]</f>
        <v>22224.059999999998</v>
      </c>
    </row>
    <row r="421" spans="1:12" x14ac:dyDescent="0.25">
      <c r="A421" s="5" t="s">
        <v>691</v>
      </c>
      <c r="B421" s="5" t="s">
        <v>1</v>
      </c>
      <c r="C421" s="5" t="s">
        <v>35</v>
      </c>
      <c r="D421" s="5" t="s">
        <v>3</v>
      </c>
      <c r="E421" s="6">
        <v>39435</v>
      </c>
      <c r="F421" s="5" t="s">
        <v>21</v>
      </c>
      <c r="G421" s="10">
        <v>64780</v>
      </c>
      <c r="H421" s="7">
        <v>5</v>
      </c>
      <c r="I421" s="12">
        <f>IF(OR(Table2[[#This Row],[Rating]]=4,Table2[[#This Row],[Rating]]=5), 0.05*Table2[[#This Row],[Salary]],0)</f>
        <v>3239</v>
      </c>
      <c r="J421" s="14">
        <f>VLOOKUP(Table2[[#This Row],[Salary]],'Tax rates'!A$2:C$8, 2) + VLOOKUP(Table2[[#This Row],[Salary]],'Tax rates'!A$2:C$8, 3) * (Table2[[#This Row],[Salary]] - VLOOKUP(Table2[[#This Row],[Salary]],'Tax rates'!A$2:C$8,1))</f>
        <v>10191.1</v>
      </c>
      <c r="K421" s="14">
        <f>Table2[[#This Row],[Salary]]-Table2[[#This Row],[Taxes]]</f>
        <v>54588.9</v>
      </c>
      <c r="L421" s="15">
        <f>Table2[[#This Row],[After tax salary]]+Table2[[#This Row],[Bonus]]</f>
        <v>57827.9</v>
      </c>
    </row>
    <row r="422" spans="1:12" x14ac:dyDescent="0.25">
      <c r="A422" s="5" t="s">
        <v>329</v>
      </c>
      <c r="B422" s="5" t="s">
        <v>51</v>
      </c>
      <c r="C422" s="5" t="s">
        <v>35</v>
      </c>
      <c r="D422" s="5" t="s">
        <v>3</v>
      </c>
      <c r="E422" s="6">
        <v>39441</v>
      </c>
      <c r="F422" s="5" t="s">
        <v>25</v>
      </c>
      <c r="G422" s="10">
        <v>68860</v>
      </c>
      <c r="H422" s="7">
        <v>2</v>
      </c>
      <c r="I422" s="12">
        <f>IF(OR(Table2[[#This Row],[Rating]]=4,Table2[[#This Row],[Rating]]=5), 0.05*Table2[[#This Row],[Salary]],0)</f>
        <v>0</v>
      </c>
      <c r="J422" s="14">
        <f>VLOOKUP(Table2[[#This Row],[Salary]],'Tax rates'!A$2:C$8, 2) + VLOOKUP(Table2[[#This Row],[Salary]],'Tax rates'!A$2:C$8, 3) * (Table2[[#This Row],[Salary]] - VLOOKUP(Table2[[#This Row],[Salary]],'Tax rates'!A$2:C$8,1))</f>
        <v>11088.7</v>
      </c>
      <c r="K422" s="14">
        <f>Table2[[#This Row],[Salary]]-Table2[[#This Row],[Taxes]]</f>
        <v>57771.3</v>
      </c>
      <c r="L422" s="15">
        <f>Table2[[#This Row],[After tax salary]]+Table2[[#This Row],[Bonus]]</f>
        <v>57771.3</v>
      </c>
    </row>
    <row r="423" spans="1:12" x14ac:dyDescent="0.25">
      <c r="A423" s="5" t="s">
        <v>746</v>
      </c>
      <c r="B423" s="5" t="s">
        <v>1</v>
      </c>
      <c r="C423" s="5" t="s">
        <v>30</v>
      </c>
      <c r="D423" s="5" t="s">
        <v>3</v>
      </c>
      <c r="E423" s="6">
        <v>39446</v>
      </c>
      <c r="F423" s="5" t="s">
        <v>4</v>
      </c>
      <c r="G423" s="10">
        <v>44650</v>
      </c>
      <c r="H423" s="7">
        <v>1</v>
      </c>
      <c r="I423" s="12">
        <f>IF(OR(Table2[[#This Row],[Rating]]=4,Table2[[#This Row],[Rating]]=5), 0.05*Table2[[#This Row],[Salary]],0)</f>
        <v>0</v>
      </c>
      <c r="J423" s="14">
        <f>VLOOKUP(Table2[[#This Row],[Salary]],'Tax rates'!A$2:C$8, 2) + VLOOKUP(Table2[[#This Row],[Salary]],'Tax rates'!A$2:C$8, 3) * (Table2[[#This Row],[Salary]] - VLOOKUP(Table2[[#This Row],[Salary]],'Tax rates'!A$2:C$8,1))</f>
        <v>5762.5</v>
      </c>
      <c r="K423" s="14">
        <f>Table2[[#This Row],[Salary]]-Table2[[#This Row],[Taxes]]</f>
        <v>38887.5</v>
      </c>
      <c r="L423" s="15">
        <f>Table2[[#This Row],[After tax salary]]+Table2[[#This Row],[Bonus]]</f>
        <v>38887.5</v>
      </c>
    </row>
    <row r="424" spans="1:12" x14ac:dyDescent="0.25">
      <c r="A424" s="5" t="s">
        <v>741</v>
      </c>
      <c r="B424" s="5" t="s">
        <v>29</v>
      </c>
      <c r="C424" s="5" t="s">
        <v>197</v>
      </c>
      <c r="D424" s="5" t="s">
        <v>3</v>
      </c>
      <c r="E424" s="6">
        <v>39447</v>
      </c>
      <c r="F424" s="5" t="s">
        <v>21</v>
      </c>
      <c r="G424" s="10">
        <v>72830</v>
      </c>
      <c r="H424" s="7">
        <v>2</v>
      </c>
      <c r="I424" s="12">
        <f>IF(OR(Table2[[#This Row],[Rating]]=4,Table2[[#This Row],[Rating]]=5), 0.05*Table2[[#This Row],[Salary]],0)</f>
        <v>0</v>
      </c>
      <c r="J424" s="14">
        <f>VLOOKUP(Table2[[#This Row],[Salary]],'Tax rates'!A$2:C$8, 2) + VLOOKUP(Table2[[#This Row],[Salary]],'Tax rates'!A$2:C$8, 3) * (Table2[[#This Row],[Salary]] - VLOOKUP(Table2[[#This Row],[Salary]],'Tax rates'!A$2:C$8,1))</f>
        <v>11962.1</v>
      </c>
      <c r="K424" s="14">
        <f>Table2[[#This Row],[Salary]]-Table2[[#This Row],[Taxes]]</f>
        <v>60867.9</v>
      </c>
      <c r="L424" s="15">
        <f>Table2[[#This Row],[After tax salary]]+Table2[[#This Row],[Bonus]]</f>
        <v>60867.9</v>
      </c>
    </row>
    <row r="425" spans="1:12" x14ac:dyDescent="0.25">
      <c r="A425" s="5" t="s">
        <v>382</v>
      </c>
      <c r="B425" s="5" t="s">
        <v>51</v>
      </c>
      <c r="C425" s="5" t="s">
        <v>2</v>
      </c>
      <c r="D425" s="5" t="s">
        <v>3</v>
      </c>
      <c r="E425" s="6">
        <v>39448</v>
      </c>
      <c r="F425" s="5" t="s">
        <v>11</v>
      </c>
      <c r="G425" s="10">
        <v>83710</v>
      </c>
      <c r="H425" s="7">
        <v>3</v>
      </c>
      <c r="I425" s="12">
        <f>IF(OR(Table2[[#This Row],[Rating]]=4,Table2[[#This Row],[Rating]]=5), 0.05*Table2[[#This Row],[Salary]],0)</f>
        <v>0</v>
      </c>
      <c r="J425" s="14">
        <f>VLOOKUP(Table2[[#This Row],[Salary]],'Tax rates'!A$2:C$8, 2) + VLOOKUP(Table2[[#This Row],[Salary]],'Tax rates'!A$2:C$8, 3) * (Table2[[#This Row],[Salary]] - VLOOKUP(Table2[[#This Row],[Salary]],'Tax rates'!A$2:C$8,1))</f>
        <v>14379.9</v>
      </c>
      <c r="K425" s="14">
        <f>Table2[[#This Row],[Salary]]-Table2[[#This Row],[Taxes]]</f>
        <v>69330.100000000006</v>
      </c>
      <c r="L425" s="15">
        <f>Table2[[#This Row],[After tax salary]]+Table2[[#This Row],[Bonus]]</f>
        <v>69330.100000000006</v>
      </c>
    </row>
    <row r="426" spans="1:12" x14ac:dyDescent="0.25">
      <c r="A426" s="5" t="s">
        <v>181</v>
      </c>
      <c r="B426" s="5" t="s">
        <v>29</v>
      </c>
      <c r="C426" s="5" t="s">
        <v>18</v>
      </c>
      <c r="D426" s="5" t="s">
        <v>3</v>
      </c>
      <c r="E426" s="6">
        <v>39455</v>
      </c>
      <c r="F426" s="5" t="s">
        <v>11</v>
      </c>
      <c r="G426" s="10">
        <v>59420</v>
      </c>
      <c r="H426" s="7">
        <v>4</v>
      </c>
      <c r="I426" s="12">
        <f>IF(OR(Table2[[#This Row],[Rating]]=4,Table2[[#This Row],[Rating]]=5), 0.05*Table2[[#This Row],[Salary]],0)</f>
        <v>2971</v>
      </c>
      <c r="J426" s="14">
        <f>VLOOKUP(Table2[[#This Row],[Salary]],'Tax rates'!A$2:C$8, 2) + VLOOKUP(Table2[[#This Row],[Salary]],'Tax rates'!A$2:C$8, 3) * (Table2[[#This Row],[Salary]] - VLOOKUP(Table2[[#This Row],[Salary]],'Tax rates'!A$2:C$8,1))</f>
        <v>9011.9</v>
      </c>
      <c r="K426" s="14">
        <f>Table2[[#This Row],[Salary]]-Table2[[#This Row],[Taxes]]</f>
        <v>50408.1</v>
      </c>
      <c r="L426" s="15">
        <f>Table2[[#This Row],[After tax salary]]+Table2[[#This Row],[Bonus]]</f>
        <v>53379.1</v>
      </c>
    </row>
    <row r="427" spans="1:12" x14ac:dyDescent="0.25">
      <c r="A427" s="5" t="s">
        <v>81</v>
      </c>
      <c r="B427" s="5" t="s">
        <v>1</v>
      </c>
      <c r="C427" s="5" t="s">
        <v>59</v>
      </c>
      <c r="D427" s="5" t="s">
        <v>24</v>
      </c>
      <c r="E427" s="6">
        <v>39457</v>
      </c>
      <c r="F427" s="5" t="s">
        <v>4</v>
      </c>
      <c r="G427" s="10">
        <v>31255</v>
      </c>
      <c r="H427" s="7">
        <v>5</v>
      </c>
      <c r="I427" s="12">
        <f>IF(OR(Table2[[#This Row],[Rating]]=4,Table2[[#This Row],[Rating]]=5), 0.05*Table2[[#This Row],[Salary]],0)</f>
        <v>1562.75</v>
      </c>
      <c r="J427" s="14">
        <f>VLOOKUP(Table2[[#This Row],[Salary]],'Tax rates'!A$2:C$8, 2) + VLOOKUP(Table2[[#This Row],[Salary]],'Tax rates'!A$2:C$8, 3) * (Table2[[#This Row],[Salary]] - VLOOKUP(Table2[[#This Row],[Salary]],'Tax rates'!A$2:C$8,1))</f>
        <v>3560.1</v>
      </c>
      <c r="K427" s="14">
        <f>Table2[[#This Row],[Salary]]-Table2[[#This Row],[Taxes]]</f>
        <v>27694.9</v>
      </c>
      <c r="L427" s="15">
        <f>Table2[[#This Row],[After tax salary]]+Table2[[#This Row],[Bonus]]</f>
        <v>29257.65</v>
      </c>
    </row>
    <row r="428" spans="1:12" x14ac:dyDescent="0.25">
      <c r="A428" s="5" t="s">
        <v>249</v>
      </c>
      <c r="B428" s="5" t="s">
        <v>6</v>
      </c>
      <c r="C428" s="5" t="s">
        <v>2</v>
      </c>
      <c r="D428" s="5" t="s">
        <v>32</v>
      </c>
      <c r="E428" s="6">
        <v>39458</v>
      </c>
      <c r="F428" s="7"/>
      <c r="G428" s="10">
        <v>36788</v>
      </c>
      <c r="H428" s="7">
        <v>4</v>
      </c>
      <c r="I428" s="12">
        <f>IF(OR(Table2[[#This Row],[Rating]]=4,Table2[[#This Row],[Rating]]=5), 0.05*Table2[[#This Row],[Salary]],0)</f>
        <v>1839.4</v>
      </c>
      <c r="J428" s="14">
        <f>VLOOKUP(Table2[[#This Row],[Salary]],'Tax rates'!A$2:C$8, 2) + VLOOKUP(Table2[[#This Row],[Salary]],'Tax rates'!A$2:C$8, 3) * (Table2[[#This Row],[Salary]] - VLOOKUP(Table2[[#This Row],[Salary]],'Tax rates'!A$2:C$8,1))</f>
        <v>4224.0599999999995</v>
      </c>
      <c r="K428" s="14">
        <f>Table2[[#This Row],[Salary]]-Table2[[#This Row],[Taxes]]</f>
        <v>32563.940000000002</v>
      </c>
      <c r="L428" s="15">
        <f>Table2[[#This Row],[After tax salary]]+Table2[[#This Row],[Bonus]]</f>
        <v>34403.340000000004</v>
      </c>
    </row>
    <row r="429" spans="1:12" x14ac:dyDescent="0.25">
      <c r="A429" s="5" t="s">
        <v>719</v>
      </c>
      <c r="B429" s="5" t="s">
        <v>1</v>
      </c>
      <c r="C429" s="5" t="s">
        <v>18</v>
      </c>
      <c r="D429" s="5" t="s">
        <v>3</v>
      </c>
      <c r="E429" s="6">
        <v>39472</v>
      </c>
      <c r="F429" s="5" t="s">
        <v>4</v>
      </c>
      <c r="G429" s="10">
        <v>87760</v>
      </c>
      <c r="H429" s="7">
        <v>1</v>
      </c>
      <c r="I429" s="12">
        <f>IF(OR(Table2[[#This Row],[Rating]]=4,Table2[[#This Row],[Rating]]=5), 0.05*Table2[[#This Row],[Salary]],0)</f>
        <v>0</v>
      </c>
      <c r="J429" s="14">
        <f>VLOOKUP(Table2[[#This Row],[Salary]],'Tax rates'!A$2:C$8, 2) + VLOOKUP(Table2[[#This Row],[Salary]],'Tax rates'!A$2:C$8, 3) * (Table2[[#This Row],[Salary]] - VLOOKUP(Table2[[#This Row],[Salary]],'Tax rates'!A$2:C$8,1))</f>
        <v>15351.9</v>
      </c>
      <c r="K429" s="14">
        <f>Table2[[#This Row],[Salary]]-Table2[[#This Row],[Taxes]]</f>
        <v>72408.100000000006</v>
      </c>
      <c r="L429" s="15">
        <f>Table2[[#This Row],[After tax salary]]+Table2[[#This Row],[Bonus]]</f>
        <v>72408.100000000006</v>
      </c>
    </row>
    <row r="430" spans="1:12" x14ac:dyDescent="0.25">
      <c r="A430" s="5" t="s">
        <v>173</v>
      </c>
      <c r="B430" s="5" t="s">
        <v>51</v>
      </c>
      <c r="C430" s="5" t="s">
        <v>18</v>
      </c>
      <c r="D430" s="5" t="s">
        <v>3</v>
      </c>
      <c r="E430" s="6">
        <v>39472</v>
      </c>
      <c r="F430" s="5" t="s">
        <v>4</v>
      </c>
      <c r="G430" s="10">
        <v>41060</v>
      </c>
      <c r="H430" s="7">
        <v>3</v>
      </c>
      <c r="I430" s="12">
        <f>IF(OR(Table2[[#This Row],[Rating]]=4,Table2[[#This Row],[Rating]]=5), 0.05*Table2[[#This Row],[Salary]],0)</f>
        <v>0</v>
      </c>
      <c r="J430" s="14">
        <f>VLOOKUP(Table2[[#This Row],[Salary]],'Tax rates'!A$2:C$8, 2) + VLOOKUP(Table2[[#This Row],[Salary]],'Tax rates'!A$2:C$8, 3) * (Table2[[#This Row],[Salary]] - VLOOKUP(Table2[[#This Row],[Salary]],'Tax rates'!A$2:C$8,1))</f>
        <v>4972.7</v>
      </c>
      <c r="K430" s="14">
        <f>Table2[[#This Row],[Salary]]-Table2[[#This Row],[Taxes]]</f>
        <v>36087.300000000003</v>
      </c>
      <c r="L430" s="15">
        <f>Table2[[#This Row],[After tax salary]]+Table2[[#This Row],[Bonus]]</f>
        <v>36087.300000000003</v>
      </c>
    </row>
    <row r="431" spans="1:12" x14ac:dyDescent="0.25">
      <c r="A431" s="5" t="s">
        <v>180</v>
      </c>
      <c r="B431" s="5" t="s">
        <v>6</v>
      </c>
      <c r="C431" s="5" t="s">
        <v>166</v>
      </c>
      <c r="D431" s="5" t="s">
        <v>3</v>
      </c>
      <c r="E431" s="6">
        <v>39492</v>
      </c>
      <c r="F431" s="5" t="s">
        <v>4</v>
      </c>
      <c r="G431" s="10">
        <v>36630</v>
      </c>
      <c r="H431" s="7">
        <v>4</v>
      </c>
      <c r="I431" s="12">
        <f>IF(OR(Table2[[#This Row],[Rating]]=4,Table2[[#This Row],[Rating]]=5), 0.05*Table2[[#This Row],[Salary]],0)</f>
        <v>1831.5</v>
      </c>
      <c r="J431" s="14">
        <f>VLOOKUP(Table2[[#This Row],[Salary]],'Tax rates'!A$2:C$8, 2) + VLOOKUP(Table2[[#This Row],[Salary]],'Tax rates'!A$2:C$8, 3) * (Table2[[#This Row],[Salary]] - VLOOKUP(Table2[[#This Row],[Salary]],'Tax rates'!A$2:C$8,1))</f>
        <v>4205.1000000000004</v>
      </c>
      <c r="K431" s="14">
        <f>Table2[[#This Row],[Salary]]-Table2[[#This Row],[Taxes]]</f>
        <v>32424.9</v>
      </c>
      <c r="L431" s="15">
        <f>Table2[[#This Row],[After tax salary]]+Table2[[#This Row],[Bonus]]</f>
        <v>34256.400000000001</v>
      </c>
    </row>
    <row r="432" spans="1:12" x14ac:dyDescent="0.25">
      <c r="A432" s="5" t="s">
        <v>702</v>
      </c>
      <c r="B432" s="5" t="s">
        <v>6</v>
      </c>
      <c r="C432" s="5" t="s">
        <v>92</v>
      </c>
      <c r="D432" s="5" t="s">
        <v>24</v>
      </c>
      <c r="E432" s="6">
        <v>39515</v>
      </c>
      <c r="F432" s="5" t="s">
        <v>21</v>
      </c>
      <c r="G432" s="10">
        <v>89780</v>
      </c>
      <c r="H432" s="7">
        <v>4</v>
      </c>
      <c r="I432" s="12">
        <f>IF(OR(Table2[[#This Row],[Rating]]=4,Table2[[#This Row],[Rating]]=5), 0.05*Table2[[#This Row],[Salary]],0)</f>
        <v>4489</v>
      </c>
      <c r="J432" s="14">
        <f>VLOOKUP(Table2[[#This Row],[Salary]],'Tax rates'!A$2:C$8, 2) + VLOOKUP(Table2[[#This Row],[Salary]],'Tax rates'!A$2:C$8, 3) * (Table2[[#This Row],[Salary]] - VLOOKUP(Table2[[#This Row],[Salary]],'Tax rates'!A$2:C$8,1))</f>
        <v>15836.7</v>
      </c>
      <c r="K432" s="14">
        <f>Table2[[#This Row],[Salary]]-Table2[[#This Row],[Taxes]]</f>
        <v>73943.3</v>
      </c>
      <c r="L432" s="15">
        <f>Table2[[#This Row],[After tax salary]]+Table2[[#This Row],[Bonus]]</f>
        <v>78432.3</v>
      </c>
    </row>
    <row r="433" spans="1:12" x14ac:dyDescent="0.25">
      <c r="A433" s="5" t="s">
        <v>255</v>
      </c>
      <c r="B433" s="5" t="s">
        <v>6</v>
      </c>
      <c r="C433" s="5" t="s">
        <v>18</v>
      </c>
      <c r="D433" s="5" t="s">
        <v>3</v>
      </c>
      <c r="E433" s="6">
        <v>39518</v>
      </c>
      <c r="F433" s="5" t="s">
        <v>11</v>
      </c>
      <c r="G433" s="10">
        <v>24710</v>
      </c>
      <c r="H433" s="7">
        <v>2</v>
      </c>
      <c r="I433" s="12">
        <f>IF(OR(Table2[[#This Row],[Rating]]=4,Table2[[#This Row],[Rating]]=5), 0.05*Table2[[#This Row],[Salary]],0)</f>
        <v>0</v>
      </c>
      <c r="J433" s="14">
        <f>VLOOKUP(Table2[[#This Row],[Salary]],'Tax rates'!A$2:C$8, 2) + VLOOKUP(Table2[[#This Row],[Salary]],'Tax rates'!A$2:C$8, 3) * (Table2[[#This Row],[Salary]] - VLOOKUP(Table2[[#This Row],[Salary]],'Tax rates'!A$2:C$8,1))</f>
        <v>2774.7</v>
      </c>
      <c r="K433" s="14">
        <f>Table2[[#This Row],[Salary]]-Table2[[#This Row],[Taxes]]</f>
        <v>21935.3</v>
      </c>
      <c r="L433" s="15">
        <f>Table2[[#This Row],[After tax salary]]+Table2[[#This Row],[Bonus]]</f>
        <v>21935.3</v>
      </c>
    </row>
    <row r="434" spans="1:12" x14ac:dyDescent="0.25">
      <c r="A434" s="5" t="s">
        <v>736</v>
      </c>
      <c r="B434" s="5" t="s">
        <v>29</v>
      </c>
      <c r="C434" s="5" t="s">
        <v>30</v>
      </c>
      <c r="D434" s="5" t="s">
        <v>3</v>
      </c>
      <c r="E434" s="6">
        <v>39519</v>
      </c>
      <c r="F434" s="5" t="s">
        <v>9</v>
      </c>
      <c r="G434" s="10">
        <v>61330</v>
      </c>
      <c r="H434" s="7">
        <v>2</v>
      </c>
      <c r="I434" s="12">
        <f>IF(OR(Table2[[#This Row],[Rating]]=4,Table2[[#This Row],[Rating]]=5), 0.05*Table2[[#This Row],[Salary]],0)</f>
        <v>0</v>
      </c>
      <c r="J434" s="14">
        <f>VLOOKUP(Table2[[#This Row],[Salary]],'Tax rates'!A$2:C$8, 2) + VLOOKUP(Table2[[#This Row],[Salary]],'Tax rates'!A$2:C$8, 3) * (Table2[[#This Row],[Salary]] - VLOOKUP(Table2[[#This Row],[Salary]],'Tax rates'!A$2:C$8,1))</f>
        <v>9432.1</v>
      </c>
      <c r="K434" s="14">
        <f>Table2[[#This Row],[Salary]]-Table2[[#This Row],[Taxes]]</f>
        <v>51897.9</v>
      </c>
      <c r="L434" s="15">
        <f>Table2[[#This Row],[After tax salary]]+Table2[[#This Row],[Bonus]]</f>
        <v>51897.9</v>
      </c>
    </row>
    <row r="435" spans="1:12" x14ac:dyDescent="0.25">
      <c r="A435" s="5" t="s">
        <v>679</v>
      </c>
      <c r="B435" s="5" t="s">
        <v>13</v>
      </c>
      <c r="C435" s="5" t="s">
        <v>57</v>
      </c>
      <c r="D435" s="5" t="s">
        <v>16</v>
      </c>
      <c r="E435" s="6">
        <v>39522</v>
      </c>
      <c r="F435" s="7"/>
      <c r="G435" s="10">
        <v>71700</v>
      </c>
      <c r="H435" s="7">
        <v>2</v>
      </c>
      <c r="I435" s="12">
        <f>IF(OR(Table2[[#This Row],[Rating]]=4,Table2[[#This Row],[Rating]]=5), 0.05*Table2[[#This Row],[Salary]],0)</f>
        <v>0</v>
      </c>
      <c r="J435" s="14">
        <f>VLOOKUP(Table2[[#This Row],[Salary]],'Tax rates'!A$2:C$8, 2) + VLOOKUP(Table2[[#This Row],[Salary]],'Tax rates'!A$2:C$8, 3) * (Table2[[#This Row],[Salary]] - VLOOKUP(Table2[[#This Row],[Salary]],'Tax rates'!A$2:C$8,1))</f>
        <v>11713.5</v>
      </c>
      <c r="K435" s="14">
        <f>Table2[[#This Row],[Salary]]-Table2[[#This Row],[Taxes]]</f>
        <v>59986.5</v>
      </c>
      <c r="L435" s="15">
        <f>Table2[[#This Row],[After tax salary]]+Table2[[#This Row],[Bonus]]</f>
        <v>59986.5</v>
      </c>
    </row>
    <row r="436" spans="1:12" x14ac:dyDescent="0.25">
      <c r="A436" s="5" t="s">
        <v>541</v>
      </c>
      <c r="B436" s="5" t="s">
        <v>6</v>
      </c>
      <c r="C436" s="5" t="s">
        <v>166</v>
      </c>
      <c r="D436" s="5" t="s">
        <v>16</v>
      </c>
      <c r="E436" s="6">
        <v>39529</v>
      </c>
      <c r="F436" s="7"/>
      <c r="G436" s="10">
        <v>35620</v>
      </c>
      <c r="H436" s="7">
        <v>4</v>
      </c>
      <c r="I436" s="12">
        <f>IF(OR(Table2[[#This Row],[Rating]]=4,Table2[[#This Row],[Rating]]=5), 0.05*Table2[[#This Row],[Salary]],0)</f>
        <v>1781</v>
      </c>
      <c r="J436" s="14">
        <f>VLOOKUP(Table2[[#This Row],[Salary]],'Tax rates'!A$2:C$8, 2) + VLOOKUP(Table2[[#This Row],[Salary]],'Tax rates'!A$2:C$8, 3) * (Table2[[#This Row],[Salary]] - VLOOKUP(Table2[[#This Row],[Salary]],'Tax rates'!A$2:C$8,1))</f>
        <v>4083.9</v>
      </c>
      <c r="K436" s="14">
        <f>Table2[[#This Row],[Salary]]-Table2[[#This Row],[Taxes]]</f>
        <v>31536.1</v>
      </c>
      <c r="L436" s="15">
        <f>Table2[[#This Row],[After tax salary]]+Table2[[#This Row],[Bonus]]</f>
        <v>33317.1</v>
      </c>
    </row>
    <row r="437" spans="1:12" x14ac:dyDescent="0.25">
      <c r="A437" s="5" t="s">
        <v>339</v>
      </c>
      <c r="B437" s="5" t="s">
        <v>51</v>
      </c>
      <c r="C437" s="5" t="s">
        <v>35</v>
      </c>
      <c r="D437" s="5" t="s">
        <v>16</v>
      </c>
      <c r="E437" s="6">
        <v>39534</v>
      </c>
      <c r="F437" s="7"/>
      <c r="G437" s="10">
        <v>32880</v>
      </c>
      <c r="H437" s="7">
        <v>3</v>
      </c>
      <c r="I437" s="12">
        <f>IF(OR(Table2[[#This Row],[Rating]]=4,Table2[[#This Row],[Rating]]=5), 0.05*Table2[[#This Row],[Salary]],0)</f>
        <v>0</v>
      </c>
      <c r="J437" s="14">
        <f>VLOOKUP(Table2[[#This Row],[Salary]],'Tax rates'!A$2:C$8, 2) + VLOOKUP(Table2[[#This Row],[Salary]],'Tax rates'!A$2:C$8, 3) * (Table2[[#This Row],[Salary]] - VLOOKUP(Table2[[#This Row],[Salary]],'Tax rates'!A$2:C$8,1))</f>
        <v>3755.1</v>
      </c>
      <c r="K437" s="14">
        <f>Table2[[#This Row],[Salary]]-Table2[[#This Row],[Taxes]]</f>
        <v>29124.9</v>
      </c>
      <c r="L437" s="15">
        <f>Table2[[#This Row],[After tax salary]]+Table2[[#This Row],[Bonus]]</f>
        <v>29124.9</v>
      </c>
    </row>
    <row r="438" spans="1:12" x14ac:dyDescent="0.25">
      <c r="A438" s="5" t="s">
        <v>777</v>
      </c>
      <c r="B438" s="5" t="s">
        <v>51</v>
      </c>
      <c r="C438" s="5" t="s">
        <v>35</v>
      </c>
      <c r="D438" s="5" t="s">
        <v>24</v>
      </c>
      <c r="E438" s="6">
        <v>39535</v>
      </c>
      <c r="F438" s="5" t="s">
        <v>9</v>
      </c>
      <c r="G438" s="10">
        <v>49080</v>
      </c>
      <c r="H438" s="7">
        <v>5</v>
      </c>
      <c r="I438" s="12">
        <f>IF(OR(Table2[[#This Row],[Rating]]=4,Table2[[#This Row],[Rating]]=5), 0.05*Table2[[#This Row],[Salary]],0)</f>
        <v>2454</v>
      </c>
      <c r="J438" s="14">
        <f>VLOOKUP(Table2[[#This Row],[Salary]],'Tax rates'!A$2:C$8, 2) + VLOOKUP(Table2[[#This Row],[Salary]],'Tax rates'!A$2:C$8, 3) * (Table2[[#This Row],[Salary]] - VLOOKUP(Table2[[#This Row],[Salary]],'Tax rates'!A$2:C$8,1))</f>
        <v>6737.1</v>
      </c>
      <c r="K438" s="14">
        <f>Table2[[#This Row],[Salary]]-Table2[[#This Row],[Taxes]]</f>
        <v>42342.9</v>
      </c>
      <c r="L438" s="15">
        <f>Table2[[#This Row],[After tax salary]]+Table2[[#This Row],[Bonus]]</f>
        <v>44796.9</v>
      </c>
    </row>
    <row r="439" spans="1:12" x14ac:dyDescent="0.25">
      <c r="A439" s="5" t="s">
        <v>83</v>
      </c>
      <c r="B439" s="5" t="s">
        <v>13</v>
      </c>
      <c r="C439" s="5" t="s">
        <v>18</v>
      </c>
      <c r="D439" s="5" t="s">
        <v>16</v>
      </c>
      <c r="E439" s="6">
        <v>39538</v>
      </c>
      <c r="F439" s="7"/>
      <c r="G439" s="10">
        <v>62780</v>
      </c>
      <c r="H439" s="7">
        <v>4</v>
      </c>
      <c r="I439" s="12">
        <f>IF(OR(Table2[[#This Row],[Rating]]=4,Table2[[#This Row],[Rating]]=5), 0.05*Table2[[#This Row],[Salary]],0)</f>
        <v>3139</v>
      </c>
      <c r="J439" s="14">
        <f>VLOOKUP(Table2[[#This Row],[Salary]],'Tax rates'!A$2:C$8, 2) + VLOOKUP(Table2[[#This Row],[Salary]],'Tax rates'!A$2:C$8, 3) * (Table2[[#This Row],[Salary]] - VLOOKUP(Table2[[#This Row],[Salary]],'Tax rates'!A$2:C$8,1))</f>
        <v>9751.1</v>
      </c>
      <c r="K439" s="14">
        <f>Table2[[#This Row],[Salary]]-Table2[[#This Row],[Taxes]]</f>
        <v>53028.9</v>
      </c>
      <c r="L439" s="15">
        <f>Table2[[#This Row],[After tax salary]]+Table2[[#This Row],[Bonus]]</f>
        <v>56167.9</v>
      </c>
    </row>
    <row r="440" spans="1:12" x14ac:dyDescent="0.25">
      <c r="A440" s="5" t="s">
        <v>460</v>
      </c>
      <c r="B440" s="5" t="s">
        <v>6</v>
      </c>
      <c r="C440" s="5" t="s">
        <v>18</v>
      </c>
      <c r="D440" s="5" t="s">
        <v>16</v>
      </c>
      <c r="E440" s="6">
        <v>39539</v>
      </c>
      <c r="F440" s="7"/>
      <c r="G440" s="10">
        <v>63310</v>
      </c>
      <c r="H440" s="7">
        <v>3</v>
      </c>
      <c r="I440" s="12">
        <f>IF(OR(Table2[[#This Row],[Rating]]=4,Table2[[#This Row],[Rating]]=5), 0.05*Table2[[#This Row],[Salary]],0)</f>
        <v>0</v>
      </c>
      <c r="J440" s="14">
        <f>VLOOKUP(Table2[[#This Row],[Salary]],'Tax rates'!A$2:C$8, 2) + VLOOKUP(Table2[[#This Row],[Salary]],'Tax rates'!A$2:C$8, 3) * (Table2[[#This Row],[Salary]] - VLOOKUP(Table2[[#This Row],[Salary]],'Tax rates'!A$2:C$8,1))</f>
        <v>9867.7000000000007</v>
      </c>
      <c r="K440" s="14">
        <f>Table2[[#This Row],[Salary]]-Table2[[#This Row],[Taxes]]</f>
        <v>53442.3</v>
      </c>
      <c r="L440" s="15">
        <f>Table2[[#This Row],[After tax salary]]+Table2[[#This Row],[Bonus]]</f>
        <v>53442.3</v>
      </c>
    </row>
    <row r="441" spans="1:12" x14ac:dyDescent="0.25">
      <c r="A441" s="5" t="s">
        <v>623</v>
      </c>
      <c r="B441" s="5" t="s">
        <v>6</v>
      </c>
      <c r="C441" s="5" t="s">
        <v>35</v>
      </c>
      <c r="D441" s="5" t="s">
        <v>3</v>
      </c>
      <c r="E441" s="6">
        <v>39539</v>
      </c>
      <c r="F441" s="5" t="s">
        <v>11</v>
      </c>
      <c r="G441" s="10">
        <v>73850</v>
      </c>
      <c r="H441" s="7">
        <v>2</v>
      </c>
      <c r="I441" s="12">
        <f>IF(OR(Table2[[#This Row],[Rating]]=4,Table2[[#This Row],[Rating]]=5), 0.05*Table2[[#This Row],[Salary]],0)</f>
        <v>0</v>
      </c>
      <c r="J441" s="14">
        <f>VLOOKUP(Table2[[#This Row],[Salary]],'Tax rates'!A$2:C$8, 2) + VLOOKUP(Table2[[#This Row],[Salary]],'Tax rates'!A$2:C$8, 3) * (Table2[[#This Row],[Salary]] - VLOOKUP(Table2[[#This Row],[Salary]],'Tax rates'!A$2:C$8,1))</f>
        <v>12186.5</v>
      </c>
      <c r="K441" s="14">
        <f>Table2[[#This Row],[Salary]]-Table2[[#This Row],[Taxes]]</f>
        <v>61663.5</v>
      </c>
      <c r="L441" s="15">
        <f>Table2[[#This Row],[After tax salary]]+Table2[[#This Row],[Bonus]]</f>
        <v>61663.5</v>
      </c>
    </row>
    <row r="442" spans="1:12" x14ac:dyDescent="0.25">
      <c r="A442" s="5" t="s">
        <v>559</v>
      </c>
      <c r="B442" s="5" t="s">
        <v>6</v>
      </c>
      <c r="C442" s="5" t="s">
        <v>18</v>
      </c>
      <c r="D442" s="5" t="s">
        <v>16</v>
      </c>
      <c r="E442" s="6">
        <v>39545</v>
      </c>
      <c r="F442" s="7"/>
      <c r="G442" s="10">
        <v>84170</v>
      </c>
      <c r="H442" s="7">
        <v>2</v>
      </c>
      <c r="I442" s="12">
        <f>IF(OR(Table2[[#This Row],[Rating]]=4,Table2[[#This Row],[Rating]]=5), 0.05*Table2[[#This Row],[Salary]],0)</f>
        <v>0</v>
      </c>
      <c r="J442" s="14">
        <f>VLOOKUP(Table2[[#This Row],[Salary]],'Tax rates'!A$2:C$8, 2) + VLOOKUP(Table2[[#This Row],[Salary]],'Tax rates'!A$2:C$8, 3) * (Table2[[#This Row],[Salary]] - VLOOKUP(Table2[[#This Row],[Salary]],'Tax rates'!A$2:C$8,1))</f>
        <v>14490.3</v>
      </c>
      <c r="K442" s="14">
        <f>Table2[[#This Row],[Salary]]-Table2[[#This Row],[Taxes]]</f>
        <v>69679.7</v>
      </c>
      <c r="L442" s="15">
        <f>Table2[[#This Row],[After tax salary]]+Table2[[#This Row],[Bonus]]</f>
        <v>69679.7</v>
      </c>
    </row>
    <row r="443" spans="1:12" x14ac:dyDescent="0.25">
      <c r="A443" s="5" t="s">
        <v>751</v>
      </c>
      <c r="B443" s="5" t="s">
        <v>1</v>
      </c>
      <c r="C443" s="5" t="s">
        <v>75</v>
      </c>
      <c r="D443" s="5" t="s">
        <v>3</v>
      </c>
      <c r="E443" s="6">
        <v>39588</v>
      </c>
      <c r="F443" s="5" t="s">
        <v>25</v>
      </c>
      <c r="G443" s="10">
        <v>74670</v>
      </c>
      <c r="H443" s="7">
        <v>5</v>
      </c>
      <c r="I443" s="12">
        <f>IF(OR(Table2[[#This Row],[Rating]]=4,Table2[[#This Row],[Rating]]=5), 0.05*Table2[[#This Row],[Salary]],0)</f>
        <v>3733.5</v>
      </c>
      <c r="J443" s="14">
        <f>VLOOKUP(Table2[[#This Row],[Salary]],'Tax rates'!A$2:C$8, 2) + VLOOKUP(Table2[[#This Row],[Salary]],'Tax rates'!A$2:C$8, 3) * (Table2[[#This Row],[Salary]] - VLOOKUP(Table2[[#This Row],[Salary]],'Tax rates'!A$2:C$8,1))</f>
        <v>12366.9</v>
      </c>
      <c r="K443" s="14">
        <f>Table2[[#This Row],[Salary]]-Table2[[#This Row],[Taxes]]</f>
        <v>62303.1</v>
      </c>
      <c r="L443" s="15">
        <f>Table2[[#This Row],[After tax salary]]+Table2[[#This Row],[Bonus]]</f>
        <v>66036.600000000006</v>
      </c>
    </row>
    <row r="444" spans="1:12" x14ac:dyDescent="0.25">
      <c r="A444" s="5" t="s">
        <v>650</v>
      </c>
      <c r="B444" s="5" t="s">
        <v>6</v>
      </c>
      <c r="C444" s="5" t="s">
        <v>30</v>
      </c>
      <c r="D444" s="5" t="s">
        <v>16</v>
      </c>
      <c r="E444" s="6">
        <v>39592</v>
      </c>
      <c r="F444" s="7"/>
      <c r="G444" s="10">
        <v>56650</v>
      </c>
      <c r="H444" s="7">
        <v>1</v>
      </c>
      <c r="I444" s="12">
        <f>IF(OR(Table2[[#This Row],[Rating]]=4,Table2[[#This Row],[Rating]]=5), 0.05*Table2[[#This Row],[Salary]],0)</f>
        <v>0</v>
      </c>
      <c r="J444" s="14">
        <f>VLOOKUP(Table2[[#This Row],[Salary]],'Tax rates'!A$2:C$8, 2) + VLOOKUP(Table2[[#This Row],[Salary]],'Tax rates'!A$2:C$8, 3) * (Table2[[#This Row],[Salary]] - VLOOKUP(Table2[[#This Row],[Salary]],'Tax rates'!A$2:C$8,1))</f>
        <v>8402.5</v>
      </c>
      <c r="K444" s="14">
        <f>Table2[[#This Row],[Salary]]-Table2[[#This Row],[Taxes]]</f>
        <v>48247.5</v>
      </c>
      <c r="L444" s="15">
        <f>Table2[[#This Row],[After tax salary]]+Table2[[#This Row],[Bonus]]</f>
        <v>48247.5</v>
      </c>
    </row>
    <row r="445" spans="1:12" x14ac:dyDescent="0.25">
      <c r="A445" s="5" t="s">
        <v>709</v>
      </c>
      <c r="B445" s="5" t="s">
        <v>27</v>
      </c>
      <c r="C445" s="5" t="s">
        <v>59</v>
      </c>
      <c r="D445" s="5" t="s">
        <v>16</v>
      </c>
      <c r="E445" s="6">
        <v>39592</v>
      </c>
      <c r="F445" s="7"/>
      <c r="G445" s="10">
        <v>57520</v>
      </c>
      <c r="H445" s="7">
        <v>3</v>
      </c>
      <c r="I445" s="12">
        <f>IF(OR(Table2[[#This Row],[Rating]]=4,Table2[[#This Row],[Rating]]=5), 0.05*Table2[[#This Row],[Salary]],0)</f>
        <v>0</v>
      </c>
      <c r="J445" s="14">
        <f>VLOOKUP(Table2[[#This Row],[Salary]],'Tax rates'!A$2:C$8, 2) + VLOOKUP(Table2[[#This Row],[Salary]],'Tax rates'!A$2:C$8, 3) * (Table2[[#This Row],[Salary]] - VLOOKUP(Table2[[#This Row],[Salary]],'Tax rates'!A$2:C$8,1))</f>
        <v>8593.9</v>
      </c>
      <c r="K445" s="14">
        <f>Table2[[#This Row],[Salary]]-Table2[[#This Row],[Taxes]]</f>
        <v>48926.1</v>
      </c>
      <c r="L445" s="15">
        <f>Table2[[#This Row],[After tax salary]]+Table2[[#This Row],[Bonus]]</f>
        <v>48926.1</v>
      </c>
    </row>
    <row r="446" spans="1:12" x14ac:dyDescent="0.25">
      <c r="A446" s="5" t="s">
        <v>281</v>
      </c>
      <c r="B446" s="5" t="s">
        <v>27</v>
      </c>
      <c r="C446" s="5" t="s">
        <v>18</v>
      </c>
      <c r="D446" s="5" t="s">
        <v>3</v>
      </c>
      <c r="E446" s="6">
        <v>39597</v>
      </c>
      <c r="F446" s="5" t="s">
        <v>4</v>
      </c>
      <c r="G446" s="10">
        <v>81010</v>
      </c>
      <c r="H446" s="7">
        <v>4</v>
      </c>
      <c r="I446" s="12">
        <f>IF(OR(Table2[[#This Row],[Rating]]=4,Table2[[#This Row],[Rating]]=5), 0.05*Table2[[#This Row],[Salary]],0)</f>
        <v>4050.5</v>
      </c>
      <c r="J446" s="14">
        <f>VLOOKUP(Table2[[#This Row],[Salary]],'Tax rates'!A$2:C$8, 2) + VLOOKUP(Table2[[#This Row],[Salary]],'Tax rates'!A$2:C$8, 3) * (Table2[[#This Row],[Salary]] - VLOOKUP(Table2[[#This Row],[Salary]],'Tax rates'!A$2:C$8,1))</f>
        <v>13761.7</v>
      </c>
      <c r="K446" s="14">
        <f>Table2[[#This Row],[Salary]]-Table2[[#This Row],[Taxes]]</f>
        <v>67248.3</v>
      </c>
      <c r="L446" s="15">
        <f>Table2[[#This Row],[After tax salary]]+Table2[[#This Row],[Bonus]]</f>
        <v>71298.8</v>
      </c>
    </row>
    <row r="447" spans="1:12" x14ac:dyDescent="0.25">
      <c r="A447" s="5" t="s">
        <v>266</v>
      </c>
      <c r="B447" s="5" t="s">
        <v>13</v>
      </c>
      <c r="C447" s="5" t="s">
        <v>35</v>
      </c>
      <c r="D447" s="5" t="s">
        <v>3</v>
      </c>
      <c r="E447" s="6">
        <v>39602</v>
      </c>
      <c r="F447" s="5" t="s">
        <v>4</v>
      </c>
      <c r="G447" s="10">
        <v>79380</v>
      </c>
      <c r="H447" s="7">
        <v>5</v>
      </c>
      <c r="I447" s="12">
        <f>IF(OR(Table2[[#This Row],[Rating]]=4,Table2[[#This Row],[Rating]]=5), 0.05*Table2[[#This Row],[Salary]],0)</f>
        <v>3969</v>
      </c>
      <c r="J447" s="14">
        <f>VLOOKUP(Table2[[#This Row],[Salary]],'Tax rates'!A$2:C$8, 2) + VLOOKUP(Table2[[#This Row],[Salary]],'Tax rates'!A$2:C$8, 3) * (Table2[[#This Row],[Salary]] - VLOOKUP(Table2[[#This Row],[Salary]],'Tax rates'!A$2:C$8,1))</f>
        <v>13403.1</v>
      </c>
      <c r="K447" s="14">
        <f>Table2[[#This Row],[Salary]]-Table2[[#This Row],[Taxes]]</f>
        <v>65976.899999999994</v>
      </c>
      <c r="L447" s="15">
        <f>Table2[[#This Row],[After tax salary]]+Table2[[#This Row],[Bonus]]</f>
        <v>69945.899999999994</v>
      </c>
    </row>
    <row r="448" spans="1:12" x14ac:dyDescent="0.25">
      <c r="A448" s="5" t="s">
        <v>627</v>
      </c>
      <c r="B448" s="5" t="s">
        <v>1</v>
      </c>
      <c r="C448" s="5" t="s">
        <v>18</v>
      </c>
      <c r="D448" s="5" t="s">
        <v>16</v>
      </c>
      <c r="E448" s="6">
        <v>39603</v>
      </c>
      <c r="F448" s="7"/>
      <c r="G448" s="10">
        <v>40940</v>
      </c>
      <c r="H448" s="7">
        <v>2</v>
      </c>
      <c r="I448" s="12">
        <f>IF(OR(Table2[[#This Row],[Rating]]=4,Table2[[#This Row],[Rating]]=5), 0.05*Table2[[#This Row],[Salary]],0)</f>
        <v>0</v>
      </c>
      <c r="J448" s="14">
        <f>VLOOKUP(Table2[[#This Row],[Salary]],'Tax rates'!A$2:C$8, 2) + VLOOKUP(Table2[[#This Row],[Salary]],'Tax rates'!A$2:C$8, 3) * (Table2[[#This Row],[Salary]] - VLOOKUP(Table2[[#This Row],[Salary]],'Tax rates'!A$2:C$8,1))</f>
        <v>4946.3</v>
      </c>
      <c r="K448" s="14">
        <f>Table2[[#This Row],[Salary]]-Table2[[#This Row],[Taxes]]</f>
        <v>35993.699999999997</v>
      </c>
      <c r="L448" s="15">
        <f>Table2[[#This Row],[After tax salary]]+Table2[[#This Row],[Bonus]]</f>
        <v>35993.699999999997</v>
      </c>
    </row>
    <row r="449" spans="1:12" x14ac:dyDescent="0.25">
      <c r="A449" s="5" t="s">
        <v>245</v>
      </c>
      <c r="B449" s="5" t="s">
        <v>27</v>
      </c>
      <c r="C449" s="5" t="s">
        <v>23</v>
      </c>
      <c r="D449" s="5" t="s">
        <v>16</v>
      </c>
      <c r="E449" s="6">
        <v>39616</v>
      </c>
      <c r="F449" s="7"/>
      <c r="G449" s="10">
        <v>66710</v>
      </c>
      <c r="H449" s="7">
        <v>2</v>
      </c>
      <c r="I449" s="12">
        <f>IF(OR(Table2[[#This Row],[Rating]]=4,Table2[[#This Row],[Rating]]=5), 0.05*Table2[[#This Row],[Salary]],0)</f>
        <v>0</v>
      </c>
      <c r="J449" s="14">
        <f>VLOOKUP(Table2[[#This Row],[Salary]],'Tax rates'!A$2:C$8, 2) + VLOOKUP(Table2[[#This Row],[Salary]],'Tax rates'!A$2:C$8, 3) * (Table2[[#This Row],[Salary]] - VLOOKUP(Table2[[#This Row],[Salary]],'Tax rates'!A$2:C$8,1))</f>
        <v>10615.7</v>
      </c>
      <c r="K449" s="14">
        <f>Table2[[#This Row],[Salary]]-Table2[[#This Row],[Taxes]]</f>
        <v>56094.3</v>
      </c>
      <c r="L449" s="15">
        <f>Table2[[#This Row],[After tax salary]]+Table2[[#This Row],[Bonus]]</f>
        <v>56094.3</v>
      </c>
    </row>
    <row r="450" spans="1:12" x14ac:dyDescent="0.25">
      <c r="A450" s="5" t="s">
        <v>191</v>
      </c>
      <c r="B450" s="5" t="s">
        <v>1</v>
      </c>
      <c r="C450" s="5" t="s">
        <v>57</v>
      </c>
      <c r="D450" s="5" t="s">
        <v>16</v>
      </c>
      <c r="E450" s="6">
        <v>39623</v>
      </c>
      <c r="F450" s="7"/>
      <c r="G450" s="10">
        <v>60060</v>
      </c>
      <c r="H450" s="7">
        <v>2</v>
      </c>
      <c r="I450" s="12">
        <f>IF(OR(Table2[[#This Row],[Rating]]=4,Table2[[#This Row],[Rating]]=5), 0.05*Table2[[#This Row],[Salary]],0)</f>
        <v>0</v>
      </c>
      <c r="J450" s="14">
        <f>VLOOKUP(Table2[[#This Row],[Salary]],'Tax rates'!A$2:C$8, 2) + VLOOKUP(Table2[[#This Row],[Salary]],'Tax rates'!A$2:C$8, 3) * (Table2[[#This Row],[Salary]] - VLOOKUP(Table2[[#This Row],[Salary]],'Tax rates'!A$2:C$8,1))</f>
        <v>9152.7000000000007</v>
      </c>
      <c r="K450" s="14">
        <f>Table2[[#This Row],[Salary]]-Table2[[#This Row],[Taxes]]</f>
        <v>50907.3</v>
      </c>
      <c r="L450" s="15">
        <f>Table2[[#This Row],[After tax salary]]+Table2[[#This Row],[Bonus]]</f>
        <v>50907.3</v>
      </c>
    </row>
    <row r="451" spans="1:12" x14ac:dyDescent="0.25">
      <c r="A451" s="5" t="s">
        <v>170</v>
      </c>
      <c r="B451" s="5" t="s">
        <v>13</v>
      </c>
      <c r="C451" s="5" t="s">
        <v>18</v>
      </c>
      <c r="D451" s="5" t="s">
        <v>16</v>
      </c>
      <c r="E451" s="6">
        <v>39633</v>
      </c>
      <c r="F451" s="7"/>
      <c r="G451" s="10">
        <v>39680</v>
      </c>
      <c r="H451" s="7">
        <v>1</v>
      </c>
      <c r="I451" s="12">
        <f>IF(OR(Table2[[#This Row],[Rating]]=4,Table2[[#This Row],[Rating]]=5), 0.05*Table2[[#This Row],[Salary]],0)</f>
        <v>0</v>
      </c>
      <c r="J451" s="14">
        <f>VLOOKUP(Table2[[#This Row],[Salary]],'Tax rates'!A$2:C$8, 2) + VLOOKUP(Table2[[#This Row],[Salary]],'Tax rates'!A$2:C$8, 3) * (Table2[[#This Row],[Salary]] - VLOOKUP(Table2[[#This Row],[Salary]],'Tax rates'!A$2:C$8,1))</f>
        <v>4669.1000000000004</v>
      </c>
      <c r="K451" s="14">
        <f>Table2[[#This Row],[Salary]]-Table2[[#This Row],[Taxes]]</f>
        <v>35010.9</v>
      </c>
      <c r="L451" s="15">
        <f>Table2[[#This Row],[After tax salary]]+Table2[[#This Row],[Bonus]]</f>
        <v>35010.9</v>
      </c>
    </row>
    <row r="452" spans="1:12" x14ac:dyDescent="0.25">
      <c r="A452" s="5" t="s">
        <v>101</v>
      </c>
      <c r="B452" s="5" t="s">
        <v>1</v>
      </c>
      <c r="C452" s="5" t="s">
        <v>102</v>
      </c>
      <c r="D452" s="5" t="s">
        <v>16</v>
      </c>
      <c r="E452" s="6">
        <v>39639</v>
      </c>
      <c r="F452" s="7"/>
      <c r="G452" s="10">
        <v>64720</v>
      </c>
      <c r="H452" s="7">
        <v>5</v>
      </c>
      <c r="I452" s="12">
        <f>IF(OR(Table2[[#This Row],[Rating]]=4,Table2[[#This Row],[Rating]]=5), 0.05*Table2[[#This Row],[Salary]],0)</f>
        <v>3236</v>
      </c>
      <c r="J452" s="14">
        <f>VLOOKUP(Table2[[#This Row],[Salary]],'Tax rates'!A$2:C$8, 2) + VLOOKUP(Table2[[#This Row],[Salary]],'Tax rates'!A$2:C$8, 3) * (Table2[[#This Row],[Salary]] - VLOOKUP(Table2[[#This Row],[Salary]],'Tax rates'!A$2:C$8,1))</f>
        <v>10177.9</v>
      </c>
      <c r="K452" s="14">
        <f>Table2[[#This Row],[Salary]]-Table2[[#This Row],[Taxes]]</f>
        <v>54542.1</v>
      </c>
      <c r="L452" s="15">
        <f>Table2[[#This Row],[After tax salary]]+Table2[[#This Row],[Bonus]]</f>
        <v>57778.1</v>
      </c>
    </row>
    <row r="453" spans="1:12" x14ac:dyDescent="0.25">
      <c r="A453" s="5" t="s">
        <v>438</v>
      </c>
      <c r="B453" s="5" t="s">
        <v>1</v>
      </c>
      <c r="C453" s="5" t="s">
        <v>138</v>
      </c>
      <c r="D453" s="5" t="s">
        <v>3</v>
      </c>
      <c r="E453" s="6">
        <v>39646</v>
      </c>
      <c r="F453" s="5" t="s">
        <v>11</v>
      </c>
      <c r="G453" s="10">
        <v>69060</v>
      </c>
      <c r="H453" s="7">
        <v>1</v>
      </c>
      <c r="I453" s="12">
        <f>IF(OR(Table2[[#This Row],[Rating]]=4,Table2[[#This Row],[Rating]]=5), 0.05*Table2[[#This Row],[Salary]],0)</f>
        <v>0</v>
      </c>
      <c r="J453" s="14">
        <f>VLOOKUP(Table2[[#This Row],[Salary]],'Tax rates'!A$2:C$8, 2) + VLOOKUP(Table2[[#This Row],[Salary]],'Tax rates'!A$2:C$8, 3) * (Table2[[#This Row],[Salary]] - VLOOKUP(Table2[[#This Row],[Salary]],'Tax rates'!A$2:C$8,1))</f>
        <v>11132.7</v>
      </c>
      <c r="K453" s="14">
        <f>Table2[[#This Row],[Salary]]-Table2[[#This Row],[Taxes]]</f>
        <v>57927.3</v>
      </c>
      <c r="L453" s="15">
        <f>Table2[[#This Row],[After tax salary]]+Table2[[#This Row],[Bonus]]</f>
        <v>57927.3</v>
      </c>
    </row>
    <row r="454" spans="1:12" x14ac:dyDescent="0.25">
      <c r="A454" s="5" t="s">
        <v>116</v>
      </c>
      <c r="B454" s="5" t="s">
        <v>1</v>
      </c>
      <c r="C454" s="5" t="s">
        <v>35</v>
      </c>
      <c r="D454" s="5" t="s">
        <v>16</v>
      </c>
      <c r="E454" s="6">
        <v>39648</v>
      </c>
      <c r="F454" s="7"/>
      <c r="G454" s="10">
        <v>45105</v>
      </c>
      <c r="H454" s="7">
        <v>1</v>
      </c>
      <c r="I454" s="12">
        <f>IF(OR(Table2[[#This Row],[Rating]]=4,Table2[[#This Row],[Rating]]=5), 0.05*Table2[[#This Row],[Salary]],0)</f>
        <v>0</v>
      </c>
      <c r="J454" s="14">
        <f>VLOOKUP(Table2[[#This Row],[Salary]],'Tax rates'!A$2:C$8, 2) + VLOOKUP(Table2[[#This Row],[Salary]],'Tax rates'!A$2:C$8, 3) * (Table2[[#This Row],[Salary]] - VLOOKUP(Table2[[#This Row],[Salary]],'Tax rates'!A$2:C$8,1))</f>
        <v>5862.6</v>
      </c>
      <c r="K454" s="14">
        <f>Table2[[#This Row],[Salary]]-Table2[[#This Row],[Taxes]]</f>
        <v>39242.400000000001</v>
      </c>
      <c r="L454" s="15">
        <f>Table2[[#This Row],[After tax salary]]+Table2[[#This Row],[Bonus]]</f>
        <v>39242.400000000001</v>
      </c>
    </row>
    <row r="455" spans="1:12" x14ac:dyDescent="0.25">
      <c r="A455" s="5" t="s">
        <v>523</v>
      </c>
      <c r="B455" s="5" t="s">
        <v>51</v>
      </c>
      <c r="C455" s="5" t="s">
        <v>8</v>
      </c>
      <c r="D455" s="5" t="s">
        <v>3</v>
      </c>
      <c r="E455" s="6">
        <v>39654</v>
      </c>
      <c r="F455" s="5" t="s">
        <v>9</v>
      </c>
      <c r="G455" s="10">
        <v>32360</v>
      </c>
      <c r="H455" s="7">
        <v>4</v>
      </c>
      <c r="I455" s="12">
        <f>IF(OR(Table2[[#This Row],[Rating]]=4,Table2[[#This Row],[Rating]]=5), 0.05*Table2[[#This Row],[Salary]],0)</f>
        <v>1618</v>
      </c>
      <c r="J455" s="14">
        <f>VLOOKUP(Table2[[#This Row],[Salary]],'Tax rates'!A$2:C$8, 2) + VLOOKUP(Table2[[#This Row],[Salary]],'Tax rates'!A$2:C$8, 3) * (Table2[[#This Row],[Salary]] - VLOOKUP(Table2[[#This Row],[Salary]],'Tax rates'!A$2:C$8,1))</f>
        <v>3692.7</v>
      </c>
      <c r="K455" s="14">
        <f>Table2[[#This Row],[Salary]]-Table2[[#This Row],[Taxes]]</f>
        <v>28667.3</v>
      </c>
      <c r="L455" s="15">
        <f>Table2[[#This Row],[After tax salary]]+Table2[[#This Row],[Bonus]]</f>
        <v>30285.3</v>
      </c>
    </row>
    <row r="456" spans="1:12" x14ac:dyDescent="0.25">
      <c r="A456" s="5" t="s">
        <v>61</v>
      </c>
      <c r="B456" s="5" t="s">
        <v>13</v>
      </c>
      <c r="C456" s="5" t="s">
        <v>18</v>
      </c>
      <c r="D456" s="5" t="s">
        <v>3</v>
      </c>
      <c r="E456" s="6">
        <v>39655</v>
      </c>
      <c r="F456" s="5" t="s">
        <v>9</v>
      </c>
      <c r="G456" s="10">
        <v>34480</v>
      </c>
      <c r="H456" s="7">
        <v>3</v>
      </c>
      <c r="I456" s="12">
        <f>IF(OR(Table2[[#This Row],[Rating]]=4,Table2[[#This Row],[Rating]]=5), 0.05*Table2[[#This Row],[Salary]],0)</f>
        <v>0</v>
      </c>
      <c r="J456" s="14">
        <f>VLOOKUP(Table2[[#This Row],[Salary]],'Tax rates'!A$2:C$8, 2) + VLOOKUP(Table2[[#This Row],[Salary]],'Tax rates'!A$2:C$8, 3) * (Table2[[#This Row],[Salary]] - VLOOKUP(Table2[[#This Row],[Salary]],'Tax rates'!A$2:C$8,1))</f>
        <v>3947.1</v>
      </c>
      <c r="K456" s="14">
        <f>Table2[[#This Row],[Salary]]-Table2[[#This Row],[Taxes]]</f>
        <v>30532.9</v>
      </c>
      <c r="L456" s="15">
        <f>Table2[[#This Row],[After tax salary]]+Table2[[#This Row],[Bonus]]</f>
        <v>30532.9</v>
      </c>
    </row>
    <row r="457" spans="1:12" x14ac:dyDescent="0.25">
      <c r="A457" s="5" t="s">
        <v>458</v>
      </c>
      <c r="B457" s="5" t="s">
        <v>13</v>
      </c>
      <c r="C457" s="5" t="s">
        <v>23</v>
      </c>
      <c r="D457" s="5" t="s">
        <v>3</v>
      </c>
      <c r="E457" s="6">
        <v>39657</v>
      </c>
      <c r="F457" s="5" t="s">
        <v>9</v>
      </c>
      <c r="G457" s="10">
        <v>80880</v>
      </c>
      <c r="H457" s="7">
        <v>1</v>
      </c>
      <c r="I457" s="12">
        <f>IF(OR(Table2[[#This Row],[Rating]]=4,Table2[[#This Row],[Rating]]=5), 0.05*Table2[[#This Row],[Salary]],0)</f>
        <v>0</v>
      </c>
      <c r="J457" s="14">
        <f>VLOOKUP(Table2[[#This Row],[Salary]],'Tax rates'!A$2:C$8, 2) + VLOOKUP(Table2[[#This Row],[Salary]],'Tax rates'!A$2:C$8, 3) * (Table2[[#This Row],[Salary]] - VLOOKUP(Table2[[#This Row],[Salary]],'Tax rates'!A$2:C$8,1))</f>
        <v>13733.1</v>
      </c>
      <c r="K457" s="14">
        <f>Table2[[#This Row],[Salary]]-Table2[[#This Row],[Taxes]]</f>
        <v>67146.899999999994</v>
      </c>
      <c r="L457" s="15">
        <f>Table2[[#This Row],[After tax salary]]+Table2[[#This Row],[Bonus]]</f>
        <v>67146.899999999994</v>
      </c>
    </row>
    <row r="458" spans="1:12" x14ac:dyDescent="0.25">
      <c r="A458" s="5" t="s">
        <v>658</v>
      </c>
      <c r="B458" s="5" t="s">
        <v>1</v>
      </c>
      <c r="C458" s="5" t="s">
        <v>75</v>
      </c>
      <c r="D458" s="5" t="s">
        <v>24</v>
      </c>
      <c r="E458" s="6">
        <v>39662</v>
      </c>
      <c r="F458" s="5" t="s">
        <v>9</v>
      </c>
      <c r="G458" s="10">
        <v>38920</v>
      </c>
      <c r="H458" s="7">
        <v>4</v>
      </c>
      <c r="I458" s="12">
        <f>IF(OR(Table2[[#This Row],[Rating]]=4,Table2[[#This Row],[Rating]]=5), 0.05*Table2[[#This Row],[Salary]],0)</f>
        <v>1946</v>
      </c>
      <c r="J458" s="14">
        <f>VLOOKUP(Table2[[#This Row],[Salary]],'Tax rates'!A$2:C$8, 2) + VLOOKUP(Table2[[#This Row],[Salary]],'Tax rates'!A$2:C$8, 3) * (Table2[[#This Row],[Salary]] - VLOOKUP(Table2[[#This Row],[Salary]],'Tax rates'!A$2:C$8,1))</f>
        <v>4501.8999999999996</v>
      </c>
      <c r="K458" s="14">
        <f>Table2[[#This Row],[Salary]]-Table2[[#This Row],[Taxes]]</f>
        <v>34418.1</v>
      </c>
      <c r="L458" s="15">
        <f>Table2[[#This Row],[After tax salary]]+Table2[[#This Row],[Bonus]]</f>
        <v>36364.1</v>
      </c>
    </row>
    <row r="459" spans="1:12" x14ac:dyDescent="0.25">
      <c r="A459" s="5" t="s">
        <v>730</v>
      </c>
      <c r="B459" s="5" t="s">
        <v>6</v>
      </c>
      <c r="C459" s="5" t="s">
        <v>30</v>
      </c>
      <c r="D459" s="5" t="s">
        <v>3</v>
      </c>
      <c r="E459" s="6">
        <v>39673</v>
      </c>
      <c r="F459" s="5" t="s">
        <v>4</v>
      </c>
      <c r="G459" s="10">
        <v>48080</v>
      </c>
      <c r="H459" s="7">
        <v>2</v>
      </c>
      <c r="I459" s="12">
        <f>IF(OR(Table2[[#This Row],[Rating]]=4,Table2[[#This Row],[Rating]]=5), 0.05*Table2[[#This Row],[Salary]],0)</f>
        <v>0</v>
      </c>
      <c r="J459" s="14">
        <f>VLOOKUP(Table2[[#This Row],[Salary]],'Tax rates'!A$2:C$8, 2) + VLOOKUP(Table2[[#This Row],[Salary]],'Tax rates'!A$2:C$8, 3) * (Table2[[#This Row],[Salary]] - VLOOKUP(Table2[[#This Row],[Salary]],'Tax rates'!A$2:C$8,1))</f>
        <v>6517.1</v>
      </c>
      <c r="K459" s="14">
        <f>Table2[[#This Row],[Salary]]-Table2[[#This Row],[Taxes]]</f>
        <v>41562.9</v>
      </c>
      <c r="L459" s="15">
        <f>Table2[[#This Row],[After tax salary]]+Table2[[#This Row],[Bonus]]</f>
        <v>41562.9</v>
      </c>
    </row>
    <row r="460" spans="1:12" x14ac:dyDescent="0.25">
      <c r="A460" s="5" t="s">
        <v>511</v>
      </c>
      <c r="B460" s="5" t="s">
        <v>29</v>
      </c>
      <c r="C460" s="5" t="s">
        <v>23</v>
      </c>
      <c r="D460" s="5" t="s">
        <v>3</v>
      </c>
      <c r="E460" s="6">
        <v>39678</v>
      </c>
      <c r="F460" s="5" t="s">
        <v>11</v>
      </c>
      <c r="G460" s="10">
        <v>80090</v>
      </c>
      <c r="H460" s="7">
        <v>2</v>
      </c>
      <c r="I460" s="12">
        <f>IF(OR(Table2[[#This Row],[Rating]]=4,Table2[[#This Row],[Rating]]=5), 0.05*Table2[[#This Row],[Salary]],0)</f>
        <v>0</v>
      </c>
      <c r="J460" s="14">
        <f>VLOOKUP(Table2[[#This Row],[Salary]],'Tax rates'!A$2:C$8, 2) + VLOOKUP(Table2[[#This Row],[Salary]],'Tax rates'!A$2:C$8, 3) * (Table2[[#This Row],[Salary]] - VLOOKUP(Table2[[#This Row],[Salary]],'Tax rates'!A$2:C$8,1))</f>
        <v>13559.3</v>
      </c>
      <c r="K460" s="14">
        <f>Table2[[#This Row],[Salary]]-Table2[[#This Row],[Taxes]]</f>
        <v>66530.7</v>
      </c>
      <c r="L460" s="15">
        <f>Table2[[#This Row],[After tax salary]]+Table2[[#This Row],[Bonus]]</f>
        <v>66530.7</v>
      </c>
    </row>
    <row r="461" spans="1:12" x14ac:dyDescent="0.25">
      <c r="A461" s="5" t="s">
        <v>604</v>
      </c>
      <c r="B461" s="5" t="s">
        <v>51</v>
      </c>
      <c r="C461" s="5" t="s">
        <v>35</v>
      </c>
      <c r="D461" s="5" t="s">
        <v>3</v>
      </c>
      <c r="E461" s="6">
        <v>39679</v>
      </c>
      <c r="F461" s="5" t="s">
        <v>4</v>
      </c>
      <c r="G461" s="10">
        <v>22820</v>
      </c>
      <c r="H461" s="7">
        <v>5</v>
      </c>
      <c r="I461" s="12">
        <f>IF(OR(Table2[[#This Row],[Rating]]=4,Table2[[#This Row],[Rating]]=5), 0.05*Table2[[#This Row],[Salary]],0)</f>
        <v>1141</v>
      </c>
      <c r="J461" s="14">
        <f>VLOOKUP(Table2[[#This Row],[Salary]],'Tax rates'!A$2:C$8, 2) + VLOOKUP(Table2[[#This Row],[Salary]],'Tax rates'!A$2:C$8, 3) * (Table2[[#This Row],[Salary]] - VLOOKUP(Table2[[#This Row],[Salary]],'Tax rates'!A$2:C$8,1))</f>
        <v>2547.8999999999996</v>
      </c>
      <c r="K461" s="14">
        <f>Table2[[#This Row],[Salary]]-Table2[[#This Row],[Taxes]]</f>
        <v>20272.099999999999</v>
      </c>
      <c r="L461" s="15">
        <f>Table2[[#This Row],[After tax salary]]+Table2[[#This Row],[Bonus]]</f>
        <v>21413.1</v>
      </c>
    </row>
    <row r="462" spans="1:12" x14ac:dyDescent="0.25">
      <c r="A462" s="5" t="s">
        <v>56</v>
      </c>
      <c r="B462" s="5" t="s">
        <v>1</v>
      </c>
      <c r="C462" s="5" t="s">
        <v>57</v>
      </c>
      <c r="D462" s="5" t="s">
        <v>3</v>
      </c>
      <c r="E462" s="6">
        <v>39683</v>
      </c>
      <c r="F462" s="5" t="s">
        <v>4</v>
      </c>
      <c r="G462" s="10">
        <v>47350</v>
      </c>
      <c r="H462" s="7">
        <v>5</v>
      </c>
      <c r="I462" s="12">
        <f>IF(OR(Table2[[#This Row],[Rating]]=4,Table2[[#This Row],[Rating]]=5), 0.05*Table2[[#This Row],[Salary]],0)</f>
        <v>2367.5</v>
      </c>
      <c r="J462" s="14">
        <f>VLOOKUP(Table2[[#This Row],[Salary]],'Tax rates'!A$2:C$8, 2) + VLOOKUP(Table2[[#This Row],[Salary]],'Tax rates'!A$2:C$8, 3) * (Table2[[#This Row],[Salary]] - VLOOKUP(Table2[[#This Row],[Salary]],'Tax rates'!A$2:C$8,1))</f>
        <v>6356.5</v>
      </c>
      <c r="K462" s="14">
        <f>Table2[[#This Row],[Salary]]-Table2[[#This Row],[Taxes]]</f>
        <v>40993.5</v>
      </c>
      <c r="L462" s="15">
        <f>Table2[[#This Row],[After tax salary]]+Table2[[#This Row],[Bonus]]</f>
        <v>43361</v>
      </c>
    </row>
    <row r="463" spans="1:12" x14ac:dyDescent="0.25">
      <c r="A463" s="5" t="s">
        <v>207</v>
      </c>
      <c r="B463" s="5" t="s">
        <v>1</v>
      </c>
      <c r="C463" s="5" t="s">
        <v>63</v>
      </c>
      <c r="D463" s="5" t="s">
        <v>24</v>
      </c>
      <c r="E463" s="6">
        <v>39687</v>
      </c>
      <c r="F463" s="5" t="s">
        <v>21</v>
      </c>
      <c r="G463" s="10">
        <v>24815</v>
      </c>
      <c r="H463" s="7">
        <v>1</v>
      </c>
      <c r="I463" s="12">
        <f>IF(OR(Table2[[#This Row],[Rating]]=4,Table2[[#This Row],[Rating]]=5), 0.05*Table2[[#This Row],[Salary]],0)</f>
        <v>0</v>
      </c>
      <c r="J463" s="14">
        <f>VLOOKUP(Table2[[#This Row],[Salary]],'Tax rates'!A$2:C$8, 2) + VLOOKUP(Table2[[#This Row],[Salary]],'Tax rates'!A$2:C$8, 3) * (Table2[[#This Row],[Salary]] - VLOOKUP(Table2[[#This Row],[Salary]],'Tax rates'!A$2:C$8,1))</f>
        <v>2787.3</v>
      </c>
      <c r="K463" s="14">
        <f>Table2[[#This Row],[Salary]]-Table2[[#This Row],[Taxes]]</f>
        <v>22027.7</v>
      </c>
      <c r="L463" s="15">
        <f>Table2[[#This Row],[After tax salary]]+Table2[[#This Row],[Bonus]]</f>
        <v>22027.7</v>
      </c>
    </row>
    <row r="464" spans="1:12" x14ac:dyDescent="0.25">
      <c r="A464" s="5" t="s">
        <v>614</v>
      </c>
      <c r="B464" s="5" t="s">
        <v>6</v>
      </c>
      <c r="C464" s="5" t="s">
        <v>63</v>
      </c>
      <c r="D464" s="5" t="s">
        <v>3</v>
      </c>
      <c r="E464" s="6">
        <v>39688</v>
      </c>
      <c r="F464" s="5" t="s">
        <v>4</v>
      </c>
      <c r="G464" s="10">
        <v>32600</v>
      </c>
      <c r="H464" s="7">
        <v>5</v>
      </c>
      <c r="I464" s="12">
        <f>IF(OR(Table2[[#This Row],[Rating]]=4,Table2[[#This Row],[Rating]]=5), 0.05*Table2[[#This Row],[Salary]],0)</f>
        <v>1630</v>
      </c>
      <c r="J464" s="14">
        <f>VLOOKUP(Table2[[#This Row],[Salary]],'Tax rates'!A$2:C$8, 2) + VLOOKUP(Table2[[#This Row],[Salary]],'Tax rates'!A$2:C$8, 3) * (Table2[[#This Row],[Salary]] - VLOOKUP(Table2[[#This Row],[Salary]],'Tax rates'!A$2:C$8,1))</f>
        <v>3721.5</v>
      </c>
      <c r="K464" s="14">
        <f>Table2[[#This Row],[Salary]]-Table2[[#This Row],[Taxes]]</f>
        <v>28878.5</v>
      </c>
      <c r="L464" s="15">
        <f>Table2[[#This Row],[After tax salary]]+Table2[[#This Row],[Bonus]]</f>
        <v>30508.5</v>
      </c>
    </row>
    <row r="465" spans="1:12" x14ac:dyDescent="0.25">
      <c r="A465" s="5" t="s">
        <v>530</v>
      </c>
      <c r="B465" s="5" t="s">
        <v>6</v>
      </c>
      <c r="C465" s="5" t="s">
        <v>8</v>
      </c>
      <c r="D465" s="5" t="s">
        <v>3</v>
      </c>
      <c r="E465" s="6">
        <v>39692</v>
      </c>
      <c r="F465" s="5" t="s">
        <v>21</v>
      </c>
      <c r="G465" s="10">
        <v>35360</v>
      </c>
      <c r="H465" s="7">
        <v>5</v>
      </c>
      <c r="I465" s="12">
        <f>IF(OR(Table2[[#This Row],[Rating]]=4,Table2[[#This Row],[Rating]]=5), 0.05*Table2[[#This Row],[Salary]],0)</f>
        <v>1768</v>
      </c>
      <c r="J465" s="14">
        <f>VLOOKUP(Table2[[#This Row],[Salary]],'Tax rates'!A$2:C$8, 2) + VLOOKUP(Table2[[#This Row],[Salary]],'Tax rates'!A$2:C$8, 3) * (Table2[[#This Row],[Salary]] - VLOOKUP(Table2[[#This Row],[Salary]],'Tax rates'!A$2:C$8,1))</f>
        <v>4052.7</v>
      </c>
      <c r="K465" s="14">
        <f>Table2[[#This Row],[Salary]]-Table2[[#This Row],[Taxes]]</f>
        <v>31307.3</v>
      </c>
      <c r="L465" s="15">
        <f>Table2[[#This Row],[After tax salary]]+Table2[[#This Row],[Bonus]]</f>
        <v>33075.300000000003</v>
      </c>
    </row>
    <row r="466" spans="1:12" x14ac:dyDescent="0.25">
      <c r="A466" s="5" t="s">
        <v>100</v>
      </c>
      <c r="B466" s="5" t="s">
        <v>6</v>
      </c>
      <c r="C466" s="5" t="s">
        <v>18</v>
      </c>
      <c r="D466" s="5" t="s">
        <v>3</v>
      </c>
      <c r="E466" s="6">
        <v>39696</v>
      </c>
      <c r="F466" s="5" t="s">
        <v>4</v>
      </c>
      <c r="G466" s="10">
        <v>69320</v>
      </c>
      <c r="H466" s="7">
        <v>3</v>
      </c>
      <c r="I466" s="12">
        <f>IF(OR(Table2[[#This Row],[Rating]]=4,Table2[[#This Row],[Rating]]=5), 0.05*Table2[[#This Row],[Salary]],0)</f>
        <v>0</v>
      </c>
      <c r="J466" s="14">
        <f>VLOOKUP(Table2[[#This Row],[Salary]],'Tax rates'!A$2:C$8, 2) + VLOOKUP(Table2[[#This Row],[Salary]],'Tax rates'!A$2:C$8, 3) * (Table2[[#This Row],[Salary]] - VLOOKUP(Table2[[#This Row],[Salary]],'Tax rates'!A$2:C$8,1))</f>
        <v>11189.9</v>
      </c>
      <c r="K466" s="14">
        <f>Table2[[#This Row],[Salary]]-Table2[[#This Row],[Taxes]]</f>
        <v>58130.1</v>
      </c>
      <c r="L466" s="15">
        <f>Table2[[#This Row],[After tax salary]]+Table2[[#This Row],[Bonus]]</f>
        <v>58130.1</v>
      </c>
    </row>
    <row r="467" spans="1:12" x14ac:dyDescent="0.25">
      <c r="A467" s="5" t="s">
        <v>599</v>
      </c>
      <c r="B467" s="5" t="s">
        <v>27</v>
      </c>
      <c r="C467" s="5" t="s">
        <v>18</v>
      </c>
      <c r="D467" s="5" t="s">
        <v>24</v>
      </c>
      <c r="E467" s="6">
        <v>39697</v>
      </c>
      <c r="F467" s="5" t="s">
        <v>25</v>
      </c>
      <c r="G467" s="10">
        <v>15260</v>
      </c>
      <c r="H467" s="7">
        <v>2</v>
      </c>
      <c r="I467" s="12">
        <f>IF(OR(Table2[[#This Row],[Rating]]=4,Table2[[#This Row],[Rating]]=5), 0.05*Table2[[#This Row],[Salary]],0)</f>
        <v>0</v>
      </c>
      <c r="J467" s="14">
        <f>VLOOKUP(Table2[[#This Row],[Salary]],'Tax rates'!A$2:C$8, 2) + VLOOKUP(Table2[[#This Row],[Salary]],'Tax rates'!A$2:C$8, 3) * (Table2[[#This Row],[Salary]] - VLOOKUP(Table2[[#This Row],[Salary]],'Tax rates'!A$2:C$8,1))</f>
        <v>1640.6999999999998</v>
      </c>
      <c r="K467" s="14">
        <f>Table2[[#This Row],[Salary]]-Table2[[#This Row],[Taxes]]</f>
        <v>13619.3</v>
      </c>
      <c r="L467" s="15">
        <f>Table2[[#This Row],[After tax salary]]+Table2[[#This Row],[Bonus]]</f>
        <v>13619.3</v>
      </c>
    </row>
    <row r="468" spans="1:12" x14ac:dyDescent="0.25">
      <c r="A468" s="5" t="s">
        <v>226</v>
      </c>
      <c r="B468" s="5" t="s">
        <v>1</v>
      </c>
      <c r="C468" s="5" t="s">
        <v>30</v>
      </c>
      <c r="D468" s="5" t="s">
        <v>3</v>
      </c>
      <c r="E468" s="6">
        <v>39703</v>
      </c>
      <c r="F468" s="5" t="s">
        <v>21</v>
      </c>
      <c r="G468" s="10">
        <v>46110</v>
      </c>
      <c r="H468" s="7">
        <v>4</v>
      </c>
      <c r="I468" s="12">
        <f>IF(OR(Table2[[#This Row],[Rating]]=4,Table2[[#This Row],[Rating]]=5), 0.05*Table2[[#This Row],[Salary]],0)</f>
        <v>2305.5</v>
      </c>
      <c r="J468" s="14">
        <f>VLOOKUP(Table2[[#This Row],[Salary]],'Tax rates'!A$2:C$8, 2) + VLOOKUP(Table2[[#This Row],[Salary]],'Tax rates'!A$2:C$8, 3) * (Table2[[#This Row],[Salary]] - VLOOKUP(Table2[[#This Row],[Salary]],'Tax rates'!A$2:C$8,1))</f>
        <v>6083.7</v>
      </c>
      <c r="K468" s="14">
        <f>Table2[[#This Row],[Salary]]-Table2[[#This Row],[Taxes]]</f>
        <v>40026.300000000003</v>
      </c>
      <c r="L468" s="15">
        <f>Table2[[#This Row],[After tax salary]]+Table2[[#This Row],[Bonus]]</f>
        <v>42331.8</v>
      </c>
    </row>
    <row r="469" spans="1:12" x14ac:dyDescent="0.25">
      <c r="A469" s="5" t="s">
        <v>123</v>
      </c>
      <c r="B469" s="5" t="s">
        <v>13</v>
      </c>
      <c r="C469" s="5" t="s">
        <v>106</v>
      </c>
      <c r="D469" s="5" t="s">
        <v>3</v>
      </c>
      <c r="E469" s="6">
        <v>39704</v>
      </c>
      <c r="F469" s="5" t="s">
        <v>9</v>
      </c>
      <c r="G469" s="10">
        <v>58290</v>
      </c>
      <c r="H469" s="7">
        <v>5</v>
      </c>
      <c r="I469" s="12">
        <f>IF(OR(Table2[[#This Row],[Rating]]=4,Table2[[#This Row],[Rating]]=5), 0.05*Table2[[#This Row],[Salary]],0)</f>
        <v>2914.5</v>
      </c>
      <c r="J469" s="14">
        <f>VLOOKUP(Table2[[#This Row],[Salary]],'Tax rates'!A$2:C$8, 2) + VLOOKUP(Table2[[#This Row],[Salary]],'Tax rates'!A$2:C$8, 3) * (Table2[[#This Row],[Salary]] - VLOOKUP(Table2[[#This Row],[Salary]],'Tax rates'!A$2:C$8,1))</f>
        <v>8763.2999999999993</v>
      </c>
      <c r="K469" s="14">
        <f>Table2[[#This Row],[Salary]]-Table2[[#This Row],[Taxes]]</f>
        <v>49526.7</v>
      </c>
      <c r="L469" s="15">
        <f>Table2[[#This Row],[After tax salary]]+Table2[[#This Row],[Bonus]]</f>
        <v>52441.2</v>
      </c>
    </row>
    <row r="470" spans="1:12" x14ac:dyDescent="0.25">
      <c r="A470" s="5" t="s">
        <v>273</v>
      </c>
      <c r="B470" s="5" t="s">
        <v>1</v>
      </c>
      <c r="C470" s="5" t="s">
        <v>35</v>
      </c>
      <c r="D470" s="5" t="s">
        <v>16</v>
      </c>
      <c r="E470" s="6">
        <v>39719</v>
      </c>
      <c r="F470" s="7"/>
      <c r="G470" s="10">
        <v>23340</v>
      </c>
      <c r="H470" s="7">
        <v>4</v>
      </c>
      <c r="I470" s="12">
        <f>IF(OR(Table2[[#This Row],[Rating]]=4,Table2[[#This Row],[Rating]]=5), 0.05*Table2[[#This Row],[Salary]],0)</f>
        <v>1167</v>
      </c>
      <c r="J470" s="14">
        <f>VLOOKUP(Table2[[#This Row],[Salary]],'Tax rates'!A$2:C$8, 2) + VLOOKUP(Table2[[#This Row],[Salary]],'Tax rates'!A$2:C$8, 3) * (Table2[[#This Row],[Salary]] - VLOOKUP(Table2[[#This Row],[Salary]],'Tax rates'!A$2:C$8,1))</f>
        <v>2610.3000000000002</v>
      </c>
      <c r="K470" s="14">
        <f>Table2[[#This Row],[Salary]]-Table2[[#This Row],[Taxes]]</f>
        <v>20729.7</v>
      </c>
      <c r="L470" s="15">
        <f>Table2[[#This Row],[After tax salary]]+Table2[[#This Row],[Bonus]]</f>
        <v>21896.7</v>
      </c>
    </row>
    <row r="471" spans="1:12" x14ac:dyDescent="0.25">
      <c r="A471" s="5" t="s">
        <v>104</v>
      </c>
      <c r="B471" s="5" t="s">
        <v>1</v>
      </c>
      <c r="C471" s="5" t="s">
        <v>2</v>
      </c>
      <c r="D471" s="5" t="s">
        <v>16</v>
      </c>
      <c r="E471" s="6">
        <v>39720</v>
      </c>
      <c r="F471" s="7"/>
      <c r="G471" s="10">
        <v>43320</v>
      </c>
      <c r="H471" s="7">
        <v>5</v>
      </c>
      <c r="I471" s="12">
        <f>IF(OR(Table2[[#This Row],[Rating]]=4,Table2[[#This Row],[Rating]]=5), 0.05*Table2[[#This Row],[Salary]],0)</f>
        <v>2166</v>
      </c>
      <c r="J471" s="14">
        <f>VLOOKUP(Table2[[#This Row],[Salary]],'Tax rates'!A$2:C$8, 2) + VLOOKUP(Table2[[#This Row],[Salary]],'Tax rates'!A$2:C$8, 3) * (Table2[[#This Row],[Salary]] - VLOOKUP(Table2[[#This Row],[Salary]],'Tax rates'!A$2:C$8,1))</f>
        <v>5469.9</v>
      </c>
      <c r="K471" s="14">
        <f>Table2[[#This Row],[Salary]]-Table2[[#This Row],[Taxes]]</f>
        <v>37850.1</v>
      </c>
      <c r="L471" s="15">
        <f>Table2[[#This Row],[After tax salary]]+Table2[[#This Row],[Bonus]]</f>
        <v>40016.1</v>
      </c>
    </row>
    <row r="472" spans="1:12" x14ac:dyDescent="0.25">
      <c r="A472" s="5" t="s">
        <v>291</v>
      </c>
      <c r="B472" s="5" t="s">
        <v>27</v>
      </c>
      <c r="C472" s="5" t="s">
        <v>35</v>
      </c>
      <c r="D472" s="5" t="s">
        <v>3</v>
      </c>
      <c r="E472" s="6">
        <v>39722</v>
      </c>
      <c r="F472" s="5" t="s">
        <v>4</v>
      </c>
      <c r="G472" s="10">
        <v>44530</v>
      </c>
      <c r="H472" s="7">
        <v>2</v>
      </c>
      <c r="I472" s="12">
        <f>IF(OR(Table2[[#This Row],[Rating]]=4,Table2[[#This Row],[Rating]]=5), 0.05*Table2[[#This Row],[Salary]],0)</f>
        <v>0</v>
      </c>
      <c r="J472" s="14">
        <f>VLOOKUP(Table2[[#This Row],[Salary]],'Tax rates'!A$2:C$8, 2) + VLOOKUP(Table2[[#This Row],[Salary]],'Tax rates'!A$2:C$8, 3) * (Table2[[#This Row],[Salary]] - VLOOKUP(Table2[[#This Row],[Salary]],'Tax rates'!A$2:C$8,1))</f>
        <v>5736.1</v>
      </c>
      <c r="K472" s="14">
        <f>Table2[[#This Row],[Salary]]-Table2[[#This Row],[Taxes]]</f>
        <v>38793.9</v>
      </c>
      <c r="L472" s="15">
        <f>Table2[[#This Row],[After tax salary]]+Table2[[#This Row],[Bonus]]</f>
        <v>38793.9</v>
      </c>
    </row>
    <row r="473" spans="1:12" x14ac:dyDescent="0.25">
      <c r="A473" s="5" t="s">
        <v>443</v>
      </c>
      <c r="B473" s="5" t="s">
        <v>1</v>
      </c>
      <c r="C473" s="5" t="s">
        <v>35</v>
      </c>
      <c r="D473" s="5" t="s">
        <v>3</v>
      </c>
      <c r="E473" s="6">
        <v>39728</v>
      </c>
      <c r="F473" s="5" t="s">
        <v>4</v>
      </c>
      <c r="G473" s="10">
        <v>82370</v>
      </c>
      <c r="H473" s="7">
        <v>5</v>
      </c>
      <c r="I473" s="12">
        <f>IF(OR(Table2[[#This Row],[Rating]]=4,Table2[[#This Row],[Rating]]=5), 0.05*Table2[[#This Row],[Salary]],0)</f>
        <v>4118.5</v>
      </c>
      <c r="J473" s="14">
        <f>VLOOKUP(Table2[[#This Row],[Salary]],'Tax rates'!A$2:C$8, 2) + VLOOKUP(Table2[[#This Row],[Salary]],'Tax rates'!A$2:C$8, 3) * (Table2[[#This Row],[Salary]] - VLOOKUP(Table2[[#This Row],[Salary]],'Tax rates'!A$2:C$8,1))</f>
        <v>14060.9</v>
      </c>
      <c r="K473" s="14">
        <f>Table2[[#This Row],[Salary]]-Table2[[#This Row],[Taxes]]</f>
        <v>68309.100000000006</v>
      </c>
      <c r="L473" s="15">
        <f>Table2[[#This Row],[After tax salary]]+Table2[[#This Row],[Bonus]]</f>
        <v>72427.600000000006</v>
      </c>
    </row>
    <row r="474" spans="1:12" x14ac:dyDescent="0.25">
      <c r="A474" s="5" t="s">
        <v>676</v>
      </c>
      <c r="B474" s="5" t="s">
        <v>51</v>
      </c>
      <c r="C474" s="5" t="s">
        <v>30</v>
      </c>
      <c r="D474" s="5" t="s">
        <v>24</v>
      </c>
      <c r="E474" s="6">
        <v>39728</v>
      </c>
      <c r="F474" s="5" t="s">
        <v>4</v>
      </c>
      <c r="G474" s="10">
        <v>45565</v>
      </c>
      <c r="H474" s="7">
        <v>1</v>
      </c>
      <c r="I474" s="12">
        <f>IF(OR(Table2[[#This Row],[Rating]]=4,Table2[[#This Row],[Rating]]=5), 0.05*Table2[[#This Row],[Salary]],0)</f>
        <v>0</v>
      </c>
      <c r="J474" s="14">
        <f>VLOOKUP(Table2[[#This Row],[Salary]],'Tax rates'!A$2:C$8, 2) + VLOOKUP(Table2[[#This Row],[Salary]],'Tax rates'!A$2:C$8, 3) * (Table2[[#This Row],[Salary]] - VLOOKUP(Table2[[#This Row],[Salary]],'Tax rates'!A$2:C$8,1))</f>
        <v>5963.8</v>
      </c>
      <c r="K474" s="14">
        <f>Table2[[#This Row],[Salary]]-Table2[[#This Row],[Taxes]]</f>
        <v>39601.199999999997</v>
      </c>
      <c r="L474" s="15">
        <f>Table2[[#This Row],[After tax salary]]+Table2[[#This Row],[Bonus]]</f>
        <v>39601.199999999997</v>
      </c>
    </row>
    <row r="475" spans="1:12" x14ac:dyDescent="0.25">
      <c r="A475" s="5" t="s">
        <v>445</v>
      </c>
      <c r="B475" s="5" t="s">
        <v>13</v>
      </c>
      <c r="C475" s="5" t="s">
        <v>35</v>
      </c>
      <c r="D475" s="5" t="s">
        <v>16</v>
      </c>
      <c r="E475" s="6">
        <v>39728</v>
      </c>
      <c r="F475" s="7"/>
      <c r="G475" s="10">
        <v>86040</v>
      </c>
      <c r="H475" s="7">
        <v>5</v>
      </c>
      <c r="I475" s="12">
        <f>IF(OR(Table2[[#This Row],[Rating]]=4,Table2[[#This Row],[Rating]]=5), 0.05*Table2[[#This Row],[Salary]],0)</f>
        <v>4302</v>
      </c>
      <c r="J475" s="14">
        <f>VLOOKUP(Table2[[#This Row],[Salary]],'Tax rates'!A$2:C$8, 2) + VLOOKUP(Table2[[#This Row],[Salary]],'Tax rates'!A$2:C$8, 3) * (Table2[[#This Row],[Salary]] - VLOOKUP(Table2[[#This Row],[Salary]],'Tax rates'!A$2:C$8,1))</f>
        <v>14939.1</v>
      </c>
      <c r="K475" s="14">
        <f>Table2[[#This Row],[Salary]]-Table2[[#This Row],[Taxes]]</f>
        <v>71100.899999999994</v>
      </c>
      <c r="L475" s="15">
        <f>Table2[[#This Row],[After tax salary]]+Table2[[#This Row],[Bonus]]</f>
        <v>75402.899999999994</v>
      </c>
    </row>
    <row r="476" spans="1:12" x14ac:dyDescent="0.25">
      <c r="A476" s="5" t="s">
        <v>534</v>
      </c>
      <c r="B476" s="5" t="s">
        <v>27</v>
      </c>
      <c r="C476" s="5" t="s">
        <v>23</v>
      </c>
      <c r="D476" s="5" t="s">
        <v>24</v>
      </c>
      <c r="E476" s="6">
        <v>39731</v>
      </c>
      <c r="F476" s="5" t="s">
        <v>4</v>
      </c>
      <c r="G476" s="10">
        <v>13435</v>
      </c>
      <c r="H476" s="7">
        <v>1</v>
      </c>
      <c r="I476" s="12">
        <f>IF(OR(Table2[[#This Row],[Rating]]=4,Table2[[#This Row],[Rating]]=5), 0.05*Table2[[#This Row],[Salary]],0)</f>
        <v>0</v>
      </c>
      <c r="J476" s="14">
        <f>VLOOKUP(Table2[[#This Row],[Salary]],'Tax rates'!A$2:C$8, 2) + VLOOKUP(Table2[[#This Row],[Salary]],'Tax rates'!A$2:C$8, 3) * (Table2[[#This Row],[Salary]] - VLOOKUP(Table2[[#This Row],[Salary]],'Tax rates'!A$2:C$8,1))</f>
        <v>1421.7</v>
      </c>
      <c r="K476" s="14">
        <f>Table2[[#This Row],[Salary]]-Table2[[#This Row],[Taxes]]</f>
        <v>12013.3</v>
      </c>
      <c r="L476" s="15">
        <f>Table2[[#This Row],[After tax salary]]+Table2[[#This Row],[Bonus]]</f>
        <v>12013.3</v>
      </c>
    </row>
    <row r="477" spans="1:12" x14ac:dyDescent="0.25">
      <c r="A477" s="5" t="s">
        <v>184</v>
      </c>
      <c r="B477" s="5" t="s">
        <v>1</v>
      </c>
      <c r="C477" s="5" t="s">
        <v>63</v>
      </c>
      <c r="D477" s="5" t="s">
        <v>32</v>
      </c>
      <c r="E477" s="6">
        <v>39733</v>
      </c>
      <c r="F477" s="7"/>
      <c r="G477" s="10">
        <v>33232</v>
      </c>
      <c r="H477" s="7">
        <v>4</v>
      </c>
      <c r="I477" s="12">
        <f>IF(OR(Table2[[#This Row],[Rating]]=4,Table2[[#This Row],[Rating]]=5), 0.05*Table2[[#This Row],[Salary]],0)</f>
        <v>1661.6000000000001</v>
      </c>
      <c r="J477" s="14">
        <f>VLOOKUP(Table2[[#This Row],[Salary]],'Tax rates'!A$2:C$8, 2) + VLOOKUP(Table2[[#This Row],[Salary]],'Tax rates'!A$2:C$8, 3) * (Table2[[#This Row],[Salary]] - VLOOKUP(Table2[[#This Row],[Salary]],'Tax rates'!A$2:C$8,1))</f>
        <v>3797.3399999999997</v>
      </c>
      <c r="K477" s="14">
        <f>Table2[[#This Row],[Salary]]-Table2[[#This Row],[Taxes]]</f>
        <v>29434.66</v>
      </c>
      <c r="L477" s="15">
        <f>Table2[[#This Row],[After tax salary]]+Table2[[#This Row],[Bonus]]</f>
        <v>31096.26</v>
      </c>
    </row>
    <row r="478" spans="1:12" x14ac:dyDescent="0.25">
      <c r="A478" s="5" t="s">
        <v>738</v>
      </c>
      <c r="B478" s="5" t="s">
        <v>13</v>
      </c>
      <c r="C478" s="5" t="s">
        <v>63</v>
      </c>
      <c r="D478" s="5" t="s">
        <v>24</v>
      </c>
      <c r="E478" s="6">
        <v>39735</v>
      </c>
      <c r="F478" s="5" t="s">
        <v>25</v>
      </c>
      <c r="G478" s="10">
        <v>39620</v>
      </c>
      <c r="H478" s="7">
        <v>5</v>
      </c>
      <c r="I478" s="12">
        <f>IF(OR(Table2[[#This Row],[Rating]]=4,Table2[[#This Row],[Rating]]=5), 0.05*Table2[[#This Row],[Salary]],0)</f>
        <v>1981</v>
      </c>
      <c r="J478" s="14">
        <f>VLOOKUP(Table2[[#This Row],[Salary]],'Tax rates'!A$2:C$8, 2) + VLOOKUP(Table2[[#This Row],[Salary]],'Tax rates'!A$2:C$8, 3) * (Table2[[#This Row],[Salary]] - VLOOKUP(Table2[[#This Row],[Salary]],'Tax rates'!A$2:C$8,1))</f>
        <v>4655.8999999999996</v>
      </c>
      <c r="K478" s="14">
        <f>Table2[[#This Row],[Salary]]-Table2[[#This Row],[Taxes]]</f>
        <v>34964.1</v>
      </c>
      <c r="L478" s="15">
        <f>Table2[[#This Row],[After tax salary]]+Table2[[#This Row],[Bonus]]</f>
        <v>36945.1</v>
      </c>
    </row>
    <row r="479" spans="1:12" x14ac:dyDescent="0.25">
      <c r="A479" s="5" t="s">
        <v>725</v>
      </c>
      <c r="B479" s="5" t="s">
        <v>13</v>
      </c>
      <c r="C479" s="5" t="s">
        <v>30</v>
      </c>
      <c r="D479" s="5" t="s">
        <v>16</v>
      </c>
      <c r="E479" s="6">
        <v>39742</v>
      </c>
      <c r="F479" s="7"/>
      <c r="G479" s="10">
        <v>23020</v>
      </c>
      <c r="H479" s="7">
        <v>4</v>
      </c>
      <c r="I479" s="12">
        <f>IF(OR(Table2[[#This Row],[Rating]]=4,Table2[[#This Row],[Rating]]=5), 0.05*Table2[[#This Row],[Salary]],0)</f>
        <v>1151</v>
      </c>
      <c r="J479" s="14">
        <f>VLOOKUP(Table2[[#This Row],[Salary]],'Tax rates'!A$2:C$8, 2) + VLOOKUP(Table2[[#This Row],[Salary]],'Tax rates'!A$2:C$8, 3) * (Table2[[#This Row],[Salary]] - VLOOKUP(Table2[[#This Row],[Salary]],'Tax rates'!A$2:C$8,1))</f>
        <v>2571.8999999999996</v>
      </c>
      <c r="K479" s="14">
        <f>Table2[[#This Row],[Salary]]-Table2[[#This Row],[Taxes]]</f>
        <v>20448.099999999999</v>
      </c>
      <c r="L479" s="15">
        <f>Table2[[#This Row],[After tax salary]]+Table2[[#This Row],[Bonus]]</f>
        <v>21599.1</v>
      </c>
    </row>
    <row r="480" spans="1:12" x14ac:dyDescent="0.25">
      <c r="A480" s="5" t="s">
        <v>661</v>
      </c>
      <c r="B480" s="5" t="s">
        <v>13</v>
      </c>
      <c r="C480" s="5" t="s">
        <v>35</v>
      </c>
      <c r="D480" s="5" t="s">
        <v>32</v>
      </c>
      <c r="E480" s="6">
        <v>39742</v>
      </c>
      <c r="F480" s="7"/>
      <c r="G480" s="10">
        <v>37344</v>
      </c>
      <c r="H480" s="7">
        <v>2</v>
      </c>
      <c r="I480" s="12">
        <f>IF(OR(Table2[[#This Row],[Rating]]=4,Table2[[#This Row],[Rating]]=5), 0.05*Table2[[#This Row],[Salary]],0)</f>
        <v>0</v>
      </c>
      <c r="J480" s="14">
        <f>VLOOKUP(Table2[[#This Row],[Salary]],'Tax rates'!A$2:C$8, 2) + VLOOKUP(Table2[[#This Row],[Salary]],'Tax rates'!A$2:C$8, 3) * (Table2[[#This Row],[Salary]] - VLOOKUP(Table2[[#This Row],[Salary]],'Tax rates'!A$2:C$8,1))</f>
        <v>4290.78</v>
      </c>
      <c r="K480" s="14">
        <f>Table2[[#This Row],[Salary]]-Table2[[#This Row],[Taxes]]</f>
        <v>33053.22</v>
      </c>
      <c r="L480" s="15">
        <f>Table2[[#This Row],[After tax salary]]+Table2[[#This Row],[Bonus]]</f>
        <v>33053.22</v>
      </c>
    </row>
    <row r="481" spans="1:12" x14ac:dyDescent="0.25">
      <c r="A481" s="5" t="s">
        <v>178</v>
      </c>
      <c r="B481" s="5" t="s">
        <v>1</v>
      </c>
      <c r="C481" s="5" t="s">
        <v>2</v>
      </c>
      <c r="D481" s="5" t="s">
        <v>3</v>
      </c>
      <c r="E481" s="6">
        <v>39745</v>
      </c>
      <c r="F481" s="5" t="s">
        <v>11</v>
      </c>
      <c r="G481" s="10">
        <v>29330</v>
      </c>
      <c r="H481" s="7">
        <v>5</v>
      </c>
      <c r="I481" s="12">
        <f>IF(OR(Table2[[#This Row],[Rating]]=4,Table2[[#This Row],[Rating]]=5), 0.05*Table2[[#This Row],[Salary]],0)</f>
        <v>1466.5</v>
      </c>
      <c r="J481" s="14">
        <f>VLOOKUP(Table2[[#This Row],[Salary]],'Tax rates'!A$2:C$8, 2) + VLOOKUP(Table2[[#This Row],[Salary]],'Tax rates'!A$2:C$8, 3) * (Table2[[#This Row],[Salary]] - VLOOKUP(Table2[[#This Row],[Salary]],'Tax rates'!A$2:C$8,1))</f>
        <v>3329.1</v>
      </c>
      <c r="K481" s="14">
        <f>Table2[[#This Row],[Salary]]-Table2[[#This Row],[Taxes]]</f>
        <v>26000.9</v>
      </c>
      <c r="L481" s="15">
        <f>Table2[[#This Row],[After tax salary]]+Table2[[#This Row],[Bonus]]</f>
        <v>27467.4</v>
      </c>
    </row>
    <row r="482" spans="1:12" x14ac:dyDescent="0.25">
      <c r="A482" s="5" t="s">
        <v>320</v>
      </c>
      <c r="B482" s="5" t="s">
        <v>29</v>
      </c>
      <c r="C482" s="5" t="s">
        <v>18</v>
      </c>
      <c r="D482" s="5" t="s">
        <v>32</v>
      </c>
      <c r="E482" s="6">
        <v>39747</v>
      </c>
      <c r="F482" s="7"/>
      <c r="G482" s="10">
        <v>10572</v>
      </c>
      <c r="H482" s="7">
        <v>4</v>
      </c>
      <c r="I482" s="12">
        <f>IF(OR(Table2[[#This Row],[Rating]]=4,Table2[[#This Row],[Rating]]=5), 0.05*Table2[[#This Row],[Salary]],0)</f>
        <v>528.6</v>
      </c>
      <c r="J482" s="14">
        <f>VLOOKUP(Table2[[#This Row],[Salary]],'Tax rates'!A$2:C$8, 2) + VLOOKUP(Table2[[#This Row],[Salary]],'Tax rates'!A$2:C$8, 3) * (Table2[[#This Row],[Salary]] - VLOOKUP(Table2[[#This Row],[Salary]],'Tax rates'!A$2:C$8,1))</f>
        <v>1078.1400000000001</v>
      </c>
      <c r="K482" s="14">
        <f>Table2[[#This Row],[Salary]]-Table2[[#This Row],[Taxes]]</f>
        <v>9493.86</v>
      </c>
      <c r="L482" s="15">
        <f>Table2[[#This Row],[After tax salary]]+Table2[[#This Row],[Bonus]]</f>
        <v>10022.460000000001</v>
      </c>
    </row>
    <row r="483" spans="1:12" x14ac:dyDescent="0.25">
      <c r="A483" s="5" t="s">
        <v>437</v>
      </c>
      <c r="B483" s="5" t="s">
        <v>29</v>
      </c>
      <c r="C483" s="5" t="s">
        <v>63</v>
      </c>
      <c r="D483" s="5" t="s">
        <v>3</v>
      </c>
      <c r="E483" s="6">
        <v>39754</v>
      </c>
      <c r="F483" s="5" t="s">
        <v>11</v>
      </c>
      <c r="G483" s="10">
        <v>43110</v>
      </c>
      <c r="H483" s="7">
        <v>2</v>
      </c>
      <c r="I483" s="12">
        <f>IF(OR(Table2[[#This Row],[Rating]]=4,Table2[[#This Row],[Rating]]=5), 0.05*Table2[[#This Row],[Salary]],0)</f>
        <v>0</v>
      </c>
      <c r="J483" s="14">
        <f>VLOOKUP(Table2[[#This Row],[Salary]],'Tax rates'!A$2:C$8, 2) + VLOOKUP(Table2[[#This Row],[Salary]],'Tax rates'!A$2:C$8, 3) * (Table2[[#This Row],[Salary]] - VLOOKUP(Table2[[#This Row],[Salary]],'Tax rates'!A$2:C$8,1))</f>
        <v>5423.7</v>
      </c>
      <c r="K483" s="14">
        <f>Table2[[#This Row],[Salary]]-Table2[[#This Row],[Taxes]]</f>
        <v>37686.300000000003</v>
      </c>
      <c r="L483" s="15">
        <f>Table2[[#This Row],[After tax salary]]+Table2[[#This Row],[Bonus]]</f>
        <v>37686.300000000003</v>
      </c>
    </row>
    <row r="484" spans="1:12" x14ac:dyDescent="0.25">
      <c r="A484" s="5" t="s">
        <v>522</v>
      </c>
      <c r="B484" s="5" t="s">
        <v>1</v>
      </c>
      <c r="C484" s="5" t="s">
        <v>20</v>
      </c>
      <c r="D484" s="5" t="s">
        <v>32</v>
      </c>
      <c r="E484" s="6">
        <v>39758</v>
      </c>
      <c r="F484" s="7"/>
      <c r="G484" s="10">
        <v>14712</v>
      </c>
      <c r="H484" s="7">
        <v>5</v>
      </c>
      <c r="I484" s="12">
        <f>IF(OR(Table2[[#This Row],[Rating]]=4,Table2[[#This Row],[Rating]]=5), 0.05*Table2[[#This Row],[Salary]],0)</f>
        <v>735.6</v>
      </c>
      <c r="J484" s="14">
        <f>VLOOKUP(Table2[[#This Row],[Salary]],'Tax rates'!A$2:C$8, 2) + VLOOKUP(Table2[[#This Row],[Salary]],'Tax rates'!A$2:C$8, 3) * (Table2[[#This Row],[Salary]] - VLOOKUP(Table2[[#This Row],[Salary]],'Tax rates'!A$2:C$8,1))</f>
        <v>1574.94</v>
      </c>
      <c r="K484" s="14">
        <f>Table2[[#This Row],[Salary]]-Table2[[#This Row],[Taxes]]</f>
        <v>13137.06</v>
      </c>
      <c r="L484" s="15">
        <f>Table2[[#This Row],[After tax salary]]+Table2[[#This Row],[Bonus]]</f>
        <v>13872.66</v>
      </c>
    </row>
    <row r="485" spans="1:12" x14ac:dyDescent="0.25">
      <c r="A485" s="5" t="s">
        <v>598</v>
      </c>
      <c r="B485" s="5" t="s">
        <v>1</v>
      </c>
      <c r="C485" s="5" t="s">
        <v>18</v>
      </c>
      <c r="D485" s="5" t="s">
        <v>3</v>
      </c>
      <c r="E485" s="6">
        <v>39760</v>
      </c>
      <c r="F485" s="5" t="s">
        <v>4</v>
      </c>
      <c r="G485" s="10">
        <v>61060</v>
      </c>
      <c r="H485" s="7">
        <v>5</v>
      </c>
      <c r="I485" s="12">
        <f>IF(OR(Table2[[#This Row],[Rating]]=4,Table2[[#This Row],[Rating]]=5), 0.05*Table2[[#This Row],[Salary]],0)</f>
        <v>3053</v>
      </c>
      <c r="J485" s="14">
        <f>VLOOKUP(Table2[[#This Row],[Salary]],'Tax rates'!A$2:C$8, 2) + VLOOKUP(Table2[[#This Row],[Salary]],'Tax rates'!A$2:C$8, 3) * (Table2[[#This Row],[Salary]] - VLOOKUP(Table2[[#This Row],[Salary]],'Tax rates'!A$2:C$8,1))</f>
        <v>9372.7000000000007</v>
      </c>
      <c r="K485" s="14">
        <f>Table2[[#This Row],[Salary]]-Table2[[#This Row],[Taxes]]</f>
        <v>51687.3</v>
      </c>
      <c r="L485" s="15">
        <f>Table2[[#This Row],[After tax salary]]+Table2[[#This Row],[Bonus]]</f>
        <v>54740.3</v>
      </c>
    </row>
    <row r="486" spans="1:12" x14ac:dyDescent="0.25">
      <c r="A486" s="5" t="s">
        <v>227</v>
      </c>
      <c r="B486" s="5" t="s">
        <v>1</v>
      </c>
      <c r="C486" s="5" t="s">
        <v>63</v>
      </c>
      <c r="D486" s="5" t="s">
        <v>3</v>
      </c>
      <c r="E486" s="6">
        <v>39761</v>
      </c>
      <c r="F486" s="5" t="s">
        <v>4</v>
      </c>
      <c r="G486" s="10">
        <v>40940</v>
      </c>
      <c r="H486" s="7">
        <v>3</v>
      </c>
      <c r="I486" s="12">
        <f>IF(OR(Table2[[#This Row],[Rating]]=4,Table2[[#This Row],[Rating]]=5), 0.05*Table2[[#This Row],[Salary]],0)</f>
        <v>0</v>
      </c>
      <c r="J486" s="14">
        <f>VLOOKUP(Table2[[#This Row],[Salary]],'Tax rates'!A$2:C$8, 2) + VLOOKUP(Table2[[#This Row],[Salary]],'Tax rates'!A$2:C$8, 3) * (Table2[[#This Row],[Salary]] - VLOOKUP(Table2[[#This Row],[Salary]],'Tax rates'!A$2:C$8,1))</f>
        <v>4946.3</v>
      </c>
      <c r="K486" s="14">
        <f>Table2[[#This Row],[Salary]]-Table2[[#This Row],[Taxes]]</f>
        <v>35993.699999999997</v>
      </c>
      <c r="L486" s="15">
        <f>Table2[[#This Row],[After tax salary]]+Table2[[#This Row],[Bonus]]</f>
        <v>35993.699999999997</v>
      </c>
    </row>
    <row r="487" spans="1:12" x14ac:dyDescent="0.25">
      <c r="A487" s="5" t="s">
        <v>775</v>
      </c>
      <c r="B487" s="5" t="s">
        <v>1</v>
      </c>
      <c r="C487" s="5" t="s">
        <v>75</v>
      </c>
      <c r="D487" s="5" t="s">
        <v>16</v>
      </c>
      <c r="E487" s="6">
        <v>39765</v>
      </c>
      <c r="F487" s="7"/>
      <c r="G487" s="10">
        <v>46670</v>
      </c>
      <c r="H487" s="7">
        <v>3</v>
      </c>
      <c r="I487" s="12">
        <f>IF(OR(Table2[[#This Row],[Rating]]=4,Table2[[#This Row],[Rating]]=5), 0.05*Table2[[#This Row],[Salary]],0)</f>
        <v>0</v>
      </c>
      <c r="J487" s="14">
        <f>VLOOKUP(Table2[[#This Row],[Salary]],'Tax rates'!A$2:C$8, 2) + VLOOKUP(Table2[[#This Row],[Salary]],'Tax rates'!A$2:C$8, 3) * (Table2[[#This Row],[Salary]] - VLOOKUP(Table2[[#This Row],[Salary]],'Tax rates'!A$2:C$8,1))</f>
        <v>6206.9</v>
      </c>
      <c r="K487" s="14">
        <f>Table2[[#This Row],[Salary]]-Table2[[#This Row],[Taxes]]</f>
        <v>40463.1</v>
      </c>
      <c r="L487" s="15">
        <f>Table2[[#This Row],[After tax salary]]+Table2[[#This Row],[Bonus]]</f>
        <v>40463.1</v>
      </c>
    </row>
    <row r="488" spans="1:12" x14ac:dyDescent="0.25">
      <c r="A488" s="5" t="s">
        <v>186</v>
      </c>
      <c r="B488" s="5" t="s">
        <v>6</v>
      </c>
      <c r="C488" s="5" t="s">
        <v>8</v>
      </c>
      <c r="D488" s="5" t="s">
        <v>24</v>
      </c>
      <c r="E488" s="6">
        <v>39768</v>
      </c>
      <c r="F488" s="5" t="s">
        <v>4</v>
      </c>
      <c r="G488" s="10">
        <v>39515</v>
      </c>
      <c r="H488" s="7">
        <v>5</v>
      </c>
      <c r="I488" s="12">
        <f>IF(OR(Table2[[#This Row],[Rating]]=4,Table2[[#This Row],[Rating]]=5), 0.05*Table2[[#This Row],[Salary]],0)</f>
        <v>1975.75</v>
      </c>
      <c r="J488" s="14">
        <f>VLOOKUP(Table2[[#This Row],[Salary]],'Tax rates'!A$2:C$8, 2) + VLOOKUP(Table2[[#This Row],[Salary]],'Tax rates'!A$2:C$8, 3) * (Table2[[#This Row],[Salary]] - VLOOKUP(Table2[[#This Row],[Salary]],'Tax rates'!A$2:C$8,1))</f>
        <v>4632.8</v>
      </c>
      <c r="K488" s="14">
        <f>Table2[[#This Row],[Salary]]-Table2[[#This Row],[Taxes]]</f>
        <v>34882.199999999997</v>
      </c>
      <c r="L488" s="15">
        <f>Table2[[#This Row],[After tax salary]]+Table2[[#This Row],[Bonus]]</f>
        <v>36857.949999999997</v>
      </c>
    </row>
    <row r="489" spans="1:12" x14ac:dyDescent="0.25">
      <c r="A489" s="5" t="s">
        <v>182</v>
      </c>
      <c r="B489" s="5" t="s">
        <v>6</v>
      </c>
      <c r="C489" s="5" t="s">
        <v>35</v>
      </c>
      <c r="D489" s="5" t="s">
        <v>16</v>
      </c>
      <c r="E489" s="6">
        <v>39768</v>
      </c>
      <c r="F489" s="7"/>
      <c r="G489" s="10">
        <v>63610</v>
      </c>
      <c r="H489" s="7">
        <v>5</v>
      </c>
      <c r="I489" s="12">
        <f>IF(OR(Table2[[#This Row],[Rating]]=4,Table2[[#This Row],[Rating]]=5), 0.05*Table2[[#This Row],[Salary]],0)</f>
        <v>3180.5</v>
      </c>
      <c r="J489" s="14">
        <f>VLOOKUP(Table2[[#This Row],[Salary]],'Tax rates'!A$2:C$8, 2) + VLOOKUP(Table2[[#This Row],[Salary]],'Tax rates'!A$2:C$8, 3) * (Table2[[#This Row],[Salary]] - VLOOKUP(Table2[[#This Row],[Salary]],'Tax rates'!A$2:C$8,1))</f>
        <v>9933.7000000000007</v>
      </c>
      <c r="K489" s="14">
        <f>Table2[[#This Row],[Salary]]-Table2[[#This Row],[Taxes]]</f>
        <v>53676.3</v>
      </c>
      <c r="L489" s="15">
        <f>Table2[[#This Row],[After tax salary]]+Table2[[#This Row],[Bonus]]</f>
        <v>56856.800000000003</v>
      </c>
    </row>
    <row r="490" spans="1:12" x14ac:dyDescent="0.25">
      <c r="A490" s="5" t="s">
        <v>349</v>
      </c>
      <c r="B490" s="5" t="s">
        <v>1</v>
      </c>
      <c r="C490" s="5" t="s">
        <v>30</v>
      </c>
      <c r="D490" s="5" t="s">
        <v>16</v>
      </c>
      <c r="E490" s="6">
        <v>39772</v>
      </c>
      <c r="F490" s="7"/>
      <c r="G490" s="10">
        <v>85980</v>
      </c>
      <c r="H490" s="7">
        <v>2</v>
      </c>
      <c r="I490" s="12">
        <f>IF(OR(Table2[[#This Row],[Rating]]=4,Table2[[#This Row],[Rating]]=5), 0.05*Table2[[#This Row],[Salary]],0)</f>
        <v>0</v>
      </c>
      <c r="J490" s="14">
        <f>VLOOKUP(Table2[[#This Row],[Salary]],'Tax rates'!A$2:C$8, 2) + VLOOKUP(Table2[[#This Row],[Salary]],'Tax rates'!A$2:C$8, 3) * (Table2[[#This Row],[Salary]] - VLOOKUP(Table2[[#This Row],[Salary]],'Tax rates'!A$2:C$8,1))</f>
        <v>14924.7</v>
      </c>
      <c r="K490" s="14">
        <f>Table2[[#This Row],[Salary]]-Table2[[#This Row],[Taxes]]</f>
        <v>71055.3</v>
      </c>
      <c r="L490" s="15">
        <f>Table2[[#This Row],[After tax salary]]+Table2[[#This Row],[Bonus]]</f>
        <v>71055.3</v>
      </c>
    </row>
    <row r="491" spans="1:12" x14ac:dyDescent="0.25">
      <c r="A491" s="5" t="s">
        <v>300</v>
      </c>
      <c r="B491" s="5" t="s">
        <v>51</v>
      </c>
      <c r="C491" s="5" t="s">
        <v>23</v>
      </c>
      <c r="D491" s="5" t="s">
        <v>16</v>
      </c>
      <c r="E491" s="6">
        <v>39783</v>
      </c>
      <c r="F491" s="7"/>
      <c r="G491" s="10">
        <v>54000</v>
      </c>
      <c r="H491" s="7">
        <v>3</v>
      </c>
      <c r="I491" s="12">
        <f>IF(OR(Table2[[#This Row],[Rating]]=4,Table2[[#This Row],[Rating]]=5), 0.05*Table2[[#This Row],[Salary]],0)</f>
        <v>0</v>
      </c>
      <c r="J491" s="14">
        <f>VLOOKUP(Table2[[#This Row],[Salary]],'Tax rates'!A$2:C$8, 2) + VLOOKUP(Table2[[#This Row],[Salary]],'Tax rates'!A$2:C$8, 3) * (Table2[[#This Row],[Salary]] - VLOOKUP(Table2[[#This Row],[Salary]],'Tax rates'!A$2:C$8,1))</f>
        <v>7819.5</v>
      </c>
      <c r="K491" s="14">
        <f>Table2[[#This Row],[Salary]]-Table2[[#This Row],[Taxes]]</f>
        <v>46180.5</v>
      </c>
      <c r="L491" s="15">
        <f>Table2[[#This Row],[After tax salary]]+Table2[[#This Row],[Bonus]]</f>
        <v>46180.5</v>
      </c>
    </row>
    <row r="492" spans="1:12" x14ac:dyDescent="0.25">
      <c r="A492" s="5" t="s">
        <v>400</v>
      </c>
      <c r="B492" s="5" t="s">
        <v>6</v>
      </c>
      <c r="C492" s="5" t="s">
        <v>35</v>
      </c>
      <c r="D492" s="5" t="s">
        <v>3</v>
      </c>
      <c r="E492" s="6">
        <v>39784</v>
      </c>
      <c r="F492" s="5" t="s">
        <v>4</v>
      </c>
      <c r="G492" s="10">
        <v>69510</v>
      </c>
      <c r="H492" s="7">
        <v>5</v>
      </c>
      <c r="I492" s="12">
        <f>IF(OR(Table2[[#This Row],[Rating]]=4,Table2[[#This Row],[Rating]]=5), 0.05*Table2[[#This Row],[Salary]],0)</f>
        <v>3475.5</v>
      </c>
      <c r="J492" s="14">
        <f>VLOOKUP(Table2[[#This Row],[Salary]],'Tax rates'!A$2:C$8, 2) + VLOOKUP(Table2[[#This Row],[Salary]],'Tax rates'!A$2:C$8, 3) * (Table2[[#This Row],[Salary]] - VLOOKUP(Table2[[#This Row],[Salary]],'Tax rates'!A$2:C$8,1))</f>
        <v>11231.7</v>
      </c>
      <c r="K492" s="14">
        <f>Table2[[#This Row],[Salary]]-Table2[[#This Row],[Taxes]]</f>
        <v>58278.3</v>
      </c>
      <c r="L492" s="15">
        <f>Table2[[#This Row],[After tax salary]]+Table2[[#This Row],[Bonus]]</f>
        <v>61753.8</v>
      </c>
    </row>
    <row r="493" spans="1:12" x14ac:dyDescent="0.25">
      <c r="A493" s="5" t="s">
        <v>132</v>
      </c>
      <c r="B493" s="5" t="s">
        <v>29</v>
      </c>
      <c r="C493" s="5" t="s">
        <v>18</v>
      </c>
      <c r="D493" s="5" t="s">
        <v>16</v>
      </c>
      <c r="E493" s="6">
        <v>39785</v>
      </c>
      <c r="F493" s="7"/>
      <c r="G493" s="10">
        <v>80690</v>
      </c>
      <c r="H493" s="7">
        <v>3</v>
      </c>
      <c r="I493" s="12">
        <f>IF(OR(Table2[[#This Row],[Rating]]=4,Table2[[#This Row],[Rating]]=5), 0.05*Table2[[#This Row],[Salary]],0)</f>
        <v>0</v>
      </c>
      <c r="J493" s="14">
        <f>VLOOKUP(Table2[[#This Row],[Salary]],'Tax rates'!A$2:C$8, 2) + VLOOKUP(Table2[[#This Row],[Salary]],'Tax rates'!A$2:C$8, 3) * (Table2[[#This Row],[Salary]] - VLOOKUP(Table2[[#This Row],[Salary]],'Tax rates'!A$2:C$8,1))</f>
        <v>13691.3</v>
      </c>
      <c r="K493" s="14">
        <f>Table2[[#This Row],[Salary]]-Table2[[#This Row],[Taxes]]</f>
        <v>66998.7</v>
      </c>
      <c r="L493" s="15">
        <f>Table2[[#This Row],[After tax salary]]+Table2[[#This Row],[Bonus]]</f>
        <v>66998.7</v>
      </c>
    </row>
    <row r="494" spans="1:12" x14ac:dyDescent="0.25">
      <c r="A494" s="5" t="s">
        <v>351</v>
      </c>
      <c r="B494" s="5" t="s">
        <v>1</v>
      </c>
      <c r="C494" s="5" t="s">
        <v>2</v>
      </c>
      <c r="D494" s="5" t="s">
        <v>3</v>
      </c>
      <c r="E494" s="6">
        <v>39797</v>
      </c>
      <c r="F494" s="5" t="s">
        <v>4</v>
      </c>
      <c r="G494" s="10">
        <v>53900</v>
      </c>
      <c r="H494" s="7">
        <v>5</v>
      </c>
      <c r="I494" s="12">
        <f>IF(OR(Table2[[#This Row],[Rating]]=4,Table2[[#This Row],[Rating]]=5), 0.05*Table2[[#This Row],[Salary]],0)</f>
        <v>2695</v>
      </c>
      <c r="J494" s="14">
        <f>VLOOKUP(Table2[[#This Row],[Salary]],'Tax rates'!A$2:C$8, 2) + VLOOKUP(Table2[[#This Row],[Salary]],'Tax rates'!A$2:C$8, 3) * (Table2[[#This Row],[Salary]] - VLOOKUP(Table2[[#This Row],[Salary]],'Tax rates'!A$2:C$8,1))</f>
        <v>7797.5</v>
      </c>
      <c r="K494" s="14">
        <f>Table2[[#This Row],[Salary]]-Table2[[#This Row],[Taxes]]</f>
        <v>46102.5</v>
      </c>
      <c r="L494" s="15">
        <f>Table2[[#This Row],[After tax salary]]+Table2[[#This Row],[Bonus]]</f>
        <v>48797.5</v>
      </c>
    </row>
    <row r="495" spans="1:12" x14ac:dyDescent="0.25">
      <c r="A495" s="5" t="s">
        <v>697</v>
      </c>
      <c r="B495" s="5" t="s">
        <v>29</v>
      </c>
      <c r="C495" s="5" t="s">
        <v>75</v>
      </c>
      <c r="D495" s="5" t="s">
        <v>24</v>
      </c>
      <c r="E495" s="6">
        <v>39802</v>
      </c>
      <c r="F495" s="5" t="s">
        <v>9</v>
      </c>
      <c r="G495" s="10">
        <v>22535</v>
      </c>
      <c r="H495" s="7">
        <v>3</v>
      </c>
      <c r="I495" s="12">
        <f>IF(OR(Table2[[#This Row],[Rating]]=4,Table2[[#This Row],[Rating]]=5), 0.05*Table2[[#This Row],[Salary]],0)</f>
        <v>0</v>
      </c>
      <c r="J495" s="14">
        <f>VLOOKUP(Table2[[#This Row],[Salary]],'Tax rates'!A$2:C$8, 2) + VLOOKUP(Table2[[#This Row],[Salary]],'Tax rates'!A$2:C$8, 3) * (Table2[[#This Row],[Salary]] - VLOOKUP(Table2[[#This Row],[Salary]],'Tax rates'!A$2:C$8,1))</f>
        <v>2513.6999999999998</v>
      </c>
      <c r="K495" s="14">
        <f>Table2[[#This Row],[Salary]]-Table2[[#This Row],[Taxes]]</f>
        <v>20021.3</v>
      </c>
      <c r="L495" s="15">
        <f>Table2[[#This Row],[After tax salary]]+Table2[[#This Row],[Bonus]]</f>
        <v>20021.3</v>
      </c>
    </row>
    <row r="496" spans="1:12" x14ac:dyDescent="0.25">
      <c r="A496" s="5" t="s">
        <v>264</v>
      </c>
      <c r="B496" s="5" t="s">
        <v>6</v>
      </c>
      <c r="C496" s="5" t="s">
        <v>75</v>
      </c>
      <c r="D496" s="5" t="s">
        <v>16</v>
      </c>
      <c r="E496" s="6">
        <v>39803</v>
      </c>
      <c r="F496" s="7"/>
      <c r="G496" s="10">
        <v>42940</v>
      </c>
      <c r="H496" s="7">
        <v>1</v>
      </c>
      <c r="I496" s="12">
        <f>IF(OR(Table2[[#This Row],[Rating]]=4,Table2[[#This Row],[Rating]]=5), 0.05*Table2[[#This Row],[Salary]],0)</f>
        <v>0</v>
      </c>
      <c r="J496" s="14">
        <f>VLOOKUP(Table2[[#This Row],[Salary]],'Tax rates'!A$2:C$8, 2) + VLOOKUP(Table2[[#This Row],[Salary]],'Tax rates'!A$2:C$8, 3) * (Table2[[#This Row],[Salary]] - VLOOKUP(Table2[[#This Row],[Salary]],'Tax rates'!A$2:C$8,1))</f>
        <v>5386.3</v>
      </c>
      <c r="K496" s="14">
        <f>Table2[[#This Row],[Salary]]-Table2[[#This Row],[Taxes]]</f>
        <v>37553.699999999997</v>
      </c>
      <c r="L496" s="15">
        <f>Table2[[#This Row],[After tax salary]]+Table2[[#This Row],[Bonus]]</f>
        <v>37553.699999999997</v>
      </c>
    </row>
    <row r="497" spans="1:12" x14ac:dyDescent="0.25">
      <c r="A497" s="5" t="s">
        <v>718</v>
      </c>
      <c r="B497" s="5" t="s">
        <v>51</v>
      </c>
      <c r="C497" s="5" t="s">
        <v>30</v>
      </c>
      <c r="D497" s="5" t="s">
        <v>3</v>
      </c>
      <c r="E497" s="6">
        <v>39807</v>
      </c>
      <c r="F497" s="5" t="s">
        <v>25</v>
      </c>
      <c r="G497" s="10">
        <v>88820</v>
      </c>
      <c r="H497" s="7">
        <v>2</v>
      </c>
      <c r="I497" s="12">
        <f>IF(OR(Table2[[#This Row],[Rating]]=4,Table2[[#This Row],[Rating]]=5), 0.05*Table2[[#This Row],[Salary]],0)</f>
        <v>0</v>
      </c>
      <c r="J497" s="14">
        <f>VLOOKUP(Table2[[#This Row],[Salary]],'Tax rates'!A$2:C$8, 2) + VLOOKUP(Table2[[#This Row],[Salary]],'Tax rates'!A$2:C$8, 3) * (Table2[[#This Row],[Salary]] - VLOOKUP(Table2[[#This Row],[Salary]],'Tax rates'!A$2:C$8,1))</f>
        <v>15606.3</v>
      </c>
      <c r="K497" s="14">
        <f>Table2[[#This Row],[Salary]]-Table2[[#This Row],[Taxes]]</f>
        <v>73213.7</v>
      </c>
      <c r="L497" s="15">
        <f>Table2[[#This Row],[After tax salary]]+Table2[[#This Row],[Bonus]]</f>
        <v>73213.7</v>
      </c>
    </row>
    <row r="498" spans="1:12" x14ac:dyDescent="0.25">
      <c r="A498" s="5" t="s">
        <v>278</v>
      </c>
      <c r="B498" s="5" t="s">
        <v>6</v>
      </c>
      <c r="C498" s="5" t="s">
        <v>30</v>
      </c>
      <c r="D498" s="5" t="s">
        <v>16</v>
      </c>
      <c r="E498" s="6">
        <v>39809</v>
      </c>
      <c r="F498" s="7"/>
      <c r="G498" s="10">
        <v>58650</v>
      </c>
      <c r="H498" s="7">
        <v>4</v>
      </c>
      <c r="I498" s="12">
        <f>IF(OR(Table2[[#This Row],[Rating]]=4,Table2[[#This Row],[Rating]]=5), 0.05*Table2[[#This Row],[Salary]],0)</f>
        <v>2932.5</v>
      </c>
      <c r="J498" s="14">
        <f>VLOOKUP(Table2[[#This Row],[Salary]],'Tax rates'!A$2:C$8, 2) + VLOOKUP(Table2[[#This Row],[Salary]],'Tax rates'!A$2:C$8, 3) * (Table2[[#This Row],[Salary]] - VLOOKUP(Table2[[#This Row],[Salary]],'Tax rates'!A$2:C$8,1))</f>
        <v>8842.5</v>
      </c>
      <c r="K498" s="14">
        <f>Table2[[#This Row],[Salary]]-Table2[[#This Row],[Taxes]]</f>
        <v>49807.5</v>
      </c>
      <c r="L498" s="15">
        <f>Table2[[#This Row],[After tax salary]]+Table2[[#This Row],[Bonus]]</f>
        <v>52740</v>
      </c>
    </row>
    <row r="499" spans="1:12" x14ac:dyDescent="0.25">
      <c r="A499" s="5" t="s">
        <v>497</v>
      </c>
      <c r="B499" s="5" t="s">
        <v>13</v>
      </c>
      <c r="C499" s="5" t="s">
        <v>2</v>
      </c>
      <c r="D499" s="5" t="s">
        <v>3</v>
      </c>
      <c r="E499" s="6">
        <v>39815</v>
      </c>
      <c r="F499" s="5" t="s">
        <v>11</v>
      </c>
      <c r="G499" s="10">
        <v>72060</v>
      </c>
      <c r="H499" s="7">
        <v>2</v>
      </c>
      <c r="I499" s="12">
        <f>IF(OR(Table2[[#This Row],[Rating]]=4,Table2[[#This Row],[Rating]]=5), 0.05*Table2[[#This Row],[Salary]],0)</f>
        <v>0</v>
      </c>
      <c r="J499" s="14">
        <f>VLOOKUP(Table2[[#This Row],[Salary]],'Tax rates'!A$2:C$8, 2) + VLOOKUP(Table2[[#This Row],[Salary]],'Tax rates'!A$2:C$8, 3) * (Table2[[#This Row],[Salary]] - VLOOKUP(Table2[[#This Row],[Salary]],'Tax rates'!A$2:C$8,1))</f>
        <v>11792.7</v>
      </c>
      <c r="K499" s="14">
        <f>Table2[[#This Row],[Salary]]-Table2[[#This Row],[Taxes]]</f>
        <v>60267.3</v>
      </c>
      <c r="L499" s="15">
        <f>Table2[[#This Row],[After tax salary]]+Table2[[#This Row],[Bonus]]</f>
        <v>60267.3</v>
      </c>
    </row>
    <row r="500" spans="1:12" x14ac:dyDescent="0.25">
      <c r="A500" s="5" t="s">
        <v>174</v>
      </c>
      <c r="B500" s="5" t="s">
        <v>13</v>
      </c>
      <c r="C500" s="5" t="s">
        <v>18</v>
      </c>
      <c r="D500" s="5" t="s">
        <v>16</v>
      </c>
      <c r="E500" s="6">
        <v>39822</v>
      </c>
      <c r="F500" s="7"/>
      <c r="G500" s="10">
        <v>60040</v>
      </c>
      <c r="H500" s="7">
        <v>5</v>
      </c>
      <c r="I500" s="12">
        <f>IF(OR(Table2[[#This Row],[Rating]]=4,Table2[[#This Row],[Rating]]=5), 0.05*Table2[[#This Row],[Salary]],0)</f>
        <v>3002</v>
      </c>
      <c r="J500" s="14">
        <f>VLOOKUP(Table2[[#This Row],[Salary]],'Tax rates'!A$2:C$8, 2) + VLOOKUP(Table2[[#This Row],[Salary]],'Tax rates'!A$2:C$8, 3) * (Table2[[#This Row],[Salary]] - VLOOKUP(Table2[[#This Row],[Salary]],'Tax rates'!A$2:C$8,1))</f>
        <v>9148.2999999999993</v>
      </c>
      <c r="K500" s="14">
        <f>Table2[[#This Row],[Salary]]-Table2[[#This Row],[Taxes]]</f>
        <v>50891.7</v>
      </c>
      <c r="L500" s="15">
        <f>Table2[[#This Row],[After tax salary]]+Table2[[#This Row],[Bonus]]</f>
        <v>53893.7</v>
      </c>
    </row>
    <row r="501" spans="1:12" x14ac:dyDescent="0.25">
      <c r="A501" s="5" t="s">
        <v>616</v>
      </c>
      <c r="B501" s="5" t="s">
        <v>13</v>
      </c>
      <c r="C501" s="5" t="s">
        <v>18</v>
      </c>
      <c r="D501" s="5" t="s">
        <v>16</v>
      </c>
      <c r="E501" s="6">
        <v>39830</v>
      </c>
      <c r="F501" s="7"/>
      <c r="G501" s="10">
        <v>78520</v>
      </c>
      <c r="H501" s="7">
        <v>4</v>
      </c>
      <c r="I501" s="12">
        <f>IF(OR(Table2[[#This Row],[Rating]]=4,Table2[[#This Row],[Rating]]=5), 0.05*Table2[[#This Row],[Salary]],0)</f>
        <v>3926</v>
      </c>
      <c r="J501" s="14">
        <f>VLOOKUP(Table2[[#This Row],[Salary]],'Tax rates'!A$2:C$8, 2) + VLOOKUP(Table2[[#This Row],[Salary]],'Tax rates'!A$2:C$8, 3) * (Table2[[#This Row],[Salary]] - VLOOKUP(Table2[[#This Row],[Salary]],'Tax rates'!A$2:C$8,1))</f>
        <v>13213.9</v>
      </c>
      <c r="K501" s="14">
        <f>Table2[[#This Row],[Salary]]-Table2[[#This Row],[Taxes]]</f>
        <v>65306.1</v>
      </c>
      <c r="L501" s="15">
        <f>Table2[[#This Row],[After tax salary]]+Table2[[#This Row],[Bonus]]</f>
        <v>69232.100000000006</v>
      </c>
    </row>
    <row r="502" spans="1:12" x14ac:dyDescent="0.25">
      <c r="A502" s="5" t="s">
        <v>332</v>
      </c>
      <c r="B502" s="5" t="s">
        <v>1</v>
      </c>
      <c r="C502" s="5" t="s">
        <v>30</v>
      </c>
      <c r="D502" s="5" t="s">
        <v>3</v>
      </c>
      <c r="E502" s="6">
        <v>39864</v>
      </c>
      <c r="F502" s="5" t="s">
        <v>4</v>
      </c>
      <c r="G502" s="10">
        <v>64320</v>
      </c>
      <c r="H502" s="7">
        <v>5</v>
      </c>
      <c r="I502" s="12">
        <f>IF(OR(Table2[[#This Row],[Rating]]=4,Table2[[#This Row],[Rating]]=5), 0.05*Table2[[#This Row],[Salary]],0)</f>
        <v>3216</v>
      </c>
      <c r="J502" s="14">
        <f>VLOOKUP(Table2[[#This Row],[Salary]],'Tax rates'!A$2:C$8, 2) + VLOOKUP(Table2[[#This Row],[Salary]],'Tax rates'!A$2:C$8, 3) * (Table2[[#This Row],[Salary]] - VLOOKUP(Table2[[#This Row],[Salary]],'Tax rates'!A$2:C$8,1))</f>
        <v>10089.9</v>
      </c>
      <c r="K502" s="14">
        <f>Table2[[#This Row],[Salary]]-Table2[[#This Row],[Taxes]]</f>
        <v>54230.1</v>
      </c>
      <c r="L502" s="15">
        <f>Table2[[#This Row],[After tax salary]]+Table2[[#This Row],[Bonus]]</f>
        <v>57446.1</v>
      </c>
    </row>
    <row r="503" spans="1:12" x14ac:dyDescent="0.25">
      <c r="A503" s="5" t="s">
        <v>406</v>
      </c>
      <c r="B503" s="5" t="s">
        <v>13</v>
      </c>
      <c r="C503" s="5" t="s">
        <v>59</v>
      </c>
      <c r="D503" s="5" t="s">
        <v>24</v>
      </c>
      <c r="E503" s="6">
        <v>39871</v>
      </c>
      <c r="F503" s="5" t="s">
        <v>21</v>
      </c>
      <c r="G503" s="10">
        <v>38575</v>
      </c>
      <c r="H503" s="7">
        <v>2</v>
      </c>
      <c r="I503" s="12">
        <f>IF(OR(Table2[[#This Row],[Rating]]=4,Table2[[#This Row],[Rating]]=5), 0.05*Table2[[#This Row],[Salary]],0)</f>
        <v>0</v>
      </c>
      <c r="J503" s="14">
        <f>VLOOKUP(Table2[[#This Row],[Salary]],'Tax rates'!A$2:C$8, 2) + VLOOKUP(Table2[[#This Row],[Salary]],'Tax rates'!A$2:C$8, 3) * (Table2[[#This Row],[Salary]] - VLOOKUP(Table2[[#This Row],[Salary]],'Tax rates'!A$2:C$8,1))</f>
        <v>4438.5</v>
      </c>
      <c r="K503" s="14">
        <f>Table2[[#This Row],[Salary]]-Table2[[#This Row],[Taxes]]</f>
        <v>34136.5</v>
      </c>
      <c r="L503" s="15">
        <f>Table2[[#This Row],[After tax salary]]+Table2[[#This Row],[Bonus]]</f>
        <v>34136.5</v>
      </c>
    </row>
    <row r="504" spans="1:12" x14ac:dyDescent="0.25">
      <c r="A504" s="5" t="s">
        <v>304</v>
      </c>
      <c r="B504" s="5" t="s">
        <v>6</v>
      </c>
      <c r="C504" s="5" t="s">
        <v>8</v>
      </c>
      <c r="D504" s="5" t="s">
        <v>32</v>
      </c>
      <c r="E504" s="6">
        <v>39893</v>
      </c>
      <c r="F504" s="7"/>
      <c r="G504" s="10">
        <v>15744</v>
      </c>
      <c r="H504" s="7">
        <v>3</v>
      </c>
      <c r="I504" s="12">
        <f>IF(OR(Table2[[#This Row],[Rating]]=4,Table2[[#This Row],[Rating]]=5), 0.05*Table2[[#This Row],[Salary]],0)</f>
        <v>0</v>
      </c>
      <c r="J504" s="14">
        <f>VLOOKUP(Table2[[#This Row],[Salary]],'Tax rates'!A$2:C$8, 2) + VLOOKUP(Table2[[#This Row],[Salary]],'Tax rates'!A$2:C$8, 3) * (Table2[[#This Row],[Salary]] - VLOOKUP(Table2[[#This Row],[Salary]],'Tax rates'!A$2:C$8,1))</f>
        <v>1698.78</v>
      </c>
      <c r="K504" s="14">
        <f>Table2[[#This Row],[Salary]]-Table2[[#This Row],[Taxes]]</f>
        <v>14045.22</v>
      </c>
      <c r="L504" s="15">
        <f>Table2[[#This Row],[After tax salary]]+Table2[[#This Row],[Bonus]]</f>
        <v>14045.22</v>
      </c>
    </row>
    <row r="505" spans="1:12" x14ac:dyDescent="0.25">
      <c r="A505" s="5" t="s">
        <v>157</v>
      </c>
      <c r="B505" s="5" t="s">
        <v>13</v>
      </c>
      <c r="C505" s="5" t="s">
        <v>30</v>
      </c>
      <c r="D505" s="5" t="s">
        <v>3</v>
      </c>
      <c r="E505" s="6">
        <v>39899</v>
      </c>
      <c r="F505" s="5" t="s">
        <v>4</v>
      </c>
      <c r="G505" s="10">
        <v>24790</v>
      </c>
      <c r="H505" s="7">
        <v>3</v>
      </c>
      <c r="I505" s="12">
        <f>IF(OR(Table2[[#This Row],[Rating]]=4,Table2[[#This Row],[Rating]]=5), 0.05*Table2[[#This Row],[Salary]],0)</f>
        <v>0</v>
      </c>
      <c r="J505" s="14">
        <f>VLOOKUP(Table2[[#This Row],[Salary]],'Tax rates'!A$2:C$8, 2) + VLOOKUP(Table2[[#This Row],[Salary]],'Tax rates'!A$2:C$8, 3) * (Table2[[#This Row],[Salary]] - VLOOKUP(Table2[[#This Row],[Salary]],'Tax rates'!A$2:C$8,1))</f>
        <v>2784.3</v>
      </c>
      <c r="K505" s="14">
        <f>Table2[[#This Row],[Salary]]-Table2[[#This Row],[Taxes]]</f>
        <v>22005.7</v>
      </c>
      <c r="L505" s="15">
        <f>Table2[[#This Row],[After tax salary]]+Table2[[#This Row],[Bonus]]</f>
        <v>22005.7</v>
      </c>
    </row>
    <row r="506" spans="1:12" x14ac:dyDescent="0.25">
      <c r="A506" s="5" t="s">
        <v>710</v>
      </c>
      <c r="B506" s="5" t="s">
        <v>51</v>
      </c>
      <c r="C506" s="5" t="s">
        <v>75</v>
      </c>
      <c r="D506" s="5" t="s">
        <v>16</v>
      </c>
      <c r="E506" s="6">
        <v>39922</v>
      </c>
      <c r="F506" s="7"/>
      <c r="G506" s="10">
        <v>25790</v>
      </c>
      <c r="H506" s="7">
        <v>3</v>
      </c>
      <c r="I506" s="12">
        <f>IF(OR(Table2[[#This Row],[Rating]]=4,Table2[[#This Row],[Rating]]=5), 0.05*Table2[[#This Row],[Salary]],0)</f>
        <v>0</v>
      </c>
      <c r="J506" s="14">
        <f>VLOOKUP(Table2[[#This Row],[Salary]],'Tax rates'!A$2:C$8, 2) + VLOOKUP(Table2[[#This Row],[Salary]],'Tax rates'!A$2:C$8, 3) * (Table2[[#This Row],[Salary]] - VLOOKUP(Table2[[#This Row],[Salary]],'Tax rates'!A$2:C$8,1))</f>
        <v>2904.3</v>
      </c>
      <c r="K506" s="14">
        <f>Table2[[#This Row],[Salary]]-Table2[[#This Row],[Taxes]]</f>
        <v>22885.7</v>
      </c>
      <c r="L506" s="15">
        <f>Table2[[#This Row],[After tax salary]]+Table2[[#This Row],[Bonus]]</f>
        <v>22885.7</v>
      </c>
    </row>
    <row r="507" spans="1:12" x14ac:dyDescent="0.25">
      <c r="A507" s="5" t="s">
        <v>395</v>
      </c>
      <c r="B507" s="5" t="s">
        <v>1</v>
      </c>
      <c r="C507" s="5" t="s">
        <v>166</v>
      </c>
      <c r="D507" s="5" t="s">
        <v>3</v>
      </c>
      <c r="E507" s="6">
        <v>39923</v>
      </c>
      <c r="F507" s="5" t="s">
        <v>4</v>
      </c>
      <c r="G507" s="10">
        <v>76440</v>
      </c>
      <c r="H507" s="7">
        <v>3</v>
      </c>
      <c r="I507" s="12">
        <f>IF(OR(Table2[[#This Row],[Rating]]=4,Table2[[#This Row],[Rating]]=5), 0.05*Table2[[#This Row],[Salary]],0)</f>
        <v>0</v>
      </c>
      <c r="J507" s="14">
        <f>VLOOKUP(Table2[[#This Row],[Salary]],'Tax rates'!A$2:C$8, 2) + VLOOKUP(Table2[[#This Row],[Salary]],'Tax rates'!A$2:C$8, 3) * (Table2[[#This Row],[Salary]] - VLOOKUP(Table2[[#This Row],[Salary]],'Tax rates'!A$2:C$8,1))</f>
        <v>12756.3</v>
      </c>
      <c r="K507" s="14">
        <f>Table2[[#This Row],[Salary]]-Table2[[#This Row],[Taxes]]</f>
        <v>63683.7</v>
      </c>
      <c r="L507" s="15">
        <f>Table2[[#This Row],[After tax salary]]+Table2[[#This Row],[Bonus]]</f>
        <v>63683.7</v>
      </c>
    </row>
    <row r="508" spans="1:12" x14ac:dyDescent="0.25">
      <c r="A508" s="5" t="s">
        <v>498</v>
      </c>
      <c r="B508" s="5" t="s">
        <v>1</v>
      </c>
      <c r="C508" s="5" t="s">
        <v>75</v>
      </c>
      <c r="D508" s="5" t="s">
        <v>16</v>
      </c>
      <c r="E508" s="6">
        <v>39959</v>
      </c>
      <c r="F508" s="7"/>
      <c r="G508" s="10">
        <v>79460</v>
      </c>
      <c r="H508" s="7">
        <v>5</v>
      </c>
      <c r="I508" s="12">
        <f>IF(OR(Table2[[#This Row],[Rating]]=4,Table2[[#This Row],[Rating]]=5), 0.05*Table2[[#This Row],[Salary]],0)</f>
        <v>3973</v>
      </c>
      <c r="J508" s="14">
        <f>VLOOKUP(Table2[[#This Row],[Salary]],'Tax rates'!A$2:C$8, 2) + VLOOKUP(Table2[[#This Row],[Salary]],'Tax rates'!A$2:C$8, 3) * (Table2[[#This Row],[Salary]] - VLOOKUP(Table2[[#This Row],[Salary]],'Tax rates'!A$2:C$8,1))</f>
        <v>13420.7</v>
      </c>
      <c r="K508" s="14">
        <f>Table2[[#This Row],[Salary]]-Table2[[#This Row],[Taxes]]</f>
        <v>66039.3</v>
      </c>
      <c r="L508" s="15">
        <f>Table2[[#This Row],[After tax salary]]+Table2[[#This Row],[Bonus]]</f>
        <v>70012.3</v>
      </c>
    </row>
    <row r="509" spans="1:12" x14ac:dyDescent="0.25">
      <c r="A509" s="5" t="s">
        <v>563</v>
      </c>
      <c r="B509" s="5" t="s">
        <v>51</v>
      </c>
      <c r="C509" s="5" t="s">
        <v>18</v>
      </c>
      <c r="D509" s="5" t="s">
        <v>3</v>
      </c>
      <c r="E509" s="6">
        <v>39972</v>
      </c>
      <c r="F509" s="5" t="s">
        <v>4</v>
      </c>
      <c r="G509" s="10">
        <v>78170</v>
      </c>
      <c r="H509" s="7">
        <v>5</v>
      </c>
      <c r="I509" s="12">
        <f>IF(OR(Table2[[#This Row],[Rating]]=4,Table2[[#This Row],[Rating]]=5), 0.05*Table2[[#This Row],[Salary]],0)</f>
        <v>3908.5</v>
      </c>
      <c r="J509" s="14">
        <f>VLOOKUP(Table2[[#This Row],[Salary]],'Tax rates'!A$2:C$8, 2) + VLOOKUP(Table2[[#This Row],[Salary]],'Tax rates'!A$2:C$8, 3) * (Table2[[#This Row],[Salary]] - VLOOKUP(Table2[[#This Row],[Salary]],'Tax rates'!A$2:C$8,1))</f>
        <v>13136.9</v>
      </c>
      <c r="K509" s="14">
        <f>Table2[[#This Row],[Salary]]-Table2[[#This Row],[Taxes]]</f>
        <v>65033.1</v>
      </c>
      <c r="L509" s="15">
        <f>Table2[[#This Row],[After tax salary]]+Table2[[#This Row],[Bonus]]</f>
        <v>68941.600000000006</v>
      </c>
    </row>
    <row r="510" spans="1:12" x14ac:dyDescent="0.25">
      <c r="A510" s="5" t="s">
        <v>755</v>
      </c>
      <c r="B510" s="5" t="s">
        <v>6</v>
      </c>
      <c r="C510" s="5" t="s">
        <v>35</v>
      </c>
      <c r="D510" s="5" t="s">
        <v>3</v>
      </c>
      <c r="E510" s="6">
        <v>40018</v>
      </c>
      <c r="F510" s="5" t="s">
        <v>11</v>
      </c>
      <c r="G510" s="10">
        <v>34990</v>
      </c>
      <c r="H510" s="7">
        <v>3</v>
      </c>
      <c r="I510" s="12">
        <f>IF(OR(Table2[[#This Row],[Rating]]=4,Table2[[#This Row],[Rating]]=5), 0.05*Table2[[#This Row],[Salary]],0)</f>
        <v>0</v>
      </c>
      <c r="J510" s="14">
        <f>VLOOKUP(Table2[[#This Row],[Salary]],'Tax rates'!A$2:C$8, 2) + VLOOKUP(Table2[[#This Row],[Salary]],'Tax rates'!A$2:C$8, 3) * (Table2[[#This Row],[Salary]] - VLOOKUP(Table2[[#This Row],[Salary]],'Tax rates'!A$2:C$8,1))</f>
        <v>4008.2999999999997</v>
      </c>
      <c r="K510" s="14">
        <f>Table2[[#This Row],[Salary]]-Table2[[#This Row],[Taxes]]</f>
        <v>30981.7</v>
      </c>
      <c r="L510" s="15">
        <f>Table2[[#This Row],[After tax salary]]+Table2[[#This Row],[Bonus]]</f>
        <v>30981.7</v>
      </c>
    </row>
    <row r="511" spans="1:12" x14ac:dyDescent="0.25">
      <c r="A511" s="5" t="s">
        <v>701</v>
      </c>
      <c r="B511" s="5" t="s">
        <v>27</v>
      </c>
      <c r="C511" s="5" t="s">
        <v>8</v>
      </c>
      <c r="D511" s="5" t="s">
        <v>16</v>
      </c>
      <c r="E511" s="6">
        <v>40054</v>
      </c>
      <c r="F511" s="7"/>
      <c r="G511" s="10">
        <v>56920</v>
      </c>
      <c r="H511" s="7">
        <v>4</v>
      </c>
      <c r="I511" s="12">
        <f>IF(OR(Table2[[#This Row],[Rating]]=4,Table2[[#This Row],[Rating]]=5), 0.05*Table2[[#This Row],[Salary]],0)</f>
        <v>2846</v>
      </c>
      <c r="J511" s="14">
        <f>VLOOKUP(Table2[[#This Row],[Salary]],'Tax rates'!A$2:C$8, 2) + VLOOKUP(Table2[[#This Row],[Salary]],'Tax rates'!A$2:C$8, 3) * (Table2[[#This Row],[Salary]] - VLOOKUP(Table2[[#This Row],[Salary]],'Tax rates'!A$2:C$8,1))</f>
        <v>8461.9</v>
      </c>
      <c r="K511" s="14">
        <f>Table2[[#This Row],[Salary]]-Table2[[#This Row],[Taxes]]</f>
        <v>48458.1</v>
      </c>
      <c r="L511" s="15">
        <f>Table2[[#This Row],[After tax salary]]+Table2[[#This Row],[Bonus]]</f>
        <v>51304.1</v>
      </c>
    </row>
    <row r="512" spans="1:12" x14ac:dyDescent="0.25">
      <c r="A512" s="5" t="s">
        <v>365</v>
      </c>
      <c r="B512" s="5" t="s">
        <v>51</v>
      </c>
      <c r="C512" s="5" t="s">
        <v>2</v>
      </c>
      <c r="D512" s="5" t="s">
        <v>3</v>
      </c>
      <c r="E512" s="6">
        <v>40078</v>
      </c>
      <c r="F512" s="5" t="s">
        <v>11</v>
      </c>
      <c r="G512" s="10">
        <v>23190</v>
      </c>
      <c r="H512" s="7">
        <v>5</v>
      </c>
      <c r="I512" s="12">
        <f>IF(OR(Table2[[#This Row],[Rating]]=4,Table2[[#This Row],[Rating]]=5), 0.05*Table2[[#This Row],[Salary]],0)</f>
        <v>1159.5</v>
      </c>
      <c r="J512" s="14">
        <f>VLOOKUP(Table2[[#This Row],[Salary]],'Tax rates'!A$2:C$8, 2) + VLOOKUP(Table2[[#This Row],[Salary]],'Tax rates'!A$2:C$8, 3) * (Table2[[#This Row],[Salary]] - VLOOKUP(Table2[[#This Row],[Salary]],'Tax rates'!A$2:C$8,1))</f>
        <v>2592.3000000000002</v>
      </c>
      <c r="K512" s="14">
        <f>Table2[[#This Row],[Salary]]-Table2[[#This Row],[Taxes]]</f>
        <v>20597.7</v>
      </c>
      <c r="L512" s="15">
        <f>Table2[[#This Row],[After tax salary]]+Table2[[#This Row],[Bonus]]</f>
        <v>21757.200000000001</v>
      </c>
    </row>
    <row r="513" spans="1:12" x14ac:dyDescent="0.25">
      <c r="A513" s="5" t="s">
        <v>381</v>
      </c>
      <c r="B513" s="5" t="s">
        <v>29</v>
      </c>
      <c r="C513" s="5" t="s">
        <v>59</v>
      </c>
      <c r="D513" s="5" t="s">
        <v>3</v>
      </c>
      <c r="E513" s="6">
        <v>40083</v>
      </c>
      <c r="F513" s="5" t="s">
        <v>11</v>
      </c>
      <c r="G513" s="10">
        <v>44150</v>
      </c>
      <c r="H513" s="7">
        <v>4</v>
      </c>
      <c r="I513" s="12">
        <f>IF(OR(Table2[[#This Row],[Rating]]=4,Table2[[#This Row],[Rating]]=5), 0.05*Table2[[#This Row],[Salary]],0)</f>
        <v>2207.5</v>
      </c>
      <c r="J513" s="14">
        <f>VLOOKUP(Table2[[#This Row],[Salary]],'Tax rates'!A$2:C$8, 2) + VLOOKUP(Table2[[#This Row],[Salary]],'Tax rates'!A$2:C$8, 3) * (Table2[[#This Row],[Salary]] - VLOOKUP(Table2[[#This Row],[Salary]],'Tax rates'!A$2:C$8,1))</f>
        <v>5652.5</v>
      </c>
      <c r="K513" s="14">
        <f>Table2[[#This Row],[Salary]]-Table2[[#This Row],[Taxes]]</f>
        <v>38497.5</v>
      </c>
      <c r="L513" s="15">
        <f>Table2[[#This Row],[After tax salary]]+Table2[[#This Row],[Bonus]]</f>
        <v>40705</v>
      </c>
    </row>
    <row r="514" spans="1:12" x14ac:dyDescent="0.25">
      <c r="A514" s="5" t="s">
        <v>572</v>
      </c>
      <c r="B514" s="5" t="s">
        <v>6</v>
      </c>
      <c r="C514" s="5" t="s">
        <v>75</v>
      </c>
      <c r="D514" s="5" t="s">
        <v>3</v>
      </c>
      <c r="E514" s="6">
        <v>40085</v>
      </c>
      <c r="F514" s="5" t="s">
        <v>4</v>
      </c>
      <c r="G514" s="10">
        <v>41490</v>
      </c>
      <c r="H514" s="7">
        <v>5</v>
      </c>
      <c r="I514" s="12">
        <f>IF(OR(Table2[[#This Row],[Rating]]=4,Table2[[#This Row],[Rating]]=5), 0.05*Table2[[#This Row],[Salary]],0)</f>
        <v>2074.5</v>
      </c>
      <c r="J514" s="14">
        <f>VLOOKUP(Table2[[#This Row],[Salary]],'Tax rates'!A$2:C$8, 2) + VLOOKUP(Table2[[#This Row],[Salary]],'Tax rates'!A$2:C$8, 3) * (Table2[[#This Row],[Salary]] - VLOOKUP(Table2[[#This Row],[Salary]],'Tax rates'!A$2:C$8,1))</f>
        <v>5067.3</v>
      </c>
      <c r="K514" s="14">
        <f>Table2[[#This Row],[Salary]]-Table2[[#This Row],[Taxes]]</f>
        <v>36422.699999999997</v>
      </c>
      <c r="L514" s="15">
        <f>Table2[[#This Row],[After tax salary]]+Table2[[#This Row],[Bonus]]</f>
        <v>38497.199999999997</v>
      </c>
    </row>
    <row r="515" spans="1:12" x14ac:dyDescent="0.25">
      <c r="A515" s="5" t="s">
        <v>85</v>
      </c>
      <c r="B515" s="5" t="s">
        <v>13</v>
      </c>
      <c r="C515" s="5" t="s">
        <v>73</v>
      </c>
      <c r="D515" s="5" t="s">
        <v>3</v>
      </c>
      <c r="E515" s="6">
        <v>40106</v>
      </c>
      <c r="F515" s="5" t="s">
        <v>25</v>
      </c>
      <c r="G515" s="10">
        <v>51180</v>
      </c>
      <c r="H515" s="7">
        <v>3</v>
      </c>
      <c r="I515" s="12">
        <f>IF(OR(Table2[[#This Row],[Rating]]=4,Table2[[#This Row],[Rating]]=5), 0.05*Table2[[#This Row],[Salary]],0)</f>
        <v>0</v>
      </c>
      <c r="J515" s="14">
        <f>VLOOKUP(Table2[[#This Row],[Salary]],'Tax rates'!A$2:C$8, 2) + VLOOKUP(Table2[[#This Row],[Salary]],'Tax rates'!A$2:C$8, 3) * (Table2[[#This Row],[Salary]] - VLOOKUP(Table2[[#This Row],[Salary]],'Tax rates'!A$2:C$8,1))</f>
        <v>7199.1</v>
      </c>
      <c r="K515" s="14">
        <f>Table2[[#This Row],[Salary]]-Table2[[#This Row],[Taxes]]</f>
        <v>43980.9</v>
      </c>
      <c r="L515" s="15">
        <f>Table2[[#This Row],[After tax salary]]+Table2[[#This Row],[Bonus]]</f>
        <v>43980.9</v>
      </c>
    </row>
    <row r="516" spans="1:12" x14ac:dyDescent="0.25">
      <c r="A516" s="5" t="s">
        <v>261</v>
      </c>
      <c r="B516" s="5" t="s">
        <v>13</v>
      </c>
      <c r="C516" s="5" t="s">
        <v>106</v>
      </c>
      <c r="D516" s="5" t="s">
        <v>32</v>
      </c>
      <c r="E516" s="6">
        <v>40126</v>
      </c>
      <c r="F516" s="7"/>
      <c r="G516" s="10">
        <v>10636</v>
      </c>
      <c r="H516" s="7">
        <v>4</v>
      </c>
      <c r="I516" s="12">
        <f>IF(OR(Table2[[#This Row],[Rating]]=4,Table2[[#This Row],[Rating]]=5), 0.05*Table2[[#This Row],[Salary]],0)</f>
        <v>531.80000000000007</v>
      </c>
      <c r="J516" s="14">
        <f>VLOOKUP(Table2[[#This Row],[Salary]],'Tax rates'!A$2:C$8, 2) + VLOOKUP(Table2[[#This Row],[Salary]],'Tax rates'!A$2:C$8, 3) * (Table2[[#This Row],[Salary]] - VLOOKUP(Table2[[#This Row],[Salary]],'Tax rates'!A$2:C$8,1))</f>
        <v>1085.82</v>
      </c>
      <c r="K516" s="14">
        <f>Table2[[#This Row],[Salary]]-Table2[[#This Row],[Taxes]]</f>
        <v>9550.18</v>
      </c>
      <c r="L516" s="15">
        <f>Table2[[#This Row],[After tax salary]]+Table2[[#This Row],[Bonus]]</f>
        <v>10081.98</v>
      </c>
    </row>
    <row r="517" spans="1:12" x14ac:dyDescent="0.25">
      <c r="A517" s="5" t="s">
        <v>377</v>
      </c>
      <c r="B517" s="5" t="s">
        <v>6</v>
      </c>
      <c r="C517" s="5" t="s">
        <v>30</v>
      </c>
      <c r="D517" s="5" t="s">
        <v>3</v>
      </c>
      <c r="E517" s="6">
        <v>40137</v>
      </c>
      <c r="F517" s="5" t="s">
        <v>4</v>
      </c>
      <c r="G517" s="10">
        <v>54190</v>
      </c>
      <c r="H517" s="7">
        <v>4</v>
      </c>
      <c r="I517" s="12">
        <f>IF(OR(Table2[[#This Row],[Rating]]=4,Table2[[#This Row],[Rating]]=5), 0.05*Table2[[#This Row],[Salary]],0)</f>
        <v>2709.5</v>
      </c>
      <c r="J517" s="14">
        <f>VLOOKUP(Table2[[#This Row],[Salary]],'Tax rates'!A$2:C$8, 2) + VLOOKUP(Table2[[#This Row],[Salary]],'Tax rates'!A$2:C$8, 3) * (Table2[[#This Row],[Salary]] - VLOOKUP(Table2[[#This Row],[Salary]],'Tax rates'!A$2:C$8,1))</f>
        <v>7861.3</v>
      </c>
      <c r="K517" s="14">
        <f>Table2[[#This Row],[Salary]]-Table2[[#This Row],[Taxes]]</f>
        <v>46328.7</v>
      </c>
      <c r="L517" s="15">
        <f>Table2[[#This Row],[After tax salary]]+Table2[[#This Row],[Bonus]]</f>
        <v>49038.2</v>
      </c>
    </row>
    <row r="518" spans="1:12" x14ac:dyDescent="0.25">
      <c r="A518" s="5" t="s">
        <v>150</v>
      </c>
      <c r="B518" s="5" t="s">
        <v>6</v>
      </c>
      <c r="C518" s="5" t="s">
        <v>73</v>
      </c>
      <c r="D518" s="5" t="s">
        <v>24</v>
      </c>
      <c r="E518" s="6">
        <v>40152</v>
      </c>
      <c r="F518" s="5" t="s">
        <v>11</v>
      </c>
      <c r="G518" s="10">
        <v>28680</v>
      </c>
      <c r="H518" s="7">
        <v>1</v>
      </c>
      <c r="I518" s="12">
        <f>IF(OR(Table2[[#This Row],[Rating]]=4,Table2[[#This Row],[Rating]]=5), 0.05*Table2[[#This Row],[Salary]],0)</f>
        <v>0</v>
      </c>
      <c r="J518" s="14">
        <f>VLOOKUP(Table2[[#This Row],[Salary]],'Tax rates'!A$2:C$8, 2) + VLOOKUP(Table2[[#This Row],[Salary]],'Tax rates'!A$2:C$8, 3) * (Table2[[#This Row],[Salary]] - VLOOKUP(Table2[[#This Row],[Salary]],'Tax rates'!A$2:C$8,1))</f>
        <v>3251.1</v>
      </c>
      <c r="K518" s="14">
        <f>Table2[[#This Row],[Salary]]-Table2[[#This Row],[Taxes]]</f>
        <v>25428.9</v>
      </c>
      <c r="L518" s="15">
        <f>Table2[[#This Row],[After tax salary]]+Table2[[#This Row],[Bonus]]</f>
        <v>25428.9</v>
      </c>
    </row>
    <row r="519" spans="1:12" x14ac:dyDescent="0.25">
      <c r="A519" s="5" t="s">
        <v>127</v>
      </c>
      <c r="B519" s="5" t="s">
        <v>6</v>
      </c>
      <c r="C519" s="5" t="s">
        <v>30</v>
      </c>
      <c r="D519" s="5" t="s">
        <v>24</v>
      </c>
      <c r="E519" s="6">
        <v>40166</v>
      </c>
      <c r="F519" s="5" t="s">
        <v>9</v>
      </c>
      <c r="G519" s="10">
        <v>25245</v>
      </c>
      <c r="H519" s="7">
        <v>5</v>
      </c>
      <c r="I519" s="12">
        <f>IF(OR(Table2[[#This Row],[Rating]]=4,Table2[[#This Row],[Rating]]=5), 0.05*Table2[[#This Row],[Salary]],0)</f>
        <v>1262.25</v>
      </c>
      <c r="J519" s="14">
        <f>VLOOKUP(Table2[[#This Row],[Salary]],'Tax rates'!A$2:C$8, 2) + VLOOKUP(Table2[[#This Row],[Salary]],'Tax rates'!A$2:C$8, 3) * (Table2[[#This Row],[Salary]] - VLOOKUP(Table2[[#This Row],[Salary]],'Tax rates'!A$2:C$8,1))</f>
        <v>2838.8999999999996</v>
      </c>
      <c r="K519" s="14">
        <f>Table2[[#This Row],[Salary]]-Table2[[#This Row],[Taxes]]</f>
        <v>22406.1</v>
      </c>
      <c r="L519" s="15">
        <f>Table2[[#This Row],[After tax salary]]+Table2[[#This Row],[Bonus]]</f>
        <v>23668.35</v>
      </c>
    </row>
    <row r="520" spans="1:12" x14ac:dyDescent="0.25">
      <c r="A520" s="5" t="s">
        <v>595</v>
      </c>
      <c r="B520" s="5" t="s">
        <v>29</v>
      </c>
      <c r="C520" s="5" t="s">
        <v>18</v>
      </c>
      <c r="D520" s="5" t="s">
        <v>3</v>
      </c>
      <c r="E520" s="6">
        <v>40175</v>
      </c>
      <c r="F520" s="5" t="s">
        <v>21</v>
      </c>
      <c r="G520" s="10">
        <v>34690</v>
      </c>
      <c r="H520" s="7">
        <v>2</v>
      </c>
      <c r="I520" s="12">
        <f>IF(OR(Table2[[#This Row],[Rating]]=4,Table2[[#This Row],[Rating]]=5), 0.05*Table2[[#This Row],[Salary]],0)</f>
        <v>0</v>
      </c>
      <c r="J520" s="14">
        <f>VLOOKUP(Table2[[#This Row],[Salary]],'Tax rates'!A$2:C$8, 2) + VLOOKUP(Table2[[#This Row],[Salary]],'Tax rates'!A$2:C$8, 3) * (Table2[[#This Row],[Salary]] - VLOOKUP(Table2[[#This Row],[Salary]],'Tax rates'!A$2:C$8,1))</f>
        <v>3972.2999999999997</v>
      </c>
      <c r="K520" s="14">
        <f>Table2[[#This Row],[Salary]]-Table2[[#This Row],[Taxes]]</f>
        <v>30717.7</v>
      </c>
      <c r="L520" s="15">
        <f>Table2[[#This Row],[After tax salary]]+Table2[[#This Row],[Bonus]]</f>
        <v>30717.7</v>
      </c>
    </row>
    <row r="521" spans="1:12" x14ac:dyDescent="0.25">
      <c r="A521" s="5" t="s">
        <v>130</v>
      </c>
      <c r="B521" s="5" t="s">
        <v>1</v>
      </c>
      <c r="C521" s="5" t="s">
        <v>8</v>
      </c>
      <c r="D521" s="5" t="s">
        <v>24</v>
      </c>
      <c r="E521" s="6">
        <v>40184</v>
      </c>
      <c r="F521" s="5" t="s">
        <v>9</v>
      </c>
      <c r="G521" s="10">
        <v>21220</v>
      </c>
      <c r="H521" s="7">
        <v>3</v>
      </c>
      <c r="I521" s="12">
        <f>IF(OR(Table2[[#This Row],[Rating]]=4,Table2[[#This Row],[Rating]]=5), 0.05*Table2[[#This Row],[Salary]],0)</f>
        <v>0</v>
      </c>
      <c r="J521" s="14">
        <f>VLOOKUP(Table2[[#This Row],[Salary]],'Tax rates'!A$2:C$8, 2) + VLOOKUP(Table2[[#This Row],[Salary]],'Tax rates'!A$2:C$8, 3) * (Table2[[#This Row],[Salary]] - VLOOKUP(Table2[[#This Row],[Salary]],'Tax rates'!A$2:C$8,1))</f>
        <v>2355.8999999999996</v>
      </c>
      <c r="K521" s="14">
        <f>Table2[[#This Row],[Salary]]-Table2[[#This Row],[Taxes]]</f>
        <v>18864.099999999999</v>
      </c>
      <c r="L521" s="15">
        <f>Table2[[#This Row],[After tax salary]]+Table2[[#This Row],[Bonus]]</f>
        <v>18864.099999999999</v>
      </c>
    </row>
    <row r="522" spans="1:12" x14ac:dyDescent="0.25">
      <c r="A522" s="5" t="s">
        <v>7</v>
      </c>
      <c r="B522" s="5" t="s">
        <v>6</v>
      </c>
      <c r="C522" s="5" t="s">
        <v>8</v>
      </c>
      <c r="D522" s="5" t="s">
        <v>3</v>
      </c>
      <c r="E522" s="6">
        <v>40198</v>
      </c>
      <c r="F522" s="5" t="s">
        <v>9</v>
      </c>
      <c r="G522" s="10">
        <v>49260</v>
      </c>
      <c r="H522" s="7">
        <v>3</v>
      </c>
      <c r="I522" s="12">
        <f>IF(OR(Table2[[#This Row],[Rating]]=4,Table2[[#This Row],[Rating]]=5), 0.05*Table2[[#This Row],[Salary]],0)</f>
        <v>0</v>
      </c>
      <c r="J522" s="14">
        <f>VLOOKUP(Table2[[#This Row],[Salary]],'Tax rates'!A$2:C$8, 2) + VLOOKUP(Table2[[#This Row],[Salary]],'Tax rates'!A$2:C$8, 3) * (Table2[[#This Row],[Salary]] - VLOOKUP(Table2[[#This Row],[Salary]],'Tax rates'!A$2:C$8,1))</f>
        <v>6776.7</v>
      </c>
      <c r="K522" s="14">
        <f>Table2[[#This Row],[Salary]]-Table2[[#This Row],[Taxes]]</f>
        <v>42483.3</v>
      </c>
      <c r="L522" s="15">
        <f>Table2[[#This Row],[After tax salary]]+Table2[[#This Row],[Bonus]]</f>
        <v>42483.3</v>
      </c>
    </row>
    <row r="523" spans="1:12" x14ac:dyDescent="0.25">
      <c r="A523" s="5" t="s">
        <v>187</v>
      </c>
      <c r="B523" s="5" t="s">
        <v>6</v>
      </c>
      <c r="C523" s="5" t="s">
        <v>75</v>
      </c>
      <c r="D523" s="5" t="s">
        <v>3</v>
      </c>
      <c r="E523" s="6">
        <v>40200</v>
      </c>
      <c r="F523" s="5" t="s">
        <v>21</v>
      </c>
      <c r="G523" s="10">
        <v>77350</v>
      </c>
      <c r="H523" s="7">
        <v>5</v>
      </c>
      <c r="I523" s="12">
        <f>IF(OR(Table2[[#This Row],[Rating]]=4,Table2[[#This Row],[Rating]]=5), 0.05*Table2[[#This Row],[Salary]],0)</f>
        <v>3867.5</v>
      </c>
      <c r="J523" s="14">
        <f>VLOOKUP(Table2[[#This Row],[Salary]],'Tax rates'!A$2:C$8, 2) + VLOOKUP(Table2[[#This Row],[Salary]],'Tax rates'!A$2:C$8, 3) * (Table2[[#This Row],[Salary]] - VLOOKUP(Table2[[#This Row],[Salary]],'Tax rates'!A$2:C$8,1))</f>
        <v>12956.5</v>
      </c>
      <c r="K523" s="14">
        <f>Table2[[#This Row],[Salary]]-Table2[[#This Row],[Taxes]]</f>
        <v>64393.5</v>
      </c>
      <c r="L523" s="15">
        <f>Table2[[#This Row],[After tax salary]]+Table2[[#This Row],[Bonus]]</f>
        <v>68261</v>
      </c>
    </row>
    <row r="524" spans="1:12" x14ac:dyDescent="0.25">
      <c r="A524" s="5" t="s">
        <v>456</v>
      </c>
      <c r="B524" s="5" t="s">
        <v>1</v>
      </c>
      <c r="C524" s="5" t="s">
        <v>18</v>
      </c>
      <c r="D524" s="5" t="s">
        <v>3</v>
      </c>
      <c r="E524" s="6">
        <v>40203</v>
      </c>
      <c r="F524" s="5" t="s">
        <v>4</v>
      </c>
      <c r="G524" s="10">
        <v>35600</v>
      </c>
      <c r="H524" s="7">
        <v>5</v>
      </c>
      <c r="I524" s="12">
        <f>IF(OR(Table2[[#This Row],[Rating]]=4,Table2[[#This Row],[Rating]]=5), 0.05*Table2[[#This Row],[Salary]],0)</f>
        <v>1780</v>
      </c>
      <c r="J524" s="14">
        <f>VLOOKUP(Table2[[#This Row],[Salary]],'Tax rates'!A$2:C$8, 2) + VLOOKUP(Table2[[#This Row],[Salary]],'Tax rates'!A$2:C$8, 3) * (Table2[[#This Row],[Salary]] - VLOOKUP(Table2[[#This Row],[Salary]],'Tax rates'!A$2:C$8,1))</f>
        <v>4081.5</v>
      </c>
      <c r="K524" s="14">
        <f>Table2[[#This Row],[Salary]]-Table2[[#This Row],[Taxes]]</f>
        <v>31518.5</v>
      </c>
      <c r="L524" s="15">
        <f>Table2[[#This Row],[After tax salary]]+Table2[[#This Row],[Bonus]]</f>
        <v>33298.5</v>
      </c>
    </row>
    <row r="525" spans="1:12" x14ac:dyDescent="0.25">
      <c r="A525" s="5" t="s">
        <v>747</v>
      </c>
      <c r="B525" s="5" t="s">
        <v>13</v>
      </c>
      <c r="C525" s="5" t="s">
        <v>30</v>
      </c>
      <c r="D525" s="5" t="s">
        <v>3</v>
      </c>
      <c r="E525" s="6">
        <v>40208</v>
      </c>
      <c r="F525" s="5" t="s">
        <v>25</v>
      </c>
      <c r="G525" s="10">
        <v>61148</v>
      </c>
      <c r="H525" s="7">
        <v>2</v>
      </c>
      <c r="I525" s="12">
        <f>IF(OR(Table2[[#This Row],[Rating]]=4,Table2[[#This Row],[Rating]]=5), 0.05*Table2[[#This Row],[Salary]],0)</f>
        <v>0</v>
      </c>
      <c r="J525" s="14">
        <f>VLOOKUP(Table2[[#This Row],[Salary]],'Tax rates'!A$2:C$8, 2) + VLOOKUP(Table2[[#This Row],[Salary]],'Tax rates'!A$2:C$8, 3) * (Table2[[#This Row],[Salary]] - VLOOKUP(Table2[[#This Row],[Salary]],'Tax rates'!A$2:C$8,1))</f>
        <v>9392.0600000000013</v>
      </c>
      <c r="K525" s="14">
        <f>Table2[[#This Row],[Salary]]-Table2[[#This Row],[Taxes]]</f>
        <v>51755.94</v>
      </c>
      <c r="L525" s="15">
        <f>Table2[[#This Row],[After tax salary]]+Table2[[#This Row],[Bonus]]</f>
        <v>51755.94</v>
      </c>
    </row>
    <row r="526" spans="1:12" x14ac:dyDescent="0.25">
      <c r="A526" s="5" t="s">
        <v>359</v>
      </c>
      <c r="B526" s="5" t="s">
        <v>6</v>
      </c>
      <c r="C526" s="5" t="s">
        <v>59</v>
      </c>
      <c r="D526" s="5" t="s">
        <v>3</v>
      </c>
      <c r="E526" s="6">
        <v>40209</v>
      </c>
      <c r="F526" s="5" t="s">
        <v>11</v>
      </c>
      <c r="G526" s="10">
        <v>45260</v>
      </c>
      <c r="H526" s="7">
        <v>4</v>
      </c>
      <c r="I526" s="12">
        <f>IF(OR(Table2[[#This Row],[Rating]]=4,Table2[[#This Row],[Rating]]=5), 0.05*Table2[[#This Row],[Salary]],0)</f>
        <v>2263</v>
      </c>
      <c r="J526" s="14">
        <f>VLOOKUP(Table2[[#This Row],[Salary]],'Tax rates'!A$2:C$8, 2) + VLOOKUP(Table2[[#This Row],[Salary]],'Tax rates'!A$2:C$8, 3) * (Table2[[#This Row],[Salary]] - VLOOKUP(Table2[[#This Row],[Salary]],'Tax rates'!A$2:C$8,1))</f>
        <v>5896.7</v>
      </c>
      <c r="K526" s="14">
        <f>Table2[[#This Row],[Salary]]-Table2[[#This Row],[Taxes]]</f>
        <v>39363.300000000003</v>
      </c>
      <c r="L526" s="15">
        <f>Table2[[#This Row],[After tax salary]]+Table2[[#This Row],[Bonus]]</f>
        <v>41626.300000000003</v>
      </c>
    </row>
    <row r="527" spans="1:12" x14ac:dyDescent="0.25">
      <c r="A527" s="5" t="s">
        <v>297</v>
      </c>
      <c r="B527" s="5" t="s">
        <v>51</v>
      </c>
      <c r="C527" s="5" t="s">
        <v>75</v>
      </c>
      <c r="D527" s="5" t="s">
        <v>16</v>
      </c>
      <c r="E527" s="6">
        <v>40233</v>
      </c>
      <c r="F527" s="7"/>
      <c r="G527" s="10">
        <v>64390</v>
      </c>
      <c r="H527" s="7">
        <v>2</v>
      </c>
      <c r="I527" s="12">
        <f>IF(OR(Table2[[#This Row],[Rating]]=4,Table2[[#This Row],[Rating]]=5), 0.05*Table2[[#This Row],[Salary]],0)</f>
        <v>0</v>
      </c>
      <c r="J527" s="14">
        <f>VLOOKUP(Table2[[#This Row],[Salary]],'Tax rates'!A$2:C$8, 2) + VLOOKUP(Table2[[#This Row],[Salary]],'Tax rates'!A$2:C$8, 3) * (Table2[[#This Row],[Salary]] - VLOOKUP(Table2[[#This Row],[Salary]],'Tax rates'!A$2:C$8,1))</f>
        <v>10105.299999999999</v>
      </c>
      <c r="K527" s="14">
        <f>Table2[[#This Row],[Salary]]-Table2[[#This Row],[Taxes]]</f>
        <v>54284.7</v>
      </c>
      <c r="L527" s="15">
        <f>Table2[[#This Row],[After tax salary]]+Table2[[#This Row],[Bonus]]</f>
        <v>54284.7</v>
      </c>
    </row>
    <row r="528" spans="1:12" x14ac:dyDescent="0.25">
      <c r="A528" s="5" t="s">
        <v>225</v>
      </c>
      <c r="B528" s="5" t="s">
        <v>1</v>
      </c>
      <c r="C528" s="5" t="s">
        <v>35</v>
      </c>
      <c r="D528" s="5" t="s">
        <v>16</v>
      </c>
      <c r="E528" s="6">
        <v>40235</v>
      </c>
      <c r="F528" s="7"/>
      <c r="G528" s="10">
        <v>80729</v>
      </c>
      <c r="H528" s="7">
        <v>3</v>
      </c>
      <c r="I528" s="12">
        <f>IF(OR(Table2[[#This Row],[Rating]]=4,Table2[[#This Row],[Rating]]=5), 0.05*Table2[[#This Row],[Salary]],0)</f>
        <v>0</v>
      </c>
      <c r="J528" s="14">
        <f>VLOOKUP(Table2[[#This Row],[Salary]],'Tax rates'!A$2:C$8, 2) + VLOOKUP(Table2[[#This Row],[Salary]],'Tax rates'!A$2:C$8, 3) * (Table2[[#This Row],[Salary]] - VLOOKUP(Table2[[#This Row],[Salary]],'Tax rates'!A$2:C$8,1))</f>
        <v>13699.88</v>
      </c>
      <c r="K528" s="14">
        <f>Table2[[#This Row],[Salary]]-Table2[[#This Row],[Taxes]]</f>
        <v>67029.119999999995</v>
      </c>
      <c r="L528" s="15">
        <f>Table2[[#This Row],[After tax salary]]+Table2[[#This Row],[Bonus]]</f>
        <v>67029.119999999995</v>
      </c>
    </row>
    <row r="529" spans="1:12" x14ac:dyDescent="0.25">
      <c r="A529" s="5" t="s">
        <v>36</v>
      </c>
      <c r="B529" s="5" t="s">
        <v>1</v>
      </c>
      <c r="C529" s="5" t="s">
        <v>37</v>
      </c>
      <c r="D529" s="5" t="s">
        <v>3</v>
      </c>
      <c r="E529" s="6">
        <v>40235</v>
      </c>
      <c r="F529" s="5" t="s">
        <v>11</v>
      </c>
      <c r="G529" s="10">
        <v>22860</v>
      </c>
      <c r="H529" s="7">
        <v>5</v>
      </c>
      <c r="I529" s="12">
        <f>IF(OR(Table2[[#This Row],[Rating]]=4,Table2[[#This Row],[Rating]]=5), 0.05*Table2[[#This Row],[Salary]],0)</f>
        <v>1143</v>
      </c>
      <c r="J529" s="14">
        <f>VLOOKUP(Table2[[#This Row],[Salary]],'Tax rates'!A$2:C$8, 2) + VLOOKUP(Table2[[#This Row],[Salary]],'Tax rates'!A$2:C$8, 3) * (Table2[[#This Row],[Salary]] - VLOOKUP(Table2[[#This Row],[Salary]],'Tax rates'!A$2:C$8,1))</f>
        <v>2552.6999999999998</v>
      </c>
      <c r="K529" s="14">
        <f>Table2[[#This Row],[Salary]]-Table2[[#This Row],[Taxes]]</f>
        <v>20307.3</v>
      </c>
      <c r="L529" s="15">
        <f>Table2[[#This Row],[After tax salary]]+Table2[[#This Row],[Bonus]]</f>
        <v>21450.3</v>
      </c>
    </row>
    <row r="530" spans="1:12" x14ac:dyDescent="0.25">
      <c r="A530" s="5" t="s">
        <v>655</v>
      </c>
      <c r="B530" s="5" t="s">
        <v>6</v>
      </c>
      <c r="C530" s="5" t="s">
        <v>8</v>
      </c>
      <c r="D530" s="5" t="s">
        <v>16</v>
      </c>
      <c r="E530" s="6">
        <v>40236</v>
      </c>
      <c r="F530" s="7"/>
      <c r="G530" s="10">
        <v>45830</v>
      </c>
      <c r="H530" s="7">
        <v>4</v>
      </c>
      <c r="I530" s="12">
        <f>IF(OR(Table2[[#This Row],[Rating]]=4,Table2[[#This Row],[Rating]]=5), 0.05*Table2[[#This Row],[Salary]],0)</f>
        <v>2291.5</v>
      </c>
      <c r="J530" s="14">
        <f>VLOOKUP(Table2[[#This Row],[Salary]],'Tax rates'!A$2:C$8, 2) + VLOOKUP(Table2[[#This Row],[Salary]],'Tax rates'!A$2:C$8, 3) * (Table2[[#This Row],[Salary]] - VLOOKUP(Table2[[#This Row],[Salary]],'Tax rates'!A$2:C$8,1))</f>
        <v>6022.1</v>
      </c>
      <c r="K530" s="14">
        <f>Table2[[#This Row],[Salary]]-Table2[[#This Row],[Taxes]]</f>
        <v>39807.9</v>
      </c>
      <c r="L530" s="15">
        <f>Table2[[#This Row],[After tax salary]]+Table2[[#This Row],[Bonus]]</f>
        <v>42099.4</v>
      </c>
    </row>
    <row r="531" spans="1:12" x14ac:dyDescent="0.25">
      <c r="A531" s="5" t="s">
        <v>635</v>
      </c>
      <c r="B531" s="5" t="s">
        <v>51</v>
      </c>
      <c r="C531" s="5" t="s">
        <v>23</v>
      </c>
      <c r="D531" s="5" t="s">
        <v>3</v>
      </c>
      <c r="E531" s="6">
        <v>40246</v>
      </c>
      <c r="F531" s="5" t="s">
        <v>11</v>
      </c>
      <c r="G531" s="10">
        <v>63080</v>
      </c>
      <c r="H531" s="7">
        <v>5</v>
      </c>
      <c r="I531" s="12">
        <f>IF(OR(Table2[[#This Row],[Rating]]=4,Table2[[#This Row],[Rating]]=5), 0.05*Table2[[#This Row],[Salary]],0)</f>
        <v>3154</v>
      </c>
      <c r="J531" s="14">
        <f>VLOOKUP(Table2[[#This Row],[Salary]],'Tax rates'!A$2:C$8, 2) + VLOOKUP(Table2[[#This Row],[Salary]],'Tax rates'!A$2:C$8, 3) * (Table2[[#This Row],[Salary]] - VLOOKUP(Table2[[#This Row],[Salary]],'Tax rates'!A$2:C$8,1))</f>
        <v>9817.1</v>
      </c>
      <c r="K531" s="14">
        <f>Table2[[#This Row],[Salary]]-Table2[[#This Row],[Taxes]]</f>
        <v>53262.9</v>
      </c>
      <c r="L531" s="15">
        <f>Table2[[#This Row],[After tax salary]]+Table2[[#This Row],[Bonus]]</f>
        <v>56416.9</v>
      </c>
    </row>
    <row r="532" spans="1:12" x14ac:dyDescent="0.25">
      <c r="A532" s="5" t="s">
        <v>583</v>
      </c>
      <c r="B532" s="5" t="s">
        <v>1</v>
      </c>
      <c r="C532" s="5" t="s">
        <v>35</v>
      </c>
      <c r="D532" s="5" t="s">
        <v>3</v>
      </c>
      <c r="E532" s="6">
        <v>40250</v>
      </c>
      <c r="F532" s="5" t="s">
        <v>11</v>
      </c>
      <c r="G532" s="10">
        <v>33590</v>
      </c>
      <c r="H532" s="7">
        <v>5</v>
      </c>
      <c r="I532" s="12">
        <f>IF(OR(Table2[[#This Row],[Rating]]=4,Table2[[#This Row],[Rating]]=5), 0.05*Table2[[#This Row],[Salary]],0)</f>
        <v>1679.5</v>
      </c>
      <c r="J532" s="14">
        <f>VLOOKUP(Table2[[#This Row],[Salary]],'Tax rates'!A$2:C$8, 2) + VLOOKUP(Table2[[#This Row],[Salary]],'Tax rates'!A$2:C$8, 3) * (Table2[[#This Row],[Salary]] - VLOOKUP(Table2[[#This Row],[Salary]],'Tax rates'!A$2:C$8,1))</f>
        <v>3840.2999999999997</v>
      </c>
      <c r="K532" s="14">
        <f>Table2[[#This Row],[Salary]]-Table2[[#This Row],[Taxes]]</f>
        <v>29749.7</v>
      </c>
      <c r="L532" s="15">
        <f>Table2[[#This Row],[After tax salary]]+Table2[[#This Row],[Bonus]]</f>
        <v>31429.200000000001</v>
      </c>
    </row>
    <row r="533" spans="1:12" x14ac:dyDescent="0.25">
      <c r="A533" s="5" t="s">
        <v>683</v>
      </c>
      <c r="B533" s="5" t="s">
        <v>1</v>
      </c>
      <c r="C533" s="5" t="s">
        <v>166</v>
      </c>
      <c r="D533" s="5" t="s">
        <v>16</v>
      </c>
      <c r="E533" s="6">
        <v>40253</v>
      </c>
      <c r="F533" s="7"/>
      <c r="G533" s="10">
        <v>59350</v>
      </c>
      <c r="H533" s="7">
        <v>5</v>
      </c>
      <c r="I533" s="12">
        <f>IF(OR(Table2[[#This Row],[Rating]]=4,Table2[[#This Row],[Rating]]=5), 0.05*Table2[[#This Row],[Salary]],0)</f>
        <v>2967.5</v>
      </c>
      <c r="J533" s="14">
        <f>VLOOKUP(Table2[[#This Row],[Salary]],'Tax rates'!A$2:C$8, 2) + VLOOKUP(Table2[[#This Row],[Salary]],'Tax rates'!A$2:C$8, 3) * (Table2[[#This Row],[Salary]] - VLOOKUP(Table2[[#This Row],[Salary]],'Tax rates'!A$2:C$8,1))</f>
        <v>8996.5</v>
      </c>
      <c r="K533" s="14">
        <f>Table2[[#This Row],[Salary]]-Table2[[#This Row],[Taxes]]</f>
        <v>50353.5</v>
      </c>
      <c r="L533" s="15">
        <f>Table2[[#This Row],[After tax salary]]+Table2[[#This Row],[Bonus]]</f>
        <v>53321</v>
      </c>
    </row>
    <row r="534" spans="1:12" x14ac:dyDescent="0.25">
      <c r="A534" s="5" t="s">
        <v>643</v>
      </c>
      <c r="B534" s="5" t="s">
        <v>27</v>
      </c>
      <c r="C534" s="5" t="s">
        <v>30</v>
      </c>
      <c r="D534" s="5" t="s">
        <v>24</v>
      </c>
      <c r="E534" s="6">
        <v>40254</v>
      </c>
      <c r="F534" s="5" t="s">
        <v>11</v>
      </c>
      <c r="G534" s="10">
        <v>48700</v>
      </c>
      <c r="H534" s="7">
        <v>3</v>
      </c>
      <c r="I534" s="12">
        <f>IF(OR(Table2[[#This Row],[Rating]]=4,Table2[[#This Row],[Rating]]=5), 0.05*Table2[[#This Row],[Salary]],0)</f>
        <v>0</v>
      </c>
      <c r="J534" s="14">
        <f>VLOOKUP(Table2[[#This Row],[Salary]],'Tax rates'!A$2:C$8, 2) + VLOOKUP(Table2[[#This Row],[Salary]],'Tax rates'!A$2:C$8, 3) * (Table2[[#This Row],[Salary]] - VLOOKUP(Table2[[#This Row],[Salary]],'Tax rates'!A$2:C$8,1))</f>
        <v>6653.5</v>
      </c>
      <c r="K534" s="14">
        <f>Table2[[#This Row],[Salary]]-Table2[[#This Row],[Taxes]]</f>
        <v>42046.5</v>
      </c>
      <c r="L534" s="15">
        <f>Table2[[#This Row],[After tax salary]]+Table2[[#This Row],[Bonus]]</f>
        <v>42046.5</v>
      </c>
    </row>
    <row r="535" spans="1:12" x14ac:dyDescent="0.25">
      <c r="A535" s="5" t="s">
        <v>163</v>
      </c>
      <c r="B535" s="5" t="s">
        <v>1</v>
      </c>
      <c r="C535" s="5" t="s">
        <v>30</v>
      </c>
      <c r="D535" s="5" t="s">
        <v>16</v>
      </c>
      <c r="E535" s="6">
        <v>40259</v>
      </c>
      <c r="F535" s="7"/>
      <c r="G535" s="10">
        <v>73190</v>
      </c>
      <c r="H535" s="7">
        <v>1</v>
      </c>
      <c r="I535" s="12">
        <f>IF(OR(Table2[[#This Row],[Rating]]=4,Table2[[#This Row],[Rating]]=5), 0.05*Table2[[#This Row],[Salary]],0)</f>
        <v>0</v>
      </c>
      <c r="J535" s="14">
        <f>VLOOKUP(Table2[[#This Row],[Salary]],'Tax rates'!A$2:C$8, 2) + VLOOKUP(Table2[[#This Row],[Salary]],'Tax rates'!A$2:C$8, 3) * (Table2[[#This Row],[Salary]] - VLOOKUP(Table2[[#This Row],[Salary]],'Tax rates'!A$2:C$8,1))</f>
        <v>12041.3</v>
      </c>
      <c r="K535" s="14">
        <f>Table2[[#This Row],[Salary]]-Table2[[#This Row],[Taxes]]</f>
        <v>61148.7</v>
      </c>
      <c r="L535" s="15">
        <f>Table2[[#This Row],[After tax salary]]+Table2[[#This Row],[Bonus]]</f>
        <v>61148.7</v>
      </c>
    </row>
    <row r="536" spans="1:12" x14ac:dyDescent="0.25">
      <c r="A536" s="5" t="s">
        <v>269</v>
      </c>
      <c r="B536" s="5" t="s">
        <v>29</v>
      </c>
      <c r="C536" s="5" t="s">
        <v>8</v>
      </c>
      <c r="D536" s="5" t="s">
        <v>16</v>
      </c>
      <c r="E536" s="6">
        <v>40259</v>
      </c>
      <c r="F536" s="7"/>
      <c r="G536" s="10">
        <v>45710</v>
      </c>
      <c r="H536" s="7">
        <v>3</v>
      </c>
      <c r="I536" s="12">
        <f>IF(OR(Table2[[#This Row],[Rating]]=4,Table2[[#This Row],[Rating]]=5), 0.05*Table2[[#This Row],[Salary]],0)</f>
        <v>0</v>
      </c>
      <c r="J536" s="14">
        <f>VLOOKUP(Table2[[#This Row],[Salary]],'Tax rates'!A$2:C$8, 2) + VLOOKUP(Table2[[#This Row],[Salary]],'Tax rates'!A$2:C$8, 3) * (Table2[[#This Row],[Salary]] - VLOOKUP(Table2[[#This Row],[Salary]],'Tax rates'!A$2:C$8,1))</f>
        <v>5995.7</v>
      </c>
      <c r="K536" s="14">
        <f>Table2[[#This Row],[Salary]]-Table2[[#This Row],[Taxes]]</f>
        <v>39714.300000000003</v>
      </c>
      <c r="L536" s="15">
        <f>Table2[[#This Row],[After tax salary]]+Table2[[#This Row],[Bonus]]</f>
        <v>39714.300000000003</v>
      </c>
    </row>
    <row r="537" spans="1:12" x14ac:dyDescent="0.25">
      <c r="A537" s="5" t="s">
        <v>95</v>
      </c>
      <c r="B537" s="5" t="s">
        <v>51</v>
      </c>
      <c r="C537" s="5" t="s">
        <v>37</v>
      </c>
      <c r="D537" s="5" t="s">
        <v>24</v>
      </c>
      <c r="E537" s="6">
        <v>40263</v>
      </c>
      <c r="F537" s="5" t="s">
        <v>4</v>
      </c>
      <c r="G537" s="10">
        <v>49405</v>
      </c>
      <c r="H537" s="7">
        <v>4</v>
      </c>
      <c r="I537" s="12">
        <f>IF(OR(Table2[[#This Row],[Rating]]=4,Table2[[#This Row],[Rating]]=5), 0.05*Table2[[#This Row],[Salary]],0)</f>
        <v>2470.25</v>
      </c>
      <c r="J537" s="14">
        <f>VLOOKUP(Table2[[#This Row],[Salary]],'Tax rates'!A$2:C$8, 2) + VLOOKUP(Table2[[#This Row],[Salary]],'Tax rates'!A$2:C$8, 3) * (Table2[[#This Row],[Salary]] - VLOOKUP(Table2[[#This Row],[Salary]],'Tax rates'!A$2:C$8,1))</f>
        <v>6808.6</v>
      </c>
      <c r="K537" s="14">
        <f>Table2[[#This Row],[Salary]]-Table2[[#This Row],[Taxes]]</f>
        <v>42596.4</v>
      </c>
      <c r="L537" s="15">
        <f>Table2[[#This Row],[After tax salary]]+Table2[[#This Row],[Bonus]]</f>
        <v>45066.65</v>
      </c>
    </row>
    <row r="538" spans="1:12" x14ac:dyDescent="0.25">
      <c r="A538" s="5" t="s">
        <v>91</v>
      </c>
      <c r="B538" s="5" t="s">
        <v>27</v>
      </c>
      <c r="C538" s="5" t="s">
        <v>92</v>
      </c>
      <c r="D538" s="5" t="s">
        <v>16</v>
      </c>
      <c r="E538" s="6">
        <v>40263</v>
      </c>
      <c r="F538" s="5" t="s">
        <v>21</v>
      </c>
      <c r="G538" s="10">
        <v>71190</v>
      </c>
      <c r="H538" s="7">
        <v>4</v>
      </c>
      <c r="I538" s="12">
        <f>IF(OR(Table2[[#This Row],[Rating]]=4,Table2[[#This Row],[Rating]]=5), 0.05*Table2[[#This Row],[Salary]],0)</f>
        <v>3559.5</v>
      </c>
      <c r="J538" s="14">
        <f>VLOOKUP(Table2[[#This Row],[Salary]],'Tax rates'!A$2:C$8, 2) + VLOOKUP(Table2[[#This Row],[Salary]],'Tax rates'!A$2:C$8, 3) * (Table2[[#This Row],[Salary]] - VLOOKUP(Table2[[#This Row],[Salary]],'Tax rates'!A$2:C$8,1))</f>
        <v>11601.3</v>
      </c>
      <c r="K538" s="14">
        <f>Table2[[#This Row],[Salary]]-Table2[[#This Row],[Taxes]]</f>
        <v>59588.7</v>
      </c>
      <c r="L538" s="15">
        <f>Table2[[#This Row],[After tax salary]]+Table2[[#This Row],[Bonus]]</f>
        <v>63148.2</v>
      </c>
    </row>
    <row r="539" spans="1:12" x14ac:dyDescent="0.25">
      <c r="A539" s="5" t="s">
        <v>588</v>
      </c>
      <c r="B539" s="5" t="s">
        <v>13</v>
      </c>
      <c r="C539" s="5" t="s">
        <v>20</v>
      </c>
      <c r="D539" s="5" t="s">
        <v>16</v>
      </c>
      <c r="E539" s="6">
        <v>40263</v>
      </c>
      <c r="F539" s="7"/>
      <c r="G539" s="10">
        <v>35260</v>
      </c>
      <c r="H539" s="7">
        <v>2</v>
      </c>
      <c r="I539" s="12">
        <f>IF(OR(Table2[[#This Row],[Rating]]=4,Table2[[#This Row],[Rating]]=5), 0.05*Table2[[#This Row],[Salary]],0)</f>
        <v>0</v>
      </c>
      <c r="J539" s="14">
        <f>VLOOKUP(Table2[[#This Row],[Salary]],'Tax rates'!A$2:C$8, 2) + VLOOKUP(Table2[[#This Row],[Salary]],'Tax rates'!A$2:C$8, 3) * (Table2[[#This Row],[Salary]] - VLOOKUP(Table2[[#This Row],[Salary]],'Tax rates'!A$2:C$8,1))</f>
        <v>4040.7</v>
      </c>
      <c r="K539" s="14">
        <f>Table2[[#This Row],[Salary]]-Table2[[#This Row],[Taxes]]</f>
        <v>31219.3</v>
      </c>
      <c r="L539" s="15">
        <f>Table2[[#This Row],[After tax salary]]+Table2[[#This Row],[Bonus]]</f>
        <v>31219.3</v>
      </c>
    </row>
    <row r="540" spans="1:12" x14ac:dyDescent="0.25">
      <c r="A540" s="5" t="s">
        <v>54</v>
      </c>
      <c r="B540" s="5" t="s">
        <v>13</v>
      </c>
      <c r="C540" s="5" t="s">
        <v>30</v>
      </c>
      <c r="D540" s="5" t="s">
        <v>3</v>
      </c>
      <c r="E540" s="6">
        <v>40264</v>
      </c>
      <c r="F540" s="5" t="s">
        <v>9</v>
      </c>
      <c r="G540" s="10">
        <v>29760</v>
      </c>
      <c r="H540" s="7">
        <v>2</v>
      </c>
      <c r="I540" s="12">
        <f>IF(OR(Table2[[#This Row],[Rating]]=4,Table2[[#This Row],[Rating]]=5), 0.05*Table2[[#This Row],[Salary]],0)</f>
        <v>0</v>
      </c>
      <c r="J540" s="14">
        <f>VLOOKUP(Table2[[#This Row],[Salary]],'Tax rates'!A$2:C$8, 2) + VLOOKUP(Table2[[#This Row],[Salary]],'Tax rates'!A$2:C$8, 3) * (Table2[[#This Row],[Salary]] - VLOOKUP(Table2[[#This Row],[Salary]],'Tax rates'!A$2:C$8,1))</f>
        <v>3380.7</v>
      </c>
      <c r="K540" s="14">
        <f>Table2[[#This Row],[Salary]]-Table2[[#This Row],[Taxes]]</f>
        <v>26379.3</v>
      </c>
      <c r="L540" s="15">
        <f>Table2[[#This Row],[After tax salary]]+Table2[[#This Row],[Bonus]]</f>
        <v>26379.3</v>
      </c>
    </row>
    <row r="541" spans="1:12" x14ac:dyDescent="0.25">
      <c r="A541" s="5" t="s">
        <v>666</v>
      </c>
      <c r="B541" s="5" t="s">
        <v>6</v>
      </c>
      <c r="C541" s="5" t="s">
        <v>18</v>
      </c>
      <c r="D541" s="5" t="s">
        <v>3</v>
      </c>
      <c r="E541" s="6">
        <v>40269</v>
      </c>
      <c r="F541" s="5" t="s">
        <v>11</v>
      </c>
      <c r="G541" s="10">
        <v>86260</v>
      </c>
      <c r="H541" s="7">
        <v>3</v>
      </c>
      <c r="I541" s="12">
        <f>IF(OR(Table2[[#This Row],[Rating]]=4,Table2[[#This Row],[Rating]]=5), 0.05*Table2[[#This Row],[Salary]],0)</f>
        <v>0</v>
      </c>
      <c r="J541" s="14">
        <f>VLOOKUP(Table2[[#This Row],[Salary]],'Tax rates'!A$2:C$8, 2) + VLOOKUP(Table2[[#This Row],[Salary]],'Tax rates'!A$2:C$8, 3) * (Table2[[#This Row],[Salary]] - VLOOKUP(Table2[[#This Row],[Salary]],'Tax rates'!A$2:C$8,1))</f>
        <v>14991.9</v>
      </c>
      <c r="K541" s="14">
        <f>Table2[[#This Row],[Salary]]-Table2[[#This Row],[Taxes]]</f>
        <v>71268.100000000006</v>
      </c>
      <c r="L541" s="15">
        <f>Table2[[#This Row],[After tax salary]]+Table2[[#This Row],[Bonus]]</f>
        <v>71268.100000000006</v>
      </c>
    </row>
    <row r="542" spans="1:12" x14ac:dyDescent="0.25">
      <c r="A542" s="5" t="s">
        <v>219</v>
      </c>
      <c r="B542" s="5" t="s">
        <v>6</v>
      </c>
      <c r="C542" s="5" t="s">
        <v>18</v>
      </c>
      <c r="D542" s="5" t="s">
        <v>3</v>
      </c>
      <c r="E542" s="6">
        <v>40270</v>
      </c>
      <c r="F542" s="5" t="s">
        <v>11</v>
      </c>
      <c r="G542" s="10">
        <v>35300</v>
      </c>
      <c r="H542" s="7">
        <v>5</v>
      </c>
      <c r="I542" s="12">
        <f>IF(OR(Table2[[#This Row],[Rating]]=4,Table2[[#This Row],[Rating]]=5), 0.05*Table2[[#This Row],[Salary]],0)</f>
        <v>1765</v>
      </c>
      <c r="J542" s="14">
        <f>VLOOKUP(Table2[[#This Row],[Salary]],'Tax rates'!A$2:C$8, 2) + VLOOKUP(Table2[[#This Row],[Salary]],'Tax rates'!A$2:C$8, 3) * (Table2[[#This Row],[Salary]] - VLOOKUP(Table2[[#This Row],[Salary]],'Tax rates'!A$2:C$8,1))</f>
        <v>4045.5</v>
      </c>
      <c r="K542" s="14">
        <f>Table2[[#This Row],[Salary]]-Table2[[#This Row],[Taxes]]</f>
        <v>31254.5</v>
      </c>
      <c r="L542" s="15">
        <f>Table2[[#This Row],[After tax salary]]+Table2[[#This Row],[Bonus]]</f>
        <v>33019.5</v>
      </c>
    </row>
    <row r="543" spans="1:12" x14ac:dyDescent="0.25">
      <c r="A543" s="5" t="s">
        <v>744</v>
      </c>
      <c r="B543" s="5" t="s">
        <v>13</v>
      </c>
      <c r="C543" s="5" t="s">
        <v>75</v>
      </c>
      <c r="D543" s="5" t="s">
        <v>16</v>
      </c>
      <c r="E543" s="6">
        <v>40273</v>
      </c>
      <c r="F543" s="7"/>
      <c r="G543" s="10">
        <v>50550</v>
      </c>
      <c r="H543" s="7">
        <v>2</v>
      </c>
      <c r="I543" s="12">
        <f>IF(OR(Table2[[#This Row],[Rating]]=4,Table2[[#This Row],[Rating]]=5), 0.05*Table2[[#This Row],[Salary]],0)</f>
        <v>0</v>
      </c>
      <c r="J543" s="14">
        <f>VLOOKUP(Table2[[#This Row],[Salary]],'Tax rates'!A$2:C$8, 2) + VLOOKUP(Table2[[#This Row],[Salary]],'Tax rates'!A$2:C$8, 3) * (Table2[[#This Row],[Salary]] - VLOOKUP(Table2[[#This Row],[Salary]],'Tax rates'!A$2:C$8,1))</f>
        <v>7060.5</v>
      </c>
      <c r="K543" s="14">
        <f>Table2[[#This Row],[Salary]]-Table2[[#This Row],[Taxes]]</f>
        <v>43489.5</v>
      </c>
      <c r="L543" s="15">
        <f>Table2[[#This Row],[After tax salary]]+Table2[[#This Row],[Bonus]]</f>
        <v>43489.5</v>
      </c>
    </row>
    <row r="544" spans="1:12" x14ac:dyDescent="0.25">
      <c r="A544" s="5" t="s">
        <v>690</v>
      </c>
      <c r="B544" s="5" t="s">
        <v>6</v>
      </c>
      <c r="C544" s="5" t="s">
        <v>75</v>
      </c>
      <c r="D544" s="5" t="s">
        <v>3</v>
      </c>
      <c r="E544" s="6">
        <v>40274</v>
      </c>
      <c r="F544" s="5" t="s">
        <v>25</v>
      </c>
      <c r="G544" s="10">
        <v>38730</v>
      </c>
      <c r="H544" s="7">
        <v>1</v>
      </c>
      <c r="I544" s="12">
        <f>IF(OR(Table2[[#This Row],[Rating]]=4,Table2[[#This Row],[Rating]]=5), 0.05*Table2[[#This Row],[Salary]],0)</f>
        <v>0</v>
      </c>
      <c r="J544" s="14">
        <f>VLOOKUP(Table2[[#This Row],[Salary]],'Tax rates'!A$2:C$8, 2) + VLOOKUP(Table2[[#This Row],[Salary]],'Tax rates'!A$2:C$8, 3) * (Table2[[#This Row],[Salary]] - VLOOKUP(Table2[[#This Row],[Salary]],'Tax rates'!A$2:C$8,1))</f>
        <v>4460.1000000000004</v>
      </c>
      <c r="K544" s="14">
        <f>Table2[[#This Row],[Salary]]-Table2[[#This Row],[Taxes]]</f>
        <v>34269.9</v>
      </c>
      <c r="L544" s="15">
        <f>Table2[[#This Row],[After tax salary]]+Table2[[#This Row],[Bonus]]</f>
        <v>34269.9</v>
      </c>
    </row>
    <row r="545" spans="1:12" x14ac:dyDescent="0.25">
      <c r="A545" s="5" t="s">
        <v>515</v>
      </c>
      <c r="B545" s="5" t="s">
        <v>1</v>
      </c>
      <c r="C545" s="5" t="s">
        <v>30</v>
      </c>
      <c r="D545" s="5" t="s">
        <v>3</v>
      </c>
      <c r="E545" s="6">
        <v>40282</v>
      </c>
      <c r="F545" s="5" t="s">
        <v>9</v>
      </c>
      <c r="G545" s="10">
        <v>72640</v>
      </c>
      <c r="H545" s="7">
        <v>3</v>
      </c>
      <c r="I545" s="12">
        <f>IF(OR(Table2[[#This Row],[Rating]]=4,Table2[[#This Row],[Rating]]=5), 0.05*Table2[[#This Row],[Salary]],0)</f>
        <v>0</v>
      </c>
      <c r="J545" s="14">
        <f>VLOOKUP(Table2[[#This Row],[Salary]],'Tax rates'!A$2:C$8, 2) + VLOOKUP(Table2[[#This Row],[Salary]],'Tax rates'!A$2:C$8, 3) * (Table2[[#This Row],[Salary]] - VLOOKUP(Table2[[#This Row],[Salary]],'Tax rates'!A$2:C$8,1))</f>
        <v>11920.3</v>
      </c>
      <c r="K545" s="14">
        <f>Table2[[#This Row],[Salary]]-Table2[[#This Row],[Taxes]]</f>
        <v>60719.7</v>
      </c>
      <c r="L545" s="15">
        <f>Table2[[#This Row],[After tax salary]]+Table2[[#This Row],[Bonus]]</f>
        <v>60719.7</v>
      </c>
    </row>
    <row r="546" spans="1:12" x14ac:dyDescent="0.25">
      <c r="A546" s="5" t="s">
        <v>311</v>
      </c>
      <c r="B546" s="5" t="s">
        <v>29</v>
      </c>
      <c r="C546" s="5" t="s">
        <v>15</v>
      </c>
      <c r="D546" s="5" t="s">
        <v>16</v>
      </c>
      <c r="E546" s="6">
        <v>40292</v>
      </c>
      <c r="F546" s="7"/>
      <c r="G546" s="10">
        <v>61890</v>
      </c>
      <c r="H546" s="7">
        <v>2</v>
      </c>
      <c r="I546" s="12">
        <f>IF(OR(Table2[[#This Row],[Rating]]=4,Table2[[#This Row],[Rating]]=5), 0.05*Table2[[#This Row],[Salary]],0)</f>
        <v>0</v>
      </c>
      <c r="J546" s="14">
        <f>VLOOKUP(Table2[[#This Row],[Salary]],'Tax rates'!A$2:C$8, 2) + VLOOKUP(Table2[[#This Row],[Salary]],'Tax rates'!A$2:C$8, 3) * (Table2[[#This Row],[Salary]] - VLOOKUP(Table2[[#This Row],[Salary]],'Tax rates'!A$2:C$8,1))</f>
        <v>9555.2999999999993</v>
      </c>
      <c r="K546" s="14">
        <f>Table2[[#This Row],[Salary]]-Table2[[#This Row],[Taxes]]</f>
        <v>52334.7</v>
      </c>
      <c r="L546" s="15">
        <f>Table2[[#This Row],[After tax salary]]+Table2[[#This Row],[Bonus]]</f>
        <v>52334.7</v>
      </c>
    </row>
    <row r="547" spans="1:12" x14ac:dyDescent="0.25">
      <c r="A547" s="5" t="s">
        <v>677</v>
      </c>
      <c r="B547" s="5" t="s">
        <v>13</v>
      </c>
      <c r="C547" s="5" t="s">
        <v>75</v>
      </c>
      <c r="D547" s="5" t="s">
        <v>3</v>
      </c>
      <c r="E547" s="6">
        <v>40292</v>
      </c>
      <c r="F547" s="5" t="s">
        <v>4</v>
      </c>
      <c r="G547" s="10">
        <v>23280</v>
      </c>
      <c r="H547" s="7">
        <v>1</v>
      </c>
      <c r="I547" s="12">
        <f>IF(OR(Table2[[#This Row],[Rating]]=4,Table2[[#This Row],[Rating]]=5), 0.05*Table2[[#This Row],[Salary]],0)</f>
        <v>0</v>
      </c>
      <c r="J547" s="14">
        <f>VLOOKUP(Table2[[#This Row],[Salary]],'Tax rates'!A$2:C$8, 2) + VLOOKUP(Table2[[#This Row],[Salary]],'Tax rates'!A$2:C$8, 3) * (Table2[[#This Row],[Salary]] - VLOOKUP(Table2[[#This Row],[Salary]],'Tax rates'!A$2:C$8,1))</f>
        <v>2603.1</v>
      </c>
      <c r="K547" s="14">
        <f>Table2[[#This Row],[Salary]]-Table2[[#This Row],[Taxes]]</f>
        <v>20676.900000000001</v>
      </c>
      <c r="L547" s="15">
        <f>Table2[[#This Row],[After tax salary]]+Table2[[#This Row],[Bonus]]</f>
        <v>20676.900000000001</v>
      </c>
    </row>
    <row r="548" spans="1:12" x14ac:dyDescent="0.25">
      <c r="A548" s="5" t="s">
        <v>220</v>
      </c>
      <c r="B548" s="5" t="s">
        <v>29</v>
      </c>
      <c r="C548" s="5" t="s">
        <v>30</v>
      </c>
      <c r="D548" s="5" t="s">
        <v>24</v>
      </c>
      <c r="E548" s="6">
        <v>40293</v>
      </c>
      <c r="F548" s="5" t="s">
        <v>4</v>
      </c>
      <c r="G548" s="10">
        <v>11810</v>
      </c>
      <c r="H548" s="7">
        <v>1</v>
      </c>
      <c r="I548" s="12">
        <f>IF(OR(Table2[[#This Row],[Rating]]=4,Table2[[#This Row],[Rating]]=5), 0.05*Table2[[#This Row],[Salary]],0)</f>
        <v>0</v>
      </c>
      <c r="J548" s="14">
        <f>VLOOKUP(Table2[[#This Row],[Salary]],'Tax rates'!A$2:C$8, 2) + VLOOKUP(Table2[[#This Row],[Salary]],'Tax rates'!A$2:C$8, 3) * (Table2[[#This Row],[Salary]] - VLOOKUP(Table2[[#This Row],[Salary]],'Tax rates'!A$2:C$8,1))</f>
        <v>1226.7</v>
      </c>
      <c r="K548" s="14">
        <f>Table2[[#This Row],[Salary]]-Table2[[#This Row],[Taxes]]</f>
        <v>10583.3</v>
      </c>
      <c r="L548" s="15">
        <f>Table2[[#This Row],[After tax salary]]+Table2[[#This Row],[Bonus]]</f>
        <v>10583.3</v>
      </c>
    </row>
    <row r="549" spans="1:12" x14ac:dyDescent="0.25">
      <c r="A549" s="5" t="s">
        <v>336</v>
      </c>
      <c r="B549" s="5" t="s">
        <v>1</v>
      </c>
      <c r="C549" s="5" t="s">
        <v>18</v>
      </c>
      <c r="D549" s="5" t="s">
        <v>16</v>
      </c>
      <c r="E549" s="6">
        <v>40298</v>
      </c>
      <c r="F549" s="7"/>
      <c r="G549" s="10">
        <v>24410</v>
      </c>
      <c r="H549" s="7">
        <v>3</v>
      </c>
      <c r="I549" s="12">
        <f>IF(OR(Table2[[#This Row],[Rating]]=4,Table2[[#This Row],[Rating]]=5), 0.05*Table2[[#This Row],[Salary]],0)</f>
        <v>0</v>
      </c>
      <c r="J549" s="14">
        <f>VLOOKUP(Table2[[#This Row],[Salary]],'Tax rates'!A$2:C$8, 2) + VLOOKUP(Table2[[#This Row],[Salary]],'Tax rates'!A$2:C$8, 3) * (Table2[[#This Row],[Salary]] - VLOOKUP(Table2[[#This Row],[Salary]],'Tax rates'!A$2:C$8,1))</f>
        <v>2738.7</v>
      </c>
      <c r="K549" s="14">
        <f>Table2[[#This Row],[Salary]]-Table2[[#This Row],[Taxes]]</f>
        <v>21671.3</v>
      </c>
      <c r="L549" s="15">
        <f>Table2[[#This Row],[After tax salary]]+Table2[[#This Row],[Bonus]]</f>
        <v>21671.3</v>
      </c>
    </row>
    <row r="550" spans="1:12" x14ac:dyDescent="0.25">
      <c r="A550" s="5" t="s">
        <v>189</v>
      </c>
      <c r="B550" s="5" t="s">
        <v>1</v>
      </c>
      <c r="C550" s="5" t="s">
        <v>8</v>
      </c>
      <c r="D550" s="5" t="s">
        <v>24</v>
      </c>
      <c r="E550" s="6">
        <v>40299</v>
      </c>
      <c r="F550" s="5" t="s">
        <v>9</v>
      </c>
      <c r="G550" s="10">
        <v>32835</v>
      </c>
      <c r="H550" s="7">
        <v>2</v>
      </c>
      <c r="I550" s="12">
        <f>IF(OR(Table2[[#This Row],[Rating]]=4,Table2[[#This Row],[Rating]]=5), 0.05*Table2[[#This Row],[Salary]],0)</f>
        <v>0</v>
      </c>
      <c r="J550" s="14">
        <f>VLOOKUP(Table2[[#This Row],[Salary]],'Tax rates'!A$2:C$8, 2) + VLOOKUP(Table2[[#This Row],[Salary]],'Tax rates'!A$2:C$8, 3) * (Table2[[#This Row],[Salary]] - VLOOKUP(Table2[[#This Row],[Salary]],'Tax rates'!A$2:C$8,1))</f>
        <v>3749.7</v>
      </c>
      <c r="K550" s="14">
        <f>Table2[[#This Row],[Salary]]-Table2[[#This Row],[Taxes]]</f>
        <v>29085.3</v>
      </c>
      <c r="L550" s="15">
        <f>Table2[[#This Row],[After tax salary]]+Table2[[#This Row],[Bonus]]</f>
        <v>29085.3</v>
      </c>
    </row>
    <row r="551" spans="1:12" x14ac:dyDescent="0.25">
      <c r="A551" s="5" t="s">
        <v>651</v>
      </c>
      <c r="B551" s="5" t="s">
        <v>6</v>
      </c>
      <c r="C551" s="5" t="s">
        <v>18</v>
      </c>
      <c r="D551" s="5" t="s">
        <v>3</v>
      </c>
      <c r="E551" s="6">
        <v>40301</v>
      </c>
      <c r="F551" s="5" t="s">
        <v>11</v>
      </c>
      <c r="G551" s="10">
        <v>44270</v>
      </c>
      <c r="H551" s="7">
        <v>2</v>
      </c>
      <c r="I551" s="12">
        <f>IF(OR(Table2[[#This Row],[Rating]]=4,Table2[[#This Row],[Rating]]=5), 0.05*Table2[[#This Row],[Salary]],0)</f>
        <v>0</v>
      </c>
      <c r="J551" s="14">
        <f>VLOOKUP(Table2[[#This Row],[Salary]],'Tax rates'!A$2:C$8, 2) + VLOOKUP(Table2[[#This Row],[Salary]],'Tax rates'!A$2:C$8, 3) * (Table2[[#This Row],[Salary]] - VLOOKUP(Table2[[#This Row],[Salary]],'Tax rates'!A$2:C$8,1))</f>
        <v>5678.9</v>
      </c>
      <c r="K551" s="14">
        <f>Table2[[#This Row],[Salary]]-Table2[[#This Row],[Taxes]]</f>
        <v>38591.1</v>
      </c>
      <c r="L551" s="15">
        <f>Table2[[#This Row],[After tax salary]]+Table2[[#This Row],[Bonus]]</f>
        <v>38591.1</v>
      </c>
    </row>
    <row r="552" spans="1:12" x14ac:dyDescent="0.25">
      <c r="A552" s="5" t="s">
        <v>574</v>
      </c>
      <c r="B552" s="5" t="s">
        <v>1</v>
      </c>
      <c r="C552" s="5" t="s">
        <v>18</v>
      </c>
      <c r="D552" s="5" t="s">
        <v>24</v>
      </c>
      <c r="E552" s="6">
        <v>40302</v>
      </c>
      <c r="F552" s="5" t="s">
        <v>4</v>
      </c>
      <c r="G552" s="10">
        <v>46285</v>
      </c>
      <c r="H552" s="7">
        <v>5</v>
      </c>
      <c r="I552" s="12">
        <f>IF(OR(Table2[[#This Row],[Rating]]=4,Table2[[#This Row],[Rating]]=5), 0.05*Table2[[#This Row],[Salary]],0)</f>
        <v>2314.25</v>
      </c>
      <c r="J552" s="14">
        <f>VLOOKUP(Table2[[#This Row],[Salary]],'Tax rates'!A$2:C$8, 2) + VLOOKUP(Table2[[#This Row],[Salary]],'Tax rates'!A$2:C$8, 3) * (Table2[[#This Row],[Salary]] - VLOOKUP(Table2[[#This Row],[Salary]],'Tax rates'!A$2:C$8,1))</f>
        <v>6122.2</v>
      </c>
      <c r="K552" s="14">
        <f>Table2[[#This Row],[Salary]]-Table2[[#This Row],[Taxes]]</f>
        <v>40162.800000000003</v>
      </c>
      <c r="L552" s="15">
        <f>Table2[[#This Row],[After tax salary]]+Table2[[#This Row],[Bonus]]</f>
        <v>42477.05</v>
      </c>
    </row>
    <row r="553" spans="1:12" x14ac:dyDescent="0.25">
      <c r="A553" s="5" t="s">
        <v>363</v>
      </c>
      <c r="B553" s="5" t="s">
        <v>27</v>
      </c>
      <c r="C553" s="5" t="s">
        <v>75</v>
      </c>
      <c r="D553" s="5" t="s">
        <v>3</v>
      </c>
      <c r="E553" s="6">
        <v>40310</v>
      </c>
      <c r="F553" s="5" t="s">
        <v>9</v>
      </c>
      <c r="G553" s="10">
        <v>82120</v>
      </c>
      <c r="H553" s="7">
        <v>5</v>
      </c>
      <c r="I553" s="12">
        <f>IF(OR(Table2[[#This Row],[Rating]]=4,Table2[[#This Row],[Rating]]=5), 0.05*Table2[[#This Row],[Salary]],0)</f>
        <v>4106</v>
      </c>
      <c r="J553" s="14">
        <f>VLOOKUP(Table2[[#This Row],[Salary]],'Tax rates'!A$2:C$8, 2) + VLOOKUP(Table2[[#This Row],[Salary]],'Tax rates'!A$2:C$8, 3) * (Table2[[#This Row],[Salary]] - VLOOKUP(Table2[[#This Row],[Salary]],'Tax rates'!A$2:C$8,1))</f>
        <v>14005.9</v>
      </c>
      <c r="K553" s="14">
        <f>Table2[[#This Row],[Salary]]-Table2[[#This Row],[Taxes]]</f>
        <v>68114.100000000006</v>
      </c>
      <c r="L553" s="15">
        <f>Table2[[#This Row],[After tax salary]]+Table2[[#This Row],[Bonus]]</f>
        <v>72220.100000000006</v>
      </c>
    </row>
    <row r="554" spans="1:12" x14ac:dyDescent="0.25">
      <c r="A554" s="5" t="s">
        <v>455</v>
      </c>
      <c r="B554" s="5" t="s">
        <v>1</v>
      </c>
      <c r="C554" s="5" t="s">
        <v>18</v>
      </c>
      <c r="D554" s="5" t="s">
        <v>3</v>
      </c>
      <c r="E554" s="6">
        <v>40312</v>
      </c>
      <c r="F554" s="5" t="s">
        <v>4</v>
      </c>
      <c r="G554" s="10">
        <v>73450</v>
      </c>
      <c r="H554" s="7">
        <v>3</v>
      </c>
      <c r="I554" s="12">
        <f>IF(OR(Table2[[#This Row],[Rating]]=4,Table2[[#This Row],[Rating]]=5), 0.05*Table2[[#This Row],[Salary]],0)</f>
        <v>0</v>
      </c>
      <c r="J554" s="14">
        <f>VLOOKUP(Table2[[#This Row],[Salary]],'Tax rates'!A$2:C$8, 2) + VLOOKUP(Table2[[#This Row],[Salary]],'Tax rates'!A$2:C$8, 3) * (Table2[[#This Row],[Salary]] - VLOOKUP(Table2[[#This Row],[Salary]],'Tax rates'!A$2:C$8,1))</f>
        <v>12098.5</v>
      </c>
      <c r="K554" s="14">
        <f>Table2[[#This Row],[Salary]]-Table2[[#This Row],[Taxes]]</f>
        <v>61351.5</v>
      </c>
      <c r="L554" s="15">
        <f>Table2[[#This Row],[After tax salary]]+Table2[[#This Row],[Bonus]]</f>
        <v>61351.5</v>
      </c>
    </row>
    <row r="555" spans="1:12" x14ac:dyDescent="0.25">
      <c r="A555" s="5" t="s">
        <v>341</v>
      </c>
      <c r="B555" s="5" t="s">
        <v>6</v>
      </c>
      <c r="C555" s="5" t="s">
        <v>138</v>
      </c>
      <c r="D555" s="5" t="s">
        <v>32</v>
      </c>
      <c r="E555" s="6">
        <v>40313</v>
      </c>
      <c r="F555" s="7"/>
      <c r="G555" s="10">
        <v>27484</v>
      </c>
      <c r="H555" s="7">
        <v>4</v>
      </c>
      <c r="I555" s="12">
        <f>IF(OR(Table2[[#This Row],[Rating]]=4,Table2[[#This Row],[Rating]]=5), 0.05*Table2[[#This Row],[Salary]],0)</f>
        <v>1374.2</v>
      </c>
      <c r="J555" s="14">
        <f>VLOOKUP(Table2[[#This Row],[Salary]],'Tax rates'!A$2:C$8, 2) + VLOOKUP(Table2[[#This Row],[Salary]],'Tax rates'!A$2:C$8, 3) * (Table2[[#This Row],[Salary]] - VLOOKUP(Table2[[#This Row],[Salary]],'Tax rates'!A$2:C$8,1))</f>
        <v>3107.58</v>
      </c>
      <c r="K555" s="14">
        <f>Table2[[#This Row],[Salary]]-Table2[[#This Row],[Taxes]]</f>
        <v>24376.42</v>
      </c>
      <c r="L555" s="15">
        <f>Table2[[#This Row],[After tax salary]]+Table2[[#This Row],[Bonus]]</f>
        <v>25750.62</v>
      </c>
    </row>
    <row r="556" spans="1:12" x14ac:dyDescent="0.25">
      <c r="A556" s="5" t="s">
        <v>636</v>
      </c>
      <c r="B556" s="5" t="s">
        <v>29</v>
      </c>
      <c r="C556" s="5" t="s">
        <v>15</v>
      </c>
      <c r="D556" s="5" t="s">
        <v>3</v>
      </c>
      <c r="E556" s="6">
        <v>40313</v>
      </c>
      <c r="F556" s="5" t="s">
        <v>11</v>
      </c>
      <c r="G556" s="10">
        <v>27250</v>
      </c>
      <c r="H556" s="7">
        <v>5</v>
      </c>
      <c r="I556" s="12">
        <f>IF(OR(Table2[[#This Row],[Rating]]=4,Table2[[#This Row],[Rating]]=5), 0.05*Table2[[#This Row],[Salary]],0)</f>
        <v>1362.5</v>
      </c>
      <c r="J556" s="14">
        <f>VLOOKUP(Table2[[#This Row],[Salary]],'Tax rates'!A$2:C$8, 2) + VLOOKUP(Table2[[#This Row],[Salary]],'Tax rates'!A$2:C$8, 3) * (Table2[[#This Row],[Salary]] - VLOOKUP(Table2[[#This Row],[Salary]],'Tax rates'!A$2:C$8,1))</f>
        <v>3079.5</v>
      </c>
      <c r="K556" s="14">
        <f>Table2[[#This Row],[Salary]]-Table2[[#This Row],[Taxes]]</f>
        <v>24170.5</v>
      </c>
      <c r="L556" s="15">
        <f>Table2[[#This Row],[After tax salary]]+Table2[[#This Row],[Bonus]]</f>
        <v>25533</v>
      </c>
    </row>
    <row r="557" spans="1:12" x14ac:dyDescent="0.25">
      <c r="A557" s="5" t="s">
        <v>201</v>
      </c>
      <c r="B557" s="5" t="s">
        <v>1</v>
      </c>
      <c r="C557" s="5" t="s">
        <v>75</v>
      </c>
      <c r="D557" s="5" t="s">
        <v>3</v>
      </c>
      <c r="E557" s="6">
        <v>40320</v>
      </c>
      <c r="F557" s="5" t="s">
        <v>21</v>
      </c>
      <c r="G557" s="10">
        <v>77580</v>
      </c>
      <c r="H557" s="7">
        <v>3</v>
      </c>
      <c r="I557" s="12">
        <f>IF(OR(Table2[[#This Row],[Rating]]=4,Table2[[#This Row],[Rating]]=5), 0.05*Table2[[#This Row],[Salary]],0)</f>
        <v>0</v>
      </c>
      <c r="J557" s="14">
        <f>VLOOKUP(Table2[[#This Row],[Salary]],'Tax rates'!A$2:C$8, 2) + VLOOKUP(Table2[[#This Row],[Salary]],'Tax rates'!A$2:C$8, 3) * (Table2[[#This Row],[Salary]] - VLOOKUP(Table2[[#This Row],[Salary]],'Tax rates'!A$2:C$8,1))</f>
        <v>13007.1</v>
      </c>
      <c r="K557" s="14">
        <f>Table2[[#This Row],[Salary]]-Table2[[#This Row],[Taxes]]</f>
        <v>64572.9</v>
      </c>
      <c r="L557" s="15">
        <f>Table2[[#This Row],[After tax salary]]+Table2[[#This Row],[Bonus]]</f>
        <v>64572.9</v>
      </c>
    </row>
    <row r="558" spans="1:12" x14ac:dyDescent="0.25">
      <c r="A558" s="5" t="s">
        <v>69</v>
      </c>
      <c r="B558" s="5" t="s">
        <v>6</v>
      </c>
      <c r="C558" s="5" t="s">
        <v>30</v>
      </c>
      <c r="D558" s="5" t="s">
        <v>3</v>
      </c>
      <c r="E558" s="6">
        <v>40332</v>
      </c>
      <c r="F558" s="5" t="s">
        <v>4</v>
      </c>
      <c r="G558" s="10">
        <v>47340</v>
      </c>
      <c r="H558" s="7">
        <v>2</v>
      </c>
      <c r="I558" s="12">
        <f>IF(OR(Table2[[#This Row],[Rating]]=4,Table2[[#This Row],[Rating]]=5), 0.05*Table2[[#This Row],[Salary]],0)</f>
        <v>0</v>
      </c>
      <c r="J558" s="14">
        <f>VLOOKUP(Table2[[#This Row],[Salary]],'Tax rates'!A$2:C$8, 2) + VLOOKUP(Table2[[#This Row],[Salary]],'Tax rates'!A$2:C$8, 3) * (Table2[[#This Row],[Salary]] - VLOOKUP(Table2[[#This Row],[Salary]],'Tax rates'!A$2:C$8,1))</f>
        <v>6354.3</v>
      </c>
      <c r="K558" s="14">
        <f>Table2[[#This Row],[Salary]]-Table2[[#This Row],[Taxes]]</f>
        <v>40985.699999999997</v>
      </c>
      <c r="L558" s="15">
        <f>Table2[[#This Row],[After tax salary]]+Table2[[#This Row],[Bonus]]</f>
        <v>40985.699999999997</v>
      </c>
    </row>
    <row r="559" spans="1:12" x14ac:dyDescent="0.25">
      <c r="A559" s="5" t="s">
        <v>424</v>
      </c>
      <c r="B559" s="5" t="s">
        <v>27</v>
      </c>
      <c r="C559" s="5" t="s">
        <v>37</v>
      </c>
      <c r="D559" s="5" t="s">
        <v>16</v>
      </c>
      <c r="E559" s="6">
        <v>40333</v>
      </c>
      <c r="F559" s="7"/>
      <c r="G559" s="10">
        <v>74020</v>
      </c>
      <c r="H559" s="7">
        <v>2</v>
      </c>
      <c r="I559" s="12">
        <f>IF(OR(Table2[[#This Row],[Rating]]=4,Table2[[#This Row],[Rating]]=5), 0.05*Table2[[#This Row],[Salary]],0)</f>
        <v>0</v>
      </c>
      <c r="J559" s="14">
        <f>VLOOKUP(Table2[[#This Row],[Salary]],'Tax rates'!A$2:C$8, 2) + VLOOKUP(Table2[[#This Row],[Salary]],'Tax rates'!A$2:C$8, 3) * (Table2[[#This Row],[Salary]] - VLOOKUP(Table2[[#This Row],[Salary]],'Tax rates'!A$2:C$8,1))</f>
        <v>12223.9</v>
      </c>
      <c r="K559" s="14">
        <f>Table2[[#This Row],[Salary]]-Table2[[#This Row],[Taxes]]</f>
        <v>61796.1</v>
      </c>
      <c r="L559" s="15">
        <f>Table2[[#This Row],[After tax salary]]+Table2[[#This Row],[Bonus]]</f>
        <v>61796.1</v>
      </c>
    </row>
    <row r="560" spans="1:12" x14ac:dyDescent="0.25">
      <c r="A560" s="5" t="s">
        <v>673</v>
      </c>
      <c r="B560" s="5" t="s">
        <v>13</v>
      </c>
      <c r="C560" s="5" t="s">
        <v>59</v>
      </c>
      <c r="D560" s="5" t="s">
        <v>3</v>
      </c>
      <c r="E560" s="6">
        <v>40333</v>
      </c>
      <c r="F560" s="5" t="s">
        <v>21</v>
      </c>
      <c r="G560" s="10">
        <v>70480</v>
      </c>
      <c r="H560" s="7">
        <v>4</v>
      </c>
      <c r="I560" s="12">
        <f>IF(OR(Table2[[#This Row],[Rating]]=4,Table2[[#This Row],[Rating]]=5), 0.05*Table2[[#This Row],[Salary]],0)</f>
        <v>3524</v>
      </c>
      <c r="J560" s="14">
        <f>VLOOKUP(Table2[[#This Row],[Salary]],'Tax rates'!A$2:C$8, 2) + VLOOKUP(Table2[[#This Row],[Salary]],'Tax rates'!A$2:C$8, 3) * (Table2[[#This Row],[Salary]] - VLOOKUP(Table2[[#This Row],[Salary]],'Tax rates'!A$2:C$8,1))</f>
        <v>11445.1</v>
      </c>
      <c r="K560" s="14">
        <f>Table2[[#This Row],[Salary]]-Table2[[#This Row],[Taxes]]</f>
        <v>59034.9</v>
      </c>
      <c r="L560" s="15">
        <f>Table2[[#This Row],[After tax salary]]+Table2[[#This Row],[Bonus]]</f>
        <v>62558.9</v>
      </c>
    </row>
    <row r="561" spans="1:12" x14ac:dyDescent="0.25">
      <c r="A561" s="5" t="s">
        <v>177</v>
      </c>
      <c r="B561" s="5" t="s">
        <v>29</v>
      </c>
      <c r="C561" s="5" t="s">
        <v>35</v>
      </c>
      <c r="D561" s="5" t="s">
        <v>16</v>
      </c>
      <c r="E561" s="6">
        <v>40334</v>
      </c>
      <c r="F561" s="7"/>
      <c r="G561" s="10">
        <v>47280</v>
      </c>
      <c r="H561" s="7">
        <v>1</v>
      </c>
      <c r="I561" s="12">
        <f>IF(OR(Table2[[#This Row],[Rating]]=4,Table2[[#This Row],[Rating]]=5), 0.05*Table2[[#This Row],[Salary]],0)</f>
        <v>0</v>
      </c>
      <c r="J561" s="14">
        <f>VLOOKUP(Table2[[#This Row],[Salary]],'Tax rates'!A$2:C$8, 2) + VLOOKUP(Table2[[#This Row],[Salary]],'Tax rates'!A$2:C$8, 3) * (Table2[[#This Row],[Salary]] - VLOOKUP(Table2[[#This Row],[Salary]],'Tax rates'!A$2:C$8,1))</f>
        <v>6341.1</v>
      </c>
      <c r="K561" s="14">
        <f>Table2[[#This Row],[Salary]]-Table2[[#This Row],[Taxes]]</f>
        <v>40938.9</v>
      </c>
      <c r="L561" s="15">
        <f>Table2[[#This Row],[After tax salary]]+Table2[[#This Row],[Bonus]]</f>
        <v>40938.9</v>
      </c>
    </row>
    <row r="562" spans="1:12" x14ac:dyDescent="0.25">
      <c r="A562" s="5" t="s">
        <v>356</v>
      </c>
      <c r="B562" s="5" t="s">
        <v>6</v>
      </c>
      <c r="C562" s="5" t="s">
        <v>2</v>
      </c>
      <c r="D562" s="5" t="s">
        <v>16</v>
      </c>
      <c r="E562" s="6">
        <v>40350</v>
      </c>
      <c r="F562" s="7"/>
      <c r="G562" s="10">
        <v>21580</v>
      </c>
      <c r="H562" s="7">
        <v>3</v>
      </c>
      <c r="I562" s="12">
        <f>IF(OR(Table2[[#This Row],[Rating]]=4,Table2[[#This Row],[Rating]]=5), 0.05*Table2[[#This Row],[Salary]],0)</f>
        <v>0</v>
      </c>
      <c r="J562" s="14">
        <f>VLOOKUP(Table2[[#This Row],[Salary]],'Tax rates'!A$2:C$8, 2) + VLOOKUP(Table2[[#This Row],[Salary]],'Tax rates'!A$2:C$8, 3) * (Table2[[#This Row],[Salary]] - VLOOKUP(Table2[[#This Row],[Salary]],'Tax rates'!A$2:C$8,1))</f>
        <v>2399.1</v>
      </c>
      <c r="K562" s="14">
        <f>Table2[[#This Row],[Salary]]-Table2[[#This Row],[Taxes]]</f>
        <v>19180.900000000001</v>
      </c>
      <c r="L562" s="15">
        <f>Table2[[#This Row],[After tax salary]]+Table2[[#This Row],[Bonus]]</f>
        <v>19180.900000000001</v>
      </c>
    </row>
    <row r="563" spans="1:12" x14ac:dyDescent="0.25">
      <c r="A563" s="5" t="s">
        <v>230</v>
      </c>
      <c r="B563" s="5" t="s">
        <v>6</v>
      </c>
      <c r="C563" s="5" t="s">
        <v>59</v>
      </c>
      <c r="D563" s="5" t="s">
        <v>24</v>
      </c>
      <c r="E563" s="6">
        <v>40351</v>
      </c>
      <c r="F563" s="5" t="s">
        <v>11</v>
      </c>
      <c r="G563" s="10">
        <v>20040</v>
      </c>
      <c r="H563" s="7">
        <v>3</v>
      </c>
      <c r="I563" s="12">
        <f>IF(OR(Table2[[#This Row],[Rating]]=4,Table2[[#This Row],[Rating]]=5), 0.05*Table2[[#This Row],[Salary]],0)</f>
        <v>0</v>
      </c>
      <c r="J563" s="14">
        <f>VLOOKUP(Table2[[#This Row],[Salary]],'Tax rates'!A$2:C$8, 2) + VLOOKUP(Table2[[#This Row],[Salary]],'Tax rates'!A$2:C$8, 3) * (Table2[[#This Row],[Salary]] - VLOOKUP(Table2[[#This Row],[Salary]],'Tax rates'!A$2:C$8,1))</f>
        <v>2214.3000000000002</v>
      </c>
      <c r="K563" s="14">
        <f>Table2[[#This Row],[Salary]]-Table2[[#This Row],[Taxes]]</f>
        <v>17825.7</v>
      </c>
      <c r="L563" s="15">
        <f>Table2[[#This Row],[After tax salary]]+Table2[[#This Row],[Bonus]]</f>
        <v>17825.7</v>
      </c>
    </row>
    <row r="564" spans="1:12" x14ac:dyDescent="0.25">
      <c r="A564" s="5" t="s">
        <v>111</v>
      </c>
      <c r="B564" s="5" t="s">
        <v>1</v>
      </c>
      <c r="C564" s="5" t="s">
        <v>35</v>
      </c>
      <c r="D564" s="5" t="s">
        <v>32</v>
      </c>
      <c r="E564" s="6">
        <v>40360</v>
      </c>
      <c r="F564" s="7"/>
      <c r="G564" s="10">
        <v>33752</v>
      </c>
      <c r="H564" s="7">
        <v>3</v>
      </c>
      <c r="I564" s="12">
        <f>IF(OR(Table2[[#This Row],[Rating]]=4,Table2[[#This Row],[Rating]]=5), 0.05*Table2[[#This Row],[Salary]],0)</f>
        <v>0</v>
      </c>
      <c r="J564" s="14">
        <f>VLOOKUP(Table2[[#This Row],[Salary]],'Tax rates'!A$2:C$8, 2) + VLOOKUP(Table2[[#This Row],[Salary]],'Tax rates'!A$2:C$8, 3) * (Table2[[#This Row],[Salary]] - VLOOKUP(Table2[[#This Row],[Salary]],'Tax rates'!A$2:C$8,1))</f>
        <v>3859.74</v>
      </c>
      <c r="K564" s="14">
        <f>Table2[[#This Row],[Salary]]-Table2[[#This Row],[Taxes]]</f>
        <v>29892.260000000002</v>
      </c>
      <c r="L564" s="15">
        <f>Table2[[#This Row],[After tax salary]]+Table2[[#This Row],[Bonus]]</f>
        <v>29892.260000000002</v>
      </c>
    </row>
    <row r="565" spans="1:12" x14ac:dyDescent="0.25">
      <c r="A565" s="5" t="s">
        <v>283</v>
      </c>
      <c r="B565" s="5" t="s">
        <v>6</v>
      </c>
      <c r="C565" s="5" t="s">
        <v>59</v>
      </c>
      <c r="D565" s="5" t="s">
        <v>3</v>
      </c>
      <c r="E565" s="6">
        <v>40361</v>
      </c>
      <c r="F565" s="5" t="s">
        <v>21</v>
      </c>
      <c r="G565" s="10">
        <v>75780</v>
      </c>
      <c r="H565" s="7">
        <v>2</v>
      </c>
      <c r="I565" s="12">
        <f>IF(OR(Table2[[#This Row],[Rating]]=4,Table2[[#This Row],[Rating]]=5), 0.05*Table2[[#This Row],[Salary]],0)</f>
        <v>0</v>
      </c>
      <c r="J565" s="14">
        <f>VLOOKUP(Table2[[#This Row],[Salary]],'Tax rates'!A$2:C$8, 2) + VLOOKUP(Table2[[#This Row],[Salary]],'Tax rates'!A$2:C$8, 3) * (Table2[[#This Row],[Salary]] - VLOOKUP(Table2[[#This Row],[Salary]],'Tax rates'!A$2:C$8,1))</f>
        <v>12611.1</v>
      </c>
      <c r="K565" s="14">
        <f>Table2[[#This Row],[Salary]]-Table2[[#This Row],[Taxes]]</f>
        <v>63168.9</v>
      </c>
      <c r="L565" s="15">
        <f>Table2[[#This Row],[After tax salary]]+Table2[[#This Row],[Bonus]]</f>
        <v>63168.9</v>
      </c>
    </row>
    <row r="566" spans="1:12" x14ac:dyDescent="0.25">
      <c r="A566" s="5" t="s">
        <v>229</v>
      </c>
      <c r="B566" s="5" t="s">
        <v>1</v>
      </c>
      <c r="C566" s="5" t="s">
        <v>8</v>
      </c>
      <c r="D566" s="5" t="s">
        <v>3</v>
      </c>
      <c r="E566" s="6">
        <v>40366</v>
      </c>
      <c r="F566" s="5" t="s">
        <v>4</v>
      </c>
      <c r="G566" s="10">
        <v>63780</v>
      </c>
      <c r="H566" s="7">
        <v>5</v>
      </c>
      <c r="I566" s="12">
        <f>IF(OR(Table2[[#This Row],[Rating]]=4,Table2[[#This Row],[Rating]]=5), 0.05*Table2[[#This Row],[Salary]],0)</f>
        <v>3189</v>
      </c>
      <c r="J566" s="14">
        <f>VLOOKUP(Table2[[#This Row],[Salary]],'Tax rates'!A$2:C$8, 2) + VLOOKUP(Table2[[#This Row],[Salary]],'Tax rates'!A$2:C$8, 3) * (Table2[[#This Row],[Salary]] - VLOOKUP(Table2[[#This Row],[Salary]],'Tax rates'!A$2:C$8,1))</f>
        <v>9971.1</v>
      </c>
      <c r="K566" s="14">
        <f>Table2[[#This Row],[Salary]]-Table2[[#This Row],[Taxes]]</f>
        <v>53808.9</v>
      </c>
      <c r="L566" s="15">
        <f>Table2[[#This Row],[After tax salary]]+Table2[[#This Row],[Bonus]]</f>
        <v>56997.9</v>
      </c>
    </row>
    <row r="567" spans="1:12" x14ac:dyDescent="0.25">
      <c r="A567" s="5" t="s">
        <v>372</v>
      </c>
      <c r="B567" s="5" t="s">
        <v>13</v>
      </c>
      <c r="C567" s="5" t="s">
        <v>59</v>
      </c>
      <c r="D567" s="5" t="s">
        <v>3</v>
      </c>
      <c r="E567" s="6">
        <v>40367</v>
      </c>
      <c r="F567" s="5" t="s">
        <v>4</v>
      </c>
      <c r="G567" s="10">
        <v>48800</v>
      </c>
      <c r="H567" s="7">
        <v>4</v>
      </c>
      <c r="I567" s="12">
        <f>IF(OR(Table2[[#This Row],[Rating]]=4,Table2[[#This Row],[Rating]]=5), 0.05*Table2[[#This Row],[Salary]],0)</f>
        <v>2440</v>
      </c>
      <c r="J567" s="14">
        <f>VLOOKUP(Table2[[#This Row],[Salary]],'Tax rates'!A$2:C$8, 2) + VLOOKUP(Table2[[#This Row],[Salary]],'Tax rates'!A$2:C$8, 3) * (Table2[[#This Row],[Salary]] - VLOOKUP(Table2[[#This Row],[Salary]],'Tax rates'!A$2:C$8,1))</f>
        <v>6675.5</v>
      </c>
      <c r="K567" s="14">
        <f>Table2[[#This Row],[Salary]]-Table2[[#This Row],[Taxes]]</f>
        <v>42124.5</v>
      </c>
      <c r="L567" s="15">
        <f>Table2[[#This Row],[After tax salary]]+Table2[[#This Row],[Bonus]]</f>
        <v>44564.5</v>
      </c>
    </row>
    <row r="568" spans="1:12" x14ac:dyDescent="0.25">
      <c r="A568" s="5" t="s">
        <v>684</v>
      </c>
      <c r="B568" s="5" t="s">
        <v>1</v>
      </c>
      <c r="C568" s="5" t="s">
        <v>75</v>
      </c>
      <c r="D568" s="5" t="s">
        <v>16</v>
      </c>
      <c r="E568" s="6">
        <v>40368</v>
      </c>
      <c r="F568" s="7"/>
      <c r="G568" s="10">
        <v>89310</v>
      </c>
      <c r="H568" s="7">
        <v>5</v>
      </c>
      <c r="I568" s="12">
        <f>IF(OR(Table2[[#This Row],[Rating]]=4,Table2[[#This Row],[Rating]]=5), 0.05*Table2[[#This Row],[Salary]],0)</f>
        <v>4465.5</v>
      </c>
      <c r="J568" s="14">
        <f>VLOOKUP(Table2[[#This Row],[Salary]],'Tax rates'!A$2:C$8, 2) + VLOOKUP(Table2[[#This Row],[Salary]],'Tax rates'!A$2:C$8, 3) * (Table2[[#This Row],[Salary]] - VLOOKUP(Table2[[#This Row],[Salary]],'Tax rates'!A$2:C$8,1))</f>
        <v>15723.9</v>
      </c>
      <c r="K568" s="14">
        <f>Table2[[#This Row],[Salary]]-Table2[[#This Row],[Taxes]]</f>
        <v>73586.100000000006</v>
      </c>
      <c r="L568" s="15">
        <f>Table2[[#This Row],[After tax salary]]+Table2[[#This Row],[Bonus]]</f>
        <v>78051.600000000006</v>
      </c>
    </row>
    <row r="569" spans="1:12" x14ac:dyDescent="0.25">
      <c r="A569" s="5" t="s">
        <v>77</v>
      </c>
      <c r="B569" s="5" t="s">
        <v>27</v>
      </c>
      <c r="C569" s="5" t="s">
        <v>23</v>
      </c>
      <c r="D569" s="5" t="s">
        <v>3</v>
      </c>
      <c r="E569" s="6">
        <v>40370</v>
      </c>
      <c r="F569" s="5" t="s">
        <v>4</v>
      </c>
      <c r="G569" s="10">
        <v>66840</v>
      </c>
      <c r="H569" s="7">
        <v>4</v>
      </c>
      <c r="I569" s="12">
        <f>IF(OR(Table2[[#This Row],[Rating]]=4,Table2[[#This Row],[Rating]]=5), 0.05*Table2[[#This Row],[Salary]],0)</f>
        <v>3342</v>
      </c>
      <c r="J569" s="14">
        <f>VLOOKUP(Table2[[#This Row],[Salary]],'Tax rates'!A$2:C$8, 2) + VLOOKUP(Table2[[#This Row],[Salary]],'Tax rates'!A$2:C$8, 3) * (Table2[[#This Row],[Salary]] - VLOOKUP(Table2[[#This Row],[Salary]],'Tax rates'!A$2:C$8,1))</f>
        <v>10644.3</v>
      </c>
      <c r="K569" s="14">
        <f>Table2[[#This Row],[Salary]]-Table2[[#This Row],[Taxes]]</f>
        <v>56195.7</v>
      </c>
      <c r="L569" s="15">
        <f>Table2[[#This Row],[After tax salary]]+Table2[[#This Row],[Bonus]]</f>
        <v>59537.7</v>
      </c>
    </row>
    <row r="570" spans="1:12" x14ac:dyDescent="0.25">
      <c r="A570" s="5" t="s">
        <v>656</v>
      </c>
      <c r="B570" s="5" t="s">
        <v>6</v>
      </c>
      <c r="C570" s="5" t="s">
        <v>37</v>
      </c>
      <c r="D570" s="5" t="s">
        <v>16</v>
      </c>
      <c r="E570" s="6">
        <v>40372</v>
      </c>
      <c r="F570" s="7"/>
      <c r="G570" s="10">
        <v>75100</v>
      </c>
      <c r="H570" s="7">
        <v>4</v>
      </c>
      <c r="I570" s="12">
        <f>IF(OR(Table2[[#This Row],[Rating]]=4,Table2[[#This Row],[Rating]]=5), 0.05*Table2[[#This Row],[Salary]],0)</f>
        <v>3755</v>
      </c>
      <c r="J570" s="14">
        <f>VLOOKUP(Table2[[#This Row],[Salary]],'Tax rates'!A$2:C$8, 2) + VLOOKUP(Table2[[#This Row],[Salary]],'Tax rates'!A$2:C$8, 3) * (Table2[[#This Row],[Salary]] - VLOOKUP(Table2[[#This Row],[Salary]],'Tax rates'!A$2:C$8,1))</f>
        <v>12461.5</v>
      </c>
      <c r="K570" s="14">
        <f>Table2[[#This Row],[Salary]]-Table2[[#This Row],[Taxes]]</f>
        <v>62638.5</v>
      </c>
      <c r="L570" s="15">
        <f>Table2[[#This Row],[After tax salary]]+Table2[[#This Row],[Bonus]]</f>
        <v>66393.5</v>
      </c>
    </row>
    <row r="571" spans="1:12" x14ac:dyDescent="0.25">
      <c r="A571" s="5" t="s">
        <v>601</v>
      </c>
      <c r="B571" s="5" t="s">
        <v>27</v>
      </c>
      <c r="C571" s="5" t="s">
        <v>102</v>
      </c>
      <c r="D571" s="5" t="s">
        <v>3</v>
      </c>
      <c r="E571" s="6">
        <v>40384</v>
      </c>
      <c r="F571" s="5" t="s">
        <v>4</v>
      </c>
      <c r="G571" s="10">
        <v>46680</v>
      </c>
      <c r="H571" s="7">
        <v>1</v>
      </c>
      <c r="I571" s="12">
        <f>IF(OR(Table2[[#This Row],[Rating]]=4,Table2[[#This Row],[Rating]]=5), 0.05*Table2[[#This Row],[Salary]],0)</f>
        <v>0</v>
      </c>
      <c r="J571" s="14">
        <f>VLOOKUP(Table2[[#This Row],[Salary]],'Tax rates'!A$2:C$8, 2) + VLOOKUP(Table2[[#This Row],[Salary]],'Tax rates'!A$2:C$8, 3) * (Table2[[#This Row],[Salary]] - VLOOKUP(Table2[[#This Row],[Salary]],'Tax rates'!A$2:C$8,1))</f>
        <v>6209.1</v>
      </c>
      <c r="K571" s="14">
        <f>Table2[[#This Row],[Salary]]-Table2[[#This Row],[Taxes]]</f>
        <v>40470.9</v>
      </c>
      <c r="L571" s="15">
        <f>Table2[[#This Row],[After tax salary]]+Table2[[#This Row],[Bonus]]</f>
        <v>40470.9</v>
      </c>
    </row>
    <row r="572" spans="1:12" x14ac:dyDescent="0.25">
      <c r="A572" s="5" t="s">
        <v>323</v>
      </c>
      <c r="B572" s="5" t="s">
        <v>1</v>
      </c>
      <c r="C572" s="5" t="s">
        <v>35</v>
      </c>
      <c r="D572" s="5" t="s">
        <v>3</v>
      </c>
      <c r="E572" s="6">
        <v>40389</v>
      </c>
      <c r="F572" s="5" t="s">
        <v>4</v>
      </c>
      <c r="G572" s="10">
        <v>58370</v>
      </c>
      <c r="H572" s="7">
        <v>5</v>
      </c>
      <c r="I572" s="12">
        <f>IF(OR(Table2[[#This Row],[Rating]]=4,Table2[[#This Row],[Rating]]=5), 0.05*Table2[[#This Row],[Salary]],0)</f>
        <v>2918.5</v>
      </c>
      <c r="J572" s="14">
        <f>VLOOKUP(Table2[[#This Row],[Salary]],'Tax rates'!A$2:C$8, 2) + VLOOKUP(Table2[[#This Row],[Salary]],'Tax rates'!A$2:C$8, 3) * (Table2[[#This Row],[Salary]] - VLOOKUP(Table2[[#This Row],[Salary]],'Tax rates'!A$2:C$8,1))</f>
        <v>8780.9</v>
      </c>
      <c r="K572" s="14">
        <f>Table2[[#This Row],[Salary]]-Table2[[#This Row],[Taxes]]</f>
        <v>49589.1</v>
      </c>
      <c r="L572" s="15">
        <f>Table2[[#This Row],[After tax salary]]+Table2[[#This Row],[Bonus]]</f>
        <v>52507.6</v>
      </c>
    </row>
    <row r="573" spans="1:12" x14ac:dyDescent="0.25">
      <c r="A573" s="5" t="s">
        <v>512</v>
      </c>
      <c r="B573" s="5" t="s">
        <v>51</v>
      </c>
      <c r="C573" s="5" t="s">
        <v>35</v>
      </c>
      <c r="D573" s="5" t="s">
        <v>16</v>
      </c>
      <c r="E573" s="6">
        <v>40393</v>
      </c>
      <c r="F573" s="7"/>
      <c r="G573" s="10">
        <v>41770</v>
      </c>
      <c r="H573" s="7">
        <v>5</v>
      </c>
      <c r="I573" s="12">
        <f>IF(OR(Table2[[#This Row],[Rating]]=4,Table2[[#This Row],[Rating]]=5), 0.05*Table2[[#This Row],[Salary]],0)</f>
        <v>2088.5</v>
      </c>
      <c r="J573" s="14">
        <f>VLOOKUP(Table2[[#This Row],[Salary]],'Tax rates'!A$2:C$8, 2) + VLOOKUP(Table2[[#This Row],[Salary]],'Tax rates'!A$2:C$8, 3) * (Table2[[#This Row],[Salary]] - VLOOKUP(Table2[[#This Row],[Salary]],'Tax rates'!A$2:C$8,1))</f>
        <v>5128.8999999999996</v>
      </c>
      <c r="K573" s="14">
        <f>Table2[[#This Row],[Salary]]-Table2[[#This Row],[Taxes]]</f>
        <v>36641.1</v>
      </c>
      <c r="L573" s="15">
        <f>Table2[[#This Row],[After tax salary]]+Table2[[#This Row],[Bonus]]</f>
        <v>38729.599999999999</v>
      </c>
    </row>
    <row r="574" spans="1:12" x14ac:dyDescent="0.25">
      <c r="A574" s="5" t="s">
        <v>33</v>
      </c>
      <c r="B574" s="5" t="s">
        <v>29</v>
      </c>
      <c r="C574" s="5" t="s">
        <v>23</v>
      </c>
      <c r="D574" s="5" t="s">
        <v>24</v>
      </c>
      <c r="E574" s="6">
        <v>40393</v>
      </c>
      <c r="F574" s="5" t="s">
        <v>4</v>
      </c>
      <c r="G574" s="10">
        <v>16925</v>
      </c>
      <c r="H574" s="7">
        <v>1</v>
      </c>
      <c r="I574" s="12">
        <f>IF(OR(Table2[[#This Row],[Rating]]=4,Table2[[#This Row],[Rating]]=5), 0.05*Table2[[#This Row],[Salary]],0)</f>
        <v>0</v>
      </c>
      <c r="J574" s="14">
        <f>VLOOKUP(Table2[[#This Row],[Salary]],'Tax rates'!A$2:C$8, 2) + VLOOKUP(Table2[[#This Row],[Salary]],'Tax rates'!A$2:C$8, 3) * (Table2[[#This Row],[Salary]] - VLOOKUP(Table2[[#This Row],[Salary]],'Tax rates'!A$2:C$8,1))</f>
        <v>1840.5</v>
      </c>
      <c r="K574" s="14">
        <f>Table2[[#This Row],[Salary]]-Table2[[#This Row],[Taxes]]</f>
        <v>15084.5</v>
      </c>
      <c r="L574" s="15">
        <f>Table2[[#This Row],[After tax salary]]+Table2[[#This Row],[Bonus]]</f>
        <v>15084.5</v>
      </c>
    </row>
    <row r="575" spans="1:12" x14ac:dyDescent="0.25">
      <c r="A575" s="5" t="s">
        <v>88</v>
      </c>
      <c r="B575" s="5" t="s">
        <v>27</v>
      </c>
      <c r="C575" s="5" t="s">
        <v>59</v>
      </c>
      <c r="D575" s="5" t="s">
        <v>3</v>
      </c>
      <c r="E575" s="6">
        <v>40395</v>
      </c>
      <c r="F575" s="5" t="s">
        <v>4</v>
      </c>
      <c r="G575" s="10">
        <v>57560</v>
      </c>
      <c r="H575" s="7">
        <v>4</v>
      </c>
      <c r="I575" s="12">
        <f>IF(OR(Table2[[#This Row],[Rating]]=4,Table2[[#This Row],[Rating]]=5), 0.05*Table2[[#This Row],[Salary]],0)</f>
        <v>2878</v>
      </c>
      <c r="J575" s="14">
        <f>VLOOKUP(Table2[[#This Row],[Salary]],'Tax rates'!A$2:C$8, 2) + VLOOKUP(Table2[[#This Row],[Salary]],'Tax rates'!A$2:C$8, 3) * (Table2[[#This Row],[Salary]] - VLOOKUP(Table2[[#This Row],[Salary]],'Tax rates'!A$2:C$8,1))</f>
        <v>8602.7000000000007</v>
      </c>
      <c r="K575" s="14">
        <f>Table2[[#This Row],[Salary]]-Table2[[#This Row],[Taxes]]</f>
        <v>48957.3</v>
      </c>
      <c r="L575" s="15">
        <f>Table2[[#This Row],[After tax salary]]+Table2[[#This Row],[Bonus]]</f>
        <v>51835.3</v>
      </c>
    </row>
    <row r="576" spans="1:12" x14ac:dyDescent="0.25">
      <c r="A576" s="5" t="s">
        <v>228</v>
      </c>
      <c r="B576" s="5" t="s">
        <v>6</v>
      </c>
      <c r="C576" s="5" t="s">
        <v>8</v>
      </c>
      <c r="D576" s="5" t="s">
        <v>3</v>
      </c>
      <c r="E576" s="6">
        <v>40399</v>
      </c>
      <c r="F576" s="5" t="s">
        <v>21</v>
      </c>
      <c r="G576" s="10">
        <v>32640</v>
      </c>
      <c r="H576" s="7">
        <v>4</v>
      </c>
      <c r="I576" s="12">
        <f>IF(OR(Table2[[#This Row],[Rating]]=4,Table2[[#This Row],[Rating]]=5), 0.05*Table2[[#This Row],[Salary]],0)</f>
        <v>1632</v>
      </c>
      <c r="J576" s="14">
        <f>VLOOKUP(Table2[[#This Row],[Salary]],'Tax rates'!A$2:C$8, 2) + VLOOKUP(Table2[[#This Row],[Salary]],'Tax rates'!A$2:C$8, 3) * (Table2[[#This Row],[Salary]] - VLOOKUP(Table2[[#This Row],[Salary]],'Tax rates'!A$2:C$8,1))</f>
        <v>3726.2999999999997</v>
      </c>
      <c r="K576" s="14">
        <f>Table2[[#This Row],[Salary]]-Table2[[#This Row],[Taxes]]</f>
        <v>28913.7</v>
      </c>
      <c r="L576" s="15">
        <f>Table2[[#This Row],[After tax salary]]+Table2[[#This Row],[Bonus]]</f>
        <v>30545.7</v>
      </c>
    </row>
    <row r="577" spans="1:12" x14ac:dyDescent="0.25">
      <c r="A577" s="5" t="s">
        <v>585</v>
      </c>
      <c r="B577" s="5" t="s">
        <v>13</v>
      </c>
      <c r="C577" s="5" t="s">
        <v>30</v>
      </c>
      <c r="D577" s="5" t="s">
        <v>3</v>
      </c>
      <c r="E577" s="6">
        <v>40399</v>
      </c>
      <c r="F577" s="5" t="s">
        <v>25</v>
      </c>
      <c r="G577" s="10">
        <v>72700</v>
      </c>
      <c r="H577" s="7">
        <v>5</v>
      </c>
      <c r="I577" s="12">
        <f>IF(OR(Table2[[#This Row],[Rating]]=4,Table2[[#This Row],[Rating]]=5), 0.05*Table2[[#This Row],[Salary]],0)</f>
        <v>3635</v>
      </c>
      <c r="J577" s="14">
        <f>VLOOKUP(Table2[[#This Row],[Salary]],'Tax rates'!A$2:C$8, 2) + VLOOKUP(Table2[[#This Row],[Salary]],'Tax rates'!A$2:C$8, 3) * (Table2[[#This Row],[Salary]] - VLOOKUP(Table2[[#This Row],[Salary]],'Tax rates'!A$2:C$8,1))</f>
        <v>11933.5</v>
      </c>
      <c r="K577" s="14">
        <f>Table2[[#This Row],[Salary]]-Table2[[#This Row],[Taxes]]</f>
        <v>60766.5</v>
      </c>
      <c r="L577" s="15">
        <f>Table2[[#This Row],[After tax salary]]+Table2[[#This Row],[Bonus]]</f>
        <v>64401.5</v>
      </c>
    </row>
    <row r="578" spans="1:12" x14ac:dyDescent="0.25">
      <c r="A578" s="5" t="s">
        <v>295</v>
      </c>
      <c r="B578" s="5" t="s">
        <v>13</v>
      </c>
      <c r="C578" s="5" t="s">
        <v>57</v>
      </c>
      <c r="D578" s="5" t="s">
        <v>3</v>
      </c>
      <c r="E578" s="6">
        <v>40400</v>
      </c>
      <c r="F578" s="5" t="s">
        <v>11</v>
      </c>
      <c r="G578" s="10">
        <v>79150</v>
      </c>
      <c r="H578" s="7">
        <v>2</v>
      </c>
      <c r="I578" s="12">
        <f>IF(OR(Table2[[#This Row],[Rating]]=4,Table2[[#This Row],[Rating]]=5), 0.05*Table2[[#This Row],[Salary]],0)</f>
        <v>0</v>
      </c>
      <c r="J578" s="14">
        <f>VLOOKUP(Table2[[#This Row],[Salary]],'Tax rates'!A$2:C$8, 2) + VLOOKUP(Table2[[#This Row],[Salary]],'Tax rates'!A$2:C$8, 3) * (Table2[[#This Row],[Salary]] - VLOOKUP(Table2[[#This Row],[Salary]],'Tax rates'!A$2:C$8,1))</f>
        <v>13352.5</v>
      </c>
      <c r="K578" s="14">
        <f>Table2[[#This Row],[Salary]]-Table2[[#This Row],[Taxes]]</f>
        <v>65797.5</v>
      </c>
      <c r="L578" s="15">
        <f>Table2[[#This Row],[After tax salary]]+Table2[[#This Row],[Bonus]]</f>
        <v>65797.5</v>
      </c>
    </row>
    <row r="579" spans="1:12" x14ac:dyDescent="0.25">
      <c r="A579" s="5" t="s">
        <v>637</v>
      </c>
      <c r="B579" s="5" t="s">
        <v>13</v>
      </c>
      <c r="C579" s="5" t="s">
        <v>23</v>
      </c>
      <c r="D579" s="5" t="s">
        <v>32</v>
      </c>
      <c r="E579" s="6">
        <v>40403</v>
      </c>
      <c r="F579" s="7"/>
      <c r="G579" s="10">
        <v>15056</v>
      </c>
      <c r="H579" s="7">
        <v>5</v>
      </c>
      <c r="I579" s="12">
        <f>IF(OR(Table2[[#This Row],[Rating]]=4,Table2[[#This Row],[Rating]]=5), 0.05*Table2[[#This Row],[Salary]],0)</f>
        <v>752.80000000000007</v>
      </c>
      <c r="J579" s="14">
        <f>VLOOKUP(Table2[[#This Row],[Salary]],'Tax rates'!A$2:C$8, 2) + VLOOKUP(Table2[[#This Row],[Salary]],'Tax rates'!A$2:C$8, 3) * (Table2[[#This Row],[Salary]] - VLOOKUP(Table2[[#This Row],[Salary]],'Tax rates'!A$2:C$8,1))</f>
        <v>1616.22</v>
      </c>
      <c r="K579" s="14">
        <f>Table2[[#This Row],[Salary]]-Table2[[#This Row],[Taxes]]</f>
        <v>13439.78</v>
      </c>
      <c r="L579" s="15">
        <f>Table2[[#This Row],[After tax salary]]+Table2[[#This Row],[Bonus]]</f>
        <v>14192.58</v>
      </c>
    </row>
    <row r="580" spans="1:12" x14ac:dyDescent="0.25">
      <c r="A580" s="5" t="s">
        <v>754</v>
      </c>
      <c r="B580" s="5" t="s">
        <v>6</v>
      </c>
      <c r="C580" s="5" t="s">
        <v>30</v>
      </c>
      <c r="D580" s="5" t="s">
        <v>16</v>
      </c>
      <c r="E580" s="6">
        <v>40404</v>
      </c>
      <c r="F580" s="7"/>
      <c r="G580" s="10">
        <v>39550</v>
      </c>
      <c r="H580" s="7">
        <v>5</v>
      </c>
      <c r="I580" s="12">
        <f>IF(OR(Table2[[#This Row],[Rating]]=4,Table2[[#This Row],[Rating]]=5), 0.05*Table2[[#This Row],[Salary]],0)</f>
        <v>1977.5</v>
      </c>
      <c r="J580" s="14">
        <f>VLOOKUP(Table2[[#This Row],[Salary]],'Tax rates'!A$2:C$8, 2) + VLOOKUP(Table2[[#This Row],[Salary]],'Tax rates'!A$2:C$8, 3) * (Table2[[#This Row],[Salary]] - VLOOKUP(Table2[[#This Row],[Salary]],'Tax rates'!A$2:C$8,1))</f>
        <v>4640.5</v>
      </c>
      <c r="K580" s="14">
        <f>Table2[[#This Row],[Salary]]-Table2[[#This Row],[Taxes]]</f>
        <v>34909.5</v>
      </c>
      <c r="L580" s="15">
        <f>Table2[[#This Row],[After tax salary]]+Table2[[#This Row],[Bonus]]</f>
        <v>36887</v>
      </c>
    </row>
    <row r="581" spans="1:12" x14ac:dyDescent="0.25">
      <c r="A581" s="5" t="s">
        <v>70</v>
      </c>
      <c r="B581" s="5" t="s">
        <v>29</v>
      </c>
      <c r="C581" s="5" t="s">
        <v>35</v>
      </c>
      <c r="D581" s="5" t="s">
        <v>24</v>
      </c>
      <c r="E581" s="6">
        <v>40410</v>
      </c>
      <c r="F581" s="5" t="s">
        <v>11</v>
      </c>
      <c r="G581" s="10">
        <v>38105</v>
      </c>
      <c r="H581" s="7">
        <v>2</v>
      </c>
      <c r="I581" s="12">
        <f>IF(OR(Table2[[#This Row],[Rating]]=4,Table2[[#This Row],[Rating]]=5), 0.05*Table2[[#This Row],[Salary]],0)</f>
        <v>0</v>
      </c>
      <c r="J581" s="14">
        <f>VLOOKUP(Table2[[#This Row],[Salary]],'Tax rates'!A$2:C$8, 2) + VLOOKUP(Table2[[#This Row],[Salary]],'Tax rates'!A$2:C$8, 3) * (Table2[[#This Row],[Salary]] - VLOOKUP(Table2[[#This Row],[Salary]],'Tax rates'!A$2:C$8,1))</f>
        <v>4382.1000000000004</v>
      </c>
      <c r="K581" s="14">
        <f>Table2[[#This Row],[Salary]]-Table2[[#This Row],[Taxes]]</f>
        <v>33722.9</v>
      </c>
      <c r="L581" s="15">
        <f>Table2[[#This Row],[After tax salary]]+Table2[[#This Row],[Bonus]]</f>
        <v>33722.9</v>
      </c>
    </row>
    <row r="582" spans="1:12" x14ac:dyDescent="0.25">
      <c r="A582" s="5" t="s">
        <v>136</v>
      </c>
      <c r="B582" s="5" t="s">
        <v>13</v>
      </c>
      <c r="C582" s="5" t="s">
        <v>30</v>
      </c>
      <c r="D582" s="5" t="s">
        <v>16</v>
      </c>
      <c r="E582" s="6">
        <v>40410</v>
      </c>
      <c r="F582" s="7"/>
      <c r="G582" s="10">
        <v>57680</v>
      </c>
      <c r="H582" s="7">
        <v>4</v>
      </c>
      <c r="I582" s="12">
        <f>IF(OR(Table2[[#This Row],[Rating]]=4,Table2[[#This Row],[Rating]]=5), 0.05*Table2[[#This Row],[Salary]],0)</f>
        <v>2884</v>
      </c>
      <c r="J582" s="14">
        <f>VLOOKUP(Table2[[#This Row],[Salary]],'Tax rates'!A$2:C$8, 2) + VLOOKUP(Table2[[#This Row],[Salary]],'Tax rates'!A$2:C$8, 3) * (Table2[[#This Row],[Salary]] - VLOOKUP(Table2[[#This Row],[Salary]],'Tax rates'!A$2:C$8,1))</f>
        <v>8629.1</v>
      </c>
      <c r="K582" s="14">
        <f>Table2[[#This Row],[Salary]]-Table2[[#This Row],[Taxes]]</f>
        <v>49050.9</v>
      </c>
      <c r="L582" s="15">
        <f>Table2[[#This Row],[After tax salary]]+Table2[[#This Row],[Bonus]]</f>
        <v>51934.9</v>
      </c>
    </row>
    <row r="583" spans="1:12" x14ac:dyDescent="0.25">
      <c r="A583" s="5" t="s">
        <v>501</v>
      </c>
      <c r="B583" s="5" t="s">
        <v>1</v>
      </c>
      <c r="C583" s="5" t="s">
        <v>30</v>
      </c>
      <c r="D583" s="5" t="s">
        <v>16</v>
      </c>
      <c r="E583" s="6">
        <v>40414</v>
      </c>
      <c r="F583" s="7"/>
      <c r="G583" s="10">
        <v>60070</v>
      </c>
      <c r="H583" s="7">
        <v>2</v>
      </c>
      <c r="I583" s="12">
        <f>IF(OR(Table2[[#This Row],[Rating]]=4,Table2[[#This Row],[Rating]]=5), 0.05*Table2[[#This Row],[Salary]],0)</f>
        <v>0</v>
      </c>
      <c r="J583" s="14">
        <f>VLOOKUP(Table2[[#This Row],[Salary]],'Tax rates'!A$2:C$8, 2) + VLOOKUP(Table2[[#This Row],[Salary]],'Tax rates'!A$2:C$8, 3) * (Table2[[#This Row],[Salary]] - VLOOKUP(Table2[[#This Row],[Salary]],'Tax rates'!A$2:C$8,1))</f>
        <v>9154.9</v>
      </c>
      <c r="K583" s="14">
        <f>Table2[[#This Row],[Salary]]-Table2[[#This Row],[Taxes]]</f>
        <v>50915.1</v>
      </c>
      <c r="L583" s="15">
        <f>Table2[[#This Row],[After tax salary]]+Table2[[#This Row],[Bonus]]</f>
        <v>50915.1</v>
      </c>
    </row>
    <row r="584" spans="1:12" x14ac:dyDescent="0.25">
      <c r="A584" s="5" t="s">
        <v>761</v>
      </c>
      <c r="B584" s="5" t="s">
        <v>27</v>
      </c>
      <c r="C584" s="5" t="s">
        <v>35</v>
      </c>
      <c r="D584" s="5" t="s">
        <v>3</v>
      </c>
      <c r="E584" s="6">
        <v>40420</v>
      </c>
      <c r="F584" s="5" t="s">
        <v>4</v>
      </c>
      <c r="G584" s="10">
        <v>31690</v>
      </c>
      <c r="H584" s="7">
        <v>4</v>
      </c>
      <c r="I584" s="12">
        <f>IF(OR(Table2[[#This Row],[Rating]]=4,Table2[[#This Row],[Rating]]=5), 0.05*Table2[[#This Row],[Salary]],0)</f>
        <v>1584.5</v>
      </c>
      <c r="J584" s="14">
        <f>VLOOKUP(Table2[[#This Row],[Salary]],'Tax rates'!A$2:C$8, 2) + VLOOKUP(Table2[[#This Row],[Salary]],'Tax rates'!A$2:C$8, 3) * (Table2[[#This Row],[Salary]] - VLOOKUP(Table2[[#This Row],[Salary]],'Tax rates'!A$2:C$8,1))</f>
        <v>3612.2999999999997</v>
      </c>
      <c r="K584" s="14">
        <f>Table2[[#This Row],[Salary]]-Table2[[#This Row],[Taxes]]</f>
        <v>28077.7</v>
      </c>
      <c r="L584" s="15">
        <f>Table2[[#This Row],[After tax salary]]+Table2[[#This Row],[Bonus]]</f>
        <v>29662.2</v>
      </c>
    </row>
    <row r="585" spans="1:12" x14ac:dyDescent="0.25">
      <c r="A585" s="5" t="s">
        <v>728</v>
      </c>
      <c r="B585" s="5" t="s">
        <v>13</v>
      </c>
      <c r="C585" s="5" t="s">
        <v>30</v>
      </c>
      <c r="D585" s="5" t="s">
        <v>24</v>
      </c>
      <c r="E585" s="6">
        <v>40421</v>
      </c>
      <c r="F585" s="5" t="s">
        <v>25</v>
      </c>
      <c r="G585" s="10">
        <v>49355</v>
      </c>
      <c r="H585" s="7">
        <v>5</v>
      </c>
      <c r="I585" s="12">
        <f>IF(OR(Table2[[#This Row],[Rating]]=4,Table2[[#This Row],[Rating]]=5), 0.05*Table2[[#This Row],[Salary]],0)</f>
        <v>2467.75</v>
      </c>
      <c r="J585" s="14">
        <f>VLOOKUP(Table2[[#This Row],[Salary]],'Tax rates'!A$2:C$8, 2) + VLOOKUP(Table2[[#This Row],[Salary]],'Tax rates'!A$2:C$8, 3) * (Table2[[#This Row],[Salary]] - VLOOKUP(Table2[[#This Row],[Salary]],'Tax rates'!A$2:C$8,1))</f>
        <v>6797.6</v>
      </c>
      <c r="K585" s="14">
        <f>Table2[[#This Row],[Salary]]-Table2[[#This Row],[Taxes]]</f>
        <v>42557.4</v>
      </c>
      <c r="L585" s="15">
        <f>Table2[[#This Row],[After tax salary]]+Table2[[#This Row],[Bonus]]</f>
        <v>45025.15</v>
      </c>
    </row>
    <row r="586" spans="1:12" x14ac:dyDescent="0.25">
      <c r="A586" s="5" t="s">
        <v>109</v>
      </c>
      <c r="B586" s="5" t="s">
        <v>27</v>
      </c>
      <c r="C586" s="5" t="s">
        <v>18</v>
      </c>
      <c r="D586" s="5" t="s">
        <v>3</v>
      </c>
      <c r="E586" s="6">
        <v>40424</v>
      </c>
      <c r="F586" s="5" t="s">
        <v>21</v>
      </c>
      <c r="G586" s="10">
        <v>39520</v>
      </c>
      <c r="H586" s="7">
        <v>5</v>
      </c>
      <c r="I586" s="12">
        <f>IF(OR(Table2[[#This Row],[Rating]]=4,Table2[[#This Row],[Rating]]=5), 0.05*Table2[[#This Row],[Salary]],0)</f>
        <v>1976</v>
      </c>
      <c r="J586" s="14">
        <f>VLOOKUP(Table2[[#This Row],[Salary]],'Tax rates'!A$2:C$8, 2) + VLOOKUP(Table2[[#This Row],[Salary]],'Tax rates'!A$2:C$8, 3) * (Table2[[#This Row],[Salary]] - VLOOKUP(Table2[[#This Row],[Salary]],'Tax rates'!A$2:C$8,1))</f>
        <v>4633.8999999999996</v>
      </c>
      <c r="K586" s="14">
        <f>Table2[[#This Row],[Salary]]-Table2[[#This Row],[Taxes]]</f>
        <v>34886.1</v>
      </c>
      <c r="L586" s="15">
        <f>Table2[[#This Row],[After tax salary]]+Table2[[#This Row],[Bonus]]</f>
        <v>36862.1</v>
      </c>
    </row>
    <row r="587" spans="1:12" x14ac:dyDescent="0.25">
      <c r="A587" s="5" t="s">
        <v>202</v>
      </c>
      <c r="B587" s="5" t="s">
        <v>1</v>
      </c>
      <c r="C587" s="5" t="s">
        <v>30</v>
      </c>
      <c r="D587" s="5" t="s">
        <v>3</v>
      </c>
      <c r="E587" s="6">
        <v>40438</v>
      </c>
      <c r="F587" s="5" t="s">
        <v>21</v>
      </c>
      <c r="G587" s="10">
        <v>59150</v>
      </c>
      <c r="H587" s="7">
        <v>4</v>
      </c>
      <c r="I587" s="12">
        <f>IF(OR(Table2[[#This Row],[Rating]]=4,Table2[[#This Row],[Rating]]=5), 0.05*Table2[[#This Row],[Salary]],0)</f>
        <v>2957.5</v>
      </c>
      <c r="J587" s="14">
        <f>VLOOKUP(Table2[[#This Row],[Salary]],'Tax rates'!A$2:C$8, 2) + VLOOKUP(Table2[[#This Row],[Salary]],'Tax rates'!A$2:C$8, 3) * (Table2[[#This Row],[Salary]] - VLOOKUP(Table2[[#This Row],[Salary]],'Tax rates'!A$2:C$8,1))</f>
        <v>8952.5</v>
      </c>
      <c r="K587" s="14">
        <f>Table2[[#This Row],[Salary]]-Table2[[#This Row],[Taxes]]</f>
        <v>50197.5</v>
      </c>
      <c r="L587" s="15">
        <f>Table2[[#This Row],[After tax salary]]+Table2[[#This Row],[Bonus]]</f>
        <v>53155</v>
      </c>
    </row>
    <row r="588" spans="1:12" x14ac:dyDescent="0.25">
      <c r="A588" s="5" t="s">
        <v>584</v>
      </c>
      <c r="B588" s="5" t="s">
        <v>6</v>
      </c>
      <c r="C588" s="5" t="s">
        <v>57</v>
      </c>
      <c r="D588" s="5" t="s">
        <v>3</v>
      </c>
      <c r="E588" s="6">
        <v>40442</v>
      </c>
      <c r="F588" s="5" t="s">
        <v>4</v>
      </c>
      <c r="G588" s="10">
        <v>66740</v>
      </c>
      <c r="H588" s="7">
        <v>2</v>
      </c>
      <c r="I588" s="12">
        <f>IF(OR(Table2[[#This Row],[Rating]]=4,Table2[[#This Row],[Rating]]=5), 0.05*Table2[[#This Row],[Salary]],0)</f>
        <v>0</v>
      </c>
      <c r="J588" s="14">
        <f>VLOOKUP(Table2[[#This Row],[Salary]],'Tax rates'!A$2:C$8, 2) + VLOOKUP(Table2[[#This Row],[Salary]],'Tax rates'!A$2:C$8, 3) * (Table2[[#This Row],[Salary]] - VLOOKUP(Table2[[#This Row],[Salary]],'Tax rates'!A$2:C$8,1))</f>
        <v>10622.3</v>
      </c>
      <c r="K588" s="14">
        <f>Table2[[#This Row],[Salary]]-Table2[[#This Row],[Taxes]]</f>
        <v>56117.7</v>
      </c>
      <c r="L588" s="15">
        <f>Table2[[#This Row],[After tax salary]]+Table2[[#This Row],[Bonus]]</f>
        <v>56117.7</v>
      </c>
    </row>
    <row r="589" spans="1:12" x14ac:dyDescent="0.25">
      <c r="A589" s="5" t="s">
        <v>296</v>
      </c>
      <c r="B589" s="5" t="s">
        <v>6</v>
      </c>
      <c r="C589" s="5" t="s">
        <v>59</v>
      </c>
      <c r="D589" s="5" t="s">
        <v>3</v>
      </c>
      <c r="E589" s="6">
        <v>40447</v>
      </c>
      <c r="F589" s="5" t="s">
        <v>4</v>
      </c>
      <c r="G589" s="10">
        <v>33970</v>
      </c>
      <c r="H589" s="7">
        <v>4</v>
      </c>
      <c r="I589" s="12">
        <f>IF(OR(Table2[[#This Row],[Rating]]=4,Table2[[#This Row],[Rating]]=5), 0.05*Table2[[#This Row],[Salary]],0)</f>
        <v>1698.5</v>
      </c>
      <c r="J589" s="14">
        <f>VLOOKUP(Table2[[#This Row],[Salary]],'Tax rates'!A$2:C$8, 2) + VLOOKUP(Table2[[#This Row],[Salary]],'Tax rates'!A$2:C$8, 3) * (Table2[[#This Row],[Salary]] - VLOOKUP(Table2[[#This Row],[Salary]],'Tax rates'!A$2:C$8,1))</f>
        <v>3885.9</v>
      </c>
      <c r="K589" s="14">
        <f>Table2[[#This Row],[Salary]]-Table2[[#This Row],[Taxes]]</f>
        <v>30084.1</v>
      </c>
      <c r="L589" s="15">
        <f>Table2[[#This Row],[After tax salary]]+Table2[[#This Row],[Bonus]]</f>
        <v>31782.6</v>
      </c>
    </row>
    <row r="590" spans="1:12" x14ac:dyDescent="0.25">
      <c r="A590" s="5" t="s">
        <v>704</v>
      </c>
      <c r="B590" s="5" t="s">
        <v>1</v>
      </c>
      <c r="C590" s="5" t="s">
        <v>18</v>
      </c>
      <c r="D590" s="5" t="s">
        <v>16</v>
      </c>
      <c r="E590" s="6">
        <v>40449</v>
      </c>
      <c r="F590" s="7"/>
      <c r="G590" s="10">
        <v>88840</v>
      </c>
      <c r="H590" s="7">
        <v>5</v>
      </c>
      <c r="I590" s="12">
        <f>IF(OR(Table2[[#This Row],[Rating]]=4,Table2[[#This Row],[Rating]]=5), 0.05*Table2[[#This Row],[Salary]],0)</f>
        <v>4442</v>
      </c>
      <c r="J590" s="14">
        <f>VLOOKUP(Table2[[#This Row],[Salary]],'Tax rates'!A$2:C$8, 2) + VLOOKUP(Table2[[#This Row],[Salary]],'Tax rates'!A$2:C$8, 3) * (Table2[[#This Row],[Salary]] - VLOOKUP(Table2[[#This Row],[Salary]],'Tax rates'!A$2:C$8,1))</f>
        <v>15611.1</v>
      </c>
      <c r="K590" s="14">
        <f>Table2[[#This Row],[Salary]]-Table2[[#This Row],[Taxes]]</f>
        <v>73228.899999999994</v>
      </c>
      <c r="L590" s="15">
        <f>Table2[[#This Row],[After tax salary]]+Table2[[#This Row],[Bonus]]</f>
        <v>77670.899999999994</v>
      </c>
    </row>
    <row r="591" spans="1:12" x14ac:dyDescent="0.25">
      <c r="A591" s="5" t="s">
        <v>305</v>
      </c>
      <c r="B591" s="5" t="s">
        <v>51</v>
      </c>
      <c r="C591" s="5" t="s">
        <v>35</v>
      </c>
      <c r="D591" s="5" t="s">
        <v>16</v>
      </c>
      <c r="E591" s="6">
        <v>40451</v>
      </c>
      <c r="F591" s="7"/>
      <c r="G591" s="10">
        <v>87830</v>
      </c>
      <c r="H591" s="7">
        <v>2</v>
      </c>
      <c r="I591" s="12">
        <f>IF(OR(Table2[[#This Row],[Rating]]=4,Table2[[#This Row],[Rating]]=5), 0.05*Table2[[#This Row],[Salary]],0)</f>
        <v>0</v>
      </c>
      <c r="J591" s="14">
        <f>VLOOKUP(Table2[[#This Row],[Salary]],'Tax rates'!A$2:C$8, 2) + VLOOKUP(Table2[[#This Row],[Salary]],'Tax rates'!A$2:C$8, 3) * (Table2[[#This Row],[Salary]] - VLOOKUP(Table2[[#This Row],[Salary]],'Tax rates'!A$2:C$8,1))</f>
        <v>15368.7</v>
      </c>
      <c r="K591" s="14">
        <f>Table2[[#This Row],[Salary]]-Table2[[#This Row],[Taxes]]</f>
        <v>72461.3</v>
      </c>
      <c r="L591" s="15">
        <f>Table2[[#This Row],[After tax salary]]+Table2[[#This Row],[Bonus]]</f>
        <v>72461.3</v>
      </c>
    </row>
    <row r="592" spans="1:12" x14ac:dyDescent="0.25">
      <c r="A592" s="5" t="s">
        <v>342</v>
      </c>
      <c r="B592" s="5" t="s">
        <v>6</v>
      </c>
      <c r="C592" s="5" t="s">
        <v>23</v>
      </c>
      <c r="D592" s="5" t="s">
        <v>32</v>
      </c>
      <c r="E592" s="6">
        <v>40452</v>
      </c>
      <c r="F592" s="7"/>
      <c r="G592" s="10">
        <v>9180</v>
      </c>
      <c r="H592" s="7">
        <v>3</v>
      </c>
      <c r="I592" s="12">
        <f>IF(OR(Table2[[#This Row],[Rating]]=4,Table2[[#This Row],[Rating]]=5), 0.05*Table2[[#This Row],[Salary]],0)</f>
        <v>0</v>
      </c>
      <c r="J592" s="14">
        <f>VLOOKUP(Table2[[#This Row],[Salary]],'Tax rates'!A$2:C$8, 2) + VLOOKUP(Table2[[#This Row],[Salary]],'Tax rates'!A$2:C$8, 3) * (Table2[[#This Row],[Salary]] - VLOOKUP(Table2[[#This Row],[Salary]],'Tax rates'!A$2:C$8,1))</f>
        <v>918</v>
      </c>
      <c r="K592" s="14">
        <f>Table2[[#This Row],[Salary]]-Table2[[#This Row],[Taxes]]</f>
        <v>8262</v>
      </c>
      <c r="L592" s="15">
        <f>Table2[[#This Row],[After tax salary]]+Table2[[#This Row],[Bonus]]</f>
        <v>8262</v>
      </c>
    </row>
    <row r="593" spans="1:12" x14ac:dyDescent="0.25">
      <c r="A593" s="5" t="s">
        <v>162</v>
      </c>
      <c r="B593" s="5" t="s">
        <v>13</v>
      </c>
      <c r="C593" s="5" t="s">
        <v>23</v>
      </c>
      <c r="D593" s="5" t="s">
        <v>3</v>
      </c>
      <c r="E593" s="6">
        <v>40452</v>
      </c>
      <c r="F593" s="5" t="s">
        <v>11</v>
      </c>
      <c r="G593" s="10">
        <v>43410</v>
      </c>
      <c r="H593" s="7">
        <v>1</v>
      </c>
      <c r="I593" s="12">
        <f>IF(OR(Table2[[#This Row],[Rating]]=4,Table2[[#This Row],[Rating]]=5), 0.05*Table2[[#This Row],[Salary]],0)</f>
        <v>0</v>
      </c>
      <c r="J593" s="14">
        <f>VLOOKUP(Table2[[#This Row],[Salary]],'Tax rates'!A$2:C$8, 2) + VLOOKUP(Table2[[#This Row],[Salary]],'Tax rates'!A$2:C$8, 3) * (Table2[[#This Row],[Salary]] - VLOOKUP(Table2[[#This Row],[Salary]],'Tax rates'!A$2:C$8,1))</f>
        <v>5489.7</v>
      </c>
      <c r="K593" s="14">
        <f>Table2[[#This Row],[Salary]]-Table2[[#This Row],[Taxes]]</f>
        <v>37920.300000000003</v>
      </c>
      <c r="L593" s="15">
        <f>Table2[[#This Row],[After tax salary]]+Table2[[#This Row],[Bonus]]</f>
        <v>37920.300000000003</v>
      </c>
    </row>
    <row r="594" spans="1:12" x14ac:dyDescent="0.25">
      <c r="A594" s="5" t="s">
        <v>435</v>
      </c>
      <c r="B594" s="5" t="s">
        <v>27</v>
      </c>
      <c r="C594" s="5" t="s">
        <v>18</v>
      </c>
      <c r="D594" s="5" t="s">
        <v>24</v>
      </c>
      <c r="E594" s="6">
        <v>40456</v>
      </c>
      <c r="F594" s="5" t="s">
        <v>4</v>
      </c>
      <c r="G594" s="10">
        <v>46645</v>
      </c>
      <c r="H594" s="7">
        <v>5</v>
      </c>
      <c r="I594" s="12">
        <f>IF(OR(Table2[[#This Row],[Rating]]=4,Table2[[#This Row],[Rating]]=5), 0.05*Table2[[#This Row],[Salary]],0)</f>
        <v>2332.25</v>
      </c>
      <c r="J594" s="14">
        <f>VLOOKUP(Table2[[#This Row],[Salary]],'Tax rates'!A$2:C$8, 2) + VLOOKUP(Table2[[#This Row],[Salary]],'Tax rates'!A$2:C$8, 3) * (Table2[[#This Row],[Salary]] - VLOOKUP(Table2[[#This Row],[Salary]],'Tax rates'!A$2:C$8,1))</f>
        <v>6201.4</v>
      </c>
      <c r="K594" s="14">
        <f>Table2[[#This Row],[Salary]]-Table2[[#This Row],[Taxes]]</f>
        <v>40443.599999999999</v>
      </c>
      <c r="L594" s="15">
        <f>Table2[[#This Row],[After tax salary]]+Table2[[#This Row],[Bonus]]</f>
        <v>42775.85</v>
      </c>
    </row>
    <row r="595" spans="1:12" x14ac:dyDescent="0.25">
      <c r="A595" s="5" t="s">
        <v>44</v>
      </c>
      <c r="B595" s="5" t="s">
        <v>6</v>
      </c>
      <c r="C595" s="5" t="s">
        <v>18</v>
      </c>
      <c r="D595" s="5" t="s">
        <v>16</v>
      </c>
      <c r="E595" s="6">
        <v>40462</v>
      </c>
      <c r="F595" s="7"/>
      <c r="G595" s="10">
        <v>52940</v>
      </c>
      <c r="H595" s="7">
        <v>4</v>
      </c>
      <c r="I595" s="12">
        <f>IF(OR(Table2[[#This Row],[Rating]]=4,Table2[[#This Row],[Rating]]=5), 0.05*Table2[[#This Row],[Salary]],0)</f>
        <v>2647</v>
      </c>
      <c r="J595" s="14">
        <f>VLOOKUP(Table2[[#This Row],[Salary]],'Tax rates'!A$2:C$8, 2) + VLOOKUP(Table2[[#This Row],[Salary]],'Tax rates'!A$2:C$8, 3) * (Table2[[#This Row],[Salary]] - VLOOKUP(Table2[[#This Row],[Salary]],'Tax rates'!A$2:C$8,1))</f>
        <v>7586.3</v>
      </c>
      <c r="K595" s="14">
        <f>Table2[[#This Row],[Salary]]-Table2[[#This Row],[Taxes]]</f>
        <v>45353.7</v>
      </c>
      <c r="L595" s="15">
        <f>Table2[[#This Row],[After tax salary]]+Table2[[#This Row],[Bonus]]</f>
        <v>48000.7</v>
      </c>
    </row>
    <row r="596" spans="1:12" x14ac:dyDescent="0.25">
      <c r="A596" s="5" t="s">
        <v>708</v>
      </c>
      <c r="B596" s="5" t="s">
        <v>27</v>
      </c>
      <c r="C596" s="5" t="s">
        <v>23</v>
      </c>
      <c r="D596" s="5" t="s">
        <v>16</v>
      </c>
      <c r="E596" s="6">
        <v>40468</v>
      </c>
      <c r="F596" s="7"/>
      <c r="G596" s="10">
        <v>39440</v>
      </c>
      <c r="H596" s="7">
        <v>4</v>
      </c>
      <c r="I596" s="12">
        <f>IF(OR(Table2[[#This Row],[Rating]]=4,Table2[[#This Row],[Rating]]=5), 0.05*Table2[[#This Row],[Salary]],0)</f>
        <v>1972</v>
      </c>
      <c r="J596" s="14">
        <f>VLOOKUP(Table2[[#This Row],[Salary]],'Tax rates'!A$2:C$8, 2) + VLOOKUP(Table2[[#This Row],[Salary]],'Tax rates'!A$2:C$8, 3) * (Table2[[#This Row],[Salary]] - VLOOKUP(Table2[[#This Row],[Salary]],'Tax rates'!A$2:C$8,1))</f>
        <v>4616.3</v>
      </c>
      <c r="K596" s="14">
        <f>Table2[[#This Row],[Salary]]-Table2[[#This Row],[Taxes]]</f>
        <v>34823.699999999997</v>
      </c>
      <c r="L596" s="15">
        <f>Table2[[#This Row],[After tax salary]]+Table2[[#This Row],[Bonus]]</f>
        <v>36795.699999999997</v>
      </c>
    </row>
    <row r="597" spans="1:12" x14ac:dyDescent="0.25">
      <c r="A597" s="5" t="s">
        <v>562</v>
      </c>
      <c r="B597" s="5" t="s">
        <v>6</v>
      </c>
      <c r="C597" s="5" t="s">
        <v>18</v>
      </c>
      <c r="D597" s="5" t="s">
        <v>3</v>
      </c>
      <c r="E597" s="6">
        <v>40469</v>
      </c>
      <c r="F597" s="5" t="s">
        <v>25</v>
      </c>
      <c r="G597" s="10">
        <v>45480</v>
      </c>
      <c r="H597" s="7">
        <v>4</v>
      </c>
      <c r="I597" s="12">
        <f>IF(OR(Table2[[#This Row],[Rating]]=4,Table2[[#This Row],[Rating]]=5), 0.05*Table2[[#This Row],[Salary]],0)</f>
        <v>2274</v>
      </c>
      <c r="J597" s="14">
        <f>VLOOKUP(Table2[[#This Row],[Salary]],'Tax rates'!A$2:C$8, 2) + VLOOKUP(Table2[[#This Row],[Salary]],'Tax rates'!A$2:C$8, 3) * (Table2[[#This Row],[Salary]] - VLOOKUP(Table2[[#This Row],[Salary]],'Tax rates'!A$2:C$8,1))</f>
        <v>5945.1</v>
      </c>
      <c r="K597" s="14">
        <f>Table2[[#This Row],[Salary]]-Table2[[#This Row],[Taxes]]</f>
        <v>39534.9</v>
      </c>
      <c r="L597" s="15">
        <f>Table2[[#This Row],[After tax salary]]+Table2[[#This Row],[Bonus]]</f>
        <v>41808.9</v>
      </c>
    </row>
    <row r="598" spans="1:12" x14ac:dyDescent="0.25">
      <c r="A598" s="5" t="s">
        <v>324</v>
      </c>
      <c r="B598" s="5" t="s">
        <v>6</v>
      </c>
      <c r="C598" s="5" t="s">
        <v>2</v>
      </c>
      <c r="D598" s="5" t="s">
        <v>3</v>
      </c>
      <c r="E598" s="6">
        <v>40469</v>
      </c>
      <c r="F598" s="5" t="s">
        <v>25</v>
      </c>
      <c r="G598" s="10">
        <v>63030</v>
      </c>
      <c r="H598" s="7">
        <v>1</v>
      </c>
      <c r="I598" s="12">
        <f>IF(OR(Table2[[#This Row],[Rating]]=4,Table2[[#This Row],[Rating]]=5), 0.05*Table2[[#This Row],[Salary]],0)</f>
        <v>0</v>
      </c>
      <c r="J598" s="14">
        <f>VLOOKUP(Table2[[#This Row],[Salary]],'Tax rates'!A$2:C$8, 2) + VLOOKUP(Table2[[#This Row],[Salary]],'Tax rates'!A$2:C$8, 3) * (Table2[[#This Row],[Salary]] - VLOOKUP(Table2[[#This Row],[Salary]],'Tax rates'!A$2:C$8,1))</f>
        <v>9806.1</v>
      </c>
      <c r="K598" s="14">
        <f>Table2[[#This Row],[Salary]]-Table2[[#This Row],[Taxes]]</f>
        <v>53223.9</v>
      </c>
      <c r="L598" s="15">
        <f>Table2[[#This Row],[After tax salary]]+Table2[[#This Row],[Bonus]]</f>
        <v>53223.9</v>
      </c>
    </row>
    <row r="599" spans="1:12" x14ac:dyDescent="0.25">
      <c r="A599" s="5" t="s">
        <v>506</v>
      </c>
      <c r="B599" s="5" t="s">
        <v>6</v>
      </c>
      <c r="C599" s="5" t="s">
        <v>18</v>
      </c>
      <c r="D599" s="5" t="s">
        <v>16</v>
      </c>
      <c r="E599" s="6">
        <v>40470</v>
      </c>
      <c r="F599" s="7"/>
      <c r="G599" s="10">
        <v>37840</v>
      </c>
      <c r="H599" s="7">
        <v>1</v>
      </c>
      <c r="I599" s="12">
        <f>IF(OR(Table2[[#This Row],[Rating]]=4,Table2[[#This Row],[Rating]]=5), 0.05*Table2[[#This Row],[Salary]],0)</f>
        <v>0</v>
      </c>
      <c r="J599" s="14">
        <f>VLOOKUP(Table2[[#This Row],[Salary]],'Tax rates'!A$2:C$8, 2) + VLOOKUP(Table2[[#This Row],[Salary]],'Tax rates'!A$2:C$8, 3) * (Table2[[#This Row],[Salary]] - VLOOKUP(Table2[[#This Row],[Salary]],'Tax rates'!A$2:C$8,1))</f>
        <v>4350.2999999999993</v>
      </c>
      <c r="K599" s="14">
        <f>Table2[[#This Row],[Salary]]-Table2[[#This Row],[Taxes]]</f>
        <v>33489.699999999997</v>
      </c>
      <c r="L599" s="15">
        <f>Table2[[#This Row],[After tax salary]]+Table2[[#This Row],[Bonus]]</f>
        <v>33489.699999999997</v>
      </c>
    </row>
    <row r="600" spans="1:12" x14ac:dyDescent="0.25">
      <c r="A600" s="5" t="s">
        <v>590</v>
      </c>
      <c r="B600" s="5" t="s">
        <v>1</v>
      </c>
      <c r="C600" s="5" t="s">
        <v>8</v>
      </c>
      <c r="D600" s="5" t="s">
        <v>3</v>
      </c>
      <c r="E600" s="6">
        <v>40470</v>
      </c>
      <c r="F600" s="5" t="s">
        <v>11</v>
      </c>
      <c r="G600" s="10">
        <v>42620</v>
      </c>
      <c r="H600" s="7">
        <v>3</v>
      </c>
      <c r="I600" s="12">
        <f>IF(OR(Table2[[#This Row],[Rating]]=4,Table2[[#This Row],[Rating]]=5), 0.05*Table2[[#This Row],[Salary]],0)</f>
        <v>0</v>
      </c>
      <c r="J600" s="14">
        <f>VLOOKUP(Table2[[#This Row],[Salary]],'Tax rates'!A$2:C$8, 2) + VLOOKUP(Table2[[#This Row],[Salary]],'Tax rates'!A$2:C$8, 3) * (Table2[[#This Row],[Salary]] - VLOOKUP(Table2[[#This Row],[Salary]],'Tax rates'!A$2:C$8,1))</f>
        <v>5315.9</v>
      </c>
      <c r="K600" s="14">
        <f>Table2[[#This Row],[Salary]]-Table2[[#This Row],[Taxes]]</f>
        <v>37304.1</v>
      </c>
      <c r="L600" s="15">
        <f>Table2[[#This Row],[After tax salary]]+Table2[[#This Row],[Bonus]]</f>
        <v>37304.1</v>
      </c>
    </row>
    <row r="601" spans="1:12" x14ac:dyDescent="0.25">
      <c r="A601" s="5" t="s">
        <v>78</v>
      </c>
      <c r="B601" s="5" t="s">
        <v>29</v>
      </c>
      <c r="C601" s="5" t="s">
        <v>18</v>
      </c>
      <c r="D601" s="5" t="s">
        <v>16</v>
      </c>
      <c r="E601" s="6">
        <v>40473</v>
      </c>
      <c r="F601" s="7"/>
      <c r="G601" s="10">
        <v>28260</v>
      </c>
      <c r="H601" s="7">
        <v>5</v>
      </c>
      <c r="I601" s="12">
        <f>IF(OR(Table2[[#This Row],[Rating]]=4,Table2[[#This Row],[Rating]]=5), 0.05*Table2[[#This Row],[Salary]],0)</f>
        <v>1413</v>
      </c>
      <c r="J601" s="14">
        <f>VLOOKUP(Table2[[#This Row],[Salary]],'Tax rates'!A$2:C$8, 2) + VLOOKUP(Table2[[#This Row],[Salary]],'Tax rates'!A$2:C$8, 3) * (Table2[[#This Row],[Salary]] - VLOOKUP(Table2[[#This Row],[Salary]],'Tax rates'!A$2:C$8,1))</f>
        <v>3200.7</v>
      </c>
      <c r="K601" s="14">
        <f>Table2[[#This Row],[Salary]]-Table2[[#This Row],[Taxes]]</f>
        <v>25059.3</v>
      </c>
      <c r="L601" s="15">
        <f>Table2[[#This Row],[After tax salary]]+Table2[[#This Row],[Bonus]]</f>
        <v>26472.3</v>
      </c>
    </row>
    <row r="602" spans="1:12" x14ac:dyDescent="0.25">
      <c r="A602" s="5" t="s">
        <v>468</v>
      </c>
      <c r="B602" s="5" t="s">
        <v>29</v>
      </c>
      <c r="C602" s="5" t="s">
        <v>18</v>
      </c>
      <c r="D602" s="5" t="s">
        <v>3</v>
      </c>
      <c r="E602" s="6">
        <v>40474</v>
      </c>
      <c r="F602" s="5" t="s">
        <v>4</v>
      </c>
      <c r="G602" s="10">
        <v>59320</v>
      </c>
      <c r="H602" s="7">
        <v>4</v>
      </c>
      <c r="I602" s="12">
        <f>IF(OR(Table2[[#This Row],[Rating]]=4,Table2[[#This Row],[Rating]]=5), 0.05*Table2[[#This Row],[Salary]],0)</f>
        <v>2966</v>
      </c>
      <c r="J602" s="14">
        <f>VLOOKUP(Table2[[#This Row],[Salary]],'Tax rates'!A$2:C$8, 2) + VLOOKUP(Table2[[#This Row],[Salary]],'Tax rates'!A$2:C$8, 3) * (Table2[[#This Row],[Salary]] - VLOOKUP(Table2[[#This Row],[Salary]],'Tax rates'!A$2:C$8,1))</f>
        <v>8989.9</v>
      </c>
      <c r="K602" s="14">
        <f>Table2[[#This Row],[Salary]]-Table2[[#This Row],[Taxes]]</f>
        <v>50330.1</v>
      </c>
      <c r="L602" s="15">
        <f>Table2[[#This Row],[After tax salary]]+Table2[[#This Row],[Bonus]]</f>
        <v>53296.1</v>
      </c>
    </row>
    <row r="603" spans="1:12" x14ac:dyDescent="0.25">
      <c r="A603" s="5" t="s">
        <v>630</v>
      </c>
      <c r="B603" s="5" t="s">
        <v>6</v>
      </c>
      <c r="C603" s="5" t="s">
        <v>35</v>
      </c>
      <c r="D603" s="5" t="s">
        <v>3</v>
      </c>
      <c r="E603" s="6">
        <v>40477</v>
      </c>
      <c r="F603" s="5" t="s">
        <v>4</v>
      </c>
      <c r="G603" s="10">
        <v>27130</v>
      </c>
      <c r="H603" s="7">
        <v>5</v>
      </c>
      <c r="I603" s="12">
        <f>IF(OR(Table2[[#This Row],[Rating]]=4,Table2[[#This Row],[Rating]]=5), 0.05*Table2[[#This Row],[Salary]],0)</f>
        <v>1356.5</v>
      </c>
      <c r="J603" s="14">
        <f>VLOOKUP(Table2[[#This Row],[Salary]],'Tax rates'!A$2:C$8, 2) + VLOOKUP(Table2[[#This Row],[Salary]],'Tax rates'!A$2:C$8, 3) * (Table2[[#This Row],[Salary]] - VLOOKUP(Table2[[#This Row],[Salary]],'Tax rates'!A$2:C$8,1))</f>
        <v>3065.1</v>
      </c>
      <c r="K603" s="14">
        <f>Table2[[#This Row],[Salary]]-Table2[[#This Row],[Taxes]]</f>
        <v>24064.9</v>
      </c>
      <c r="L603" s="15">
        <f>Table2[[#This Row],[After tax salary]]+Table2[[#This Row],[Bonus]]</f>
        <v>25421.4</v>
      </c>
    </row>
    <row r="604" spans="1:12" x14ac:dyDescent="0.25">
      <c r="A604" s="5" t="s">
        <v>38</v>
      </c>
      <c r="B604" s="5" t="s">
        <v>1</v>
      </c>
      <c r="C604" s="5" t="s">
        <v>30</v>
      </c>
      <c r="D604" s="5" t="s">
        <v>3</v>
      </c>
      <c r="E604" s="6">
        <v>40477</v>
      </c>
      <c r="F604" s="5" t="s">
        <v>21</v>
      </c>
      <c r="G604" s="10">
        <v>63206</v>
      </c>
      <c r="H604" s="7">
        <v>1</v>
      </c>
      <c r="I604" s="12">
        <f>IF(OR(Table2[[#This Row],[Rating]]=4,Table2[[#This Row],[Rating]]=5), 0.05*Table2[[#This Row],[Salary]],0)</f>
        <v>0</v>
      </c>
      <c r="J604" s="14">
        <f>VLOOKUP(Table2[[#This Row],[Salary]],'Tax rates'!A$2:C$8, 2) + VLOOKUP(Table2[[#This Row],[Salary]],'Tax rates'!A$2:C$8, 3) * (Table2[[#This Row],[Salary]] - VLOOKUP(Table2[[#This Row],[Salary]],'Tax rates'!A$2:C$8,1))</f>
        <v>9844.82</v>
      </c>
      <c r="K604" s="14">
        <f>Table2[[#This Row],[Salary]]-Table2[[#This Row],[Taxes]]</f>
        <v>53361.18</v>
      </c>
      <c r="L604" s="15">
        <f>Table2[[#This Row],[After tax salary]]+Table2[[#This Row],[Bonus]]</f>
        <v>53361.18</v>
      </c>
    </row>
    <row r="605" spans="1:12" x14ac:dyDescent="0.25">
      <c r="A605" s="5" t="s">
        <v>353</v>
      </c>
      <c r="B605" s="5" t="s">
        <v>6</v>
      </c>
      <c r="C605" s="5" t="s">
        <v>2</v>
      </c>
      <c r="D605" s="5" t="s">
        <v>3</v>
      </c>
      <c r="E605" s="6">
        <v>40486</v>
      </c>
      <c r="F605" s="5" t="s">
        <v>11</v>
      </c>
      <c r="G605" s="10">
        <v>66440</v>
      </c>
      <c r="H605" s="7">
        <v>3</v>
      </c>
      <c r="I605" s="12">
        <f>IF(OR(Table2[[#This Row],[Rating]]=4,Table2[[#This Row],[Rating]]=5), 0.05*Table2[[#This Row],[Salary]],0)</f>
        <v>0</v>
      </c>
      <c r="J605" s="14">
        <f>VLOOKUP(Table2[[#This Row],[Salary]],'Tax rates'!A$2:C$8, 2) + VLOOKUP(Table2[[#This Row],[Salary]],'Tax rates'!A$2:C$8, 3) * (Table2[[#This Row],[Salary]] - VLOOKUP(Table2[[#This Row],[Salary]],'Tax rates'!A$2:C$8,1))</f>
        <v>10556.3</v>
      </c>
      <c r="K605" s="14">
        <f>Table2[[#This Row],[Salary]]-Table2[[#This Row],[Taxes]]</f>
        <v>55883.7</v>
      </c>
      <c r="L605" s="15">
        <f>Table2[[#This Row],[After tax salary]]+Table2[[#This Row],[Bonus]]</f>
        <v>55883.7</v>
      </c>
    </row>
    <row r="606" spans="1:12" x14ac:dyDescent="0.25">
      <c r="A606" s="5" t="s">
        <v>551</v>
      </c>
      <c r="B606" s="5" t="s">
        <v>6</v>
      </c>
      <c r="C606" s="5" t="s">
        <v>18</v>
      </c>
      <c r="D606" s="5" t="s">
        <v>16</v>
      </c>
      <c r="E606" s="6">
        <v>40492</v>
      </c>
      <c r="F606" s="7"/>
      <c r="G606" s="10">
        <v>66010</v>
      </c>
      <c r="H606" s="7">
        <v>2</v>
      </c>
      <c r="I606" s="12">
        <f>IF(OR(Table2[[#This Row],[Rating]]=4,Table2[[#This Row],[Rating]]=5), 0.05*Table2[[#This Row],[Salary]],0)</f>
        <v>0</v>
      </c>
      <c r="J606" s="14">
        <f>VLOOKUP(Table2[[#This Row],[Salary]],'Tax rates'!A$2:C$8, 2) + VLOOKUP(Table2[[#This Row],[Salary]],'Tax rates'!A$2:C$8, 3) * (Table2[[#This Row],[Salary]] - VLOOKUP(Table2[[#This Row],[Salary]],'Tax rates'!A$2:C$8,1))</f>
        <v>10461.700000000001</v>
      </c>
      <c r="K606" s="14">
        <f>Table2[[#This Row],[Salary]]-Table2[[#This Row],[Taxes]]</f>
        <v>55548.3</v>
      </c>
      <c r="L606" s="15">
        <f>Table2[[#This Row],[After tax salary]]+Table2[[#This Row],[Bonus]]</f>
        <v>55548.3</v>
      </c>
    </row>
    <row r="607" spans="1:12" x14ac:dyDescent="0.25">
      <c r="A607" s="5" t="s">
        <v>774</v>
      </c>
      <c r="B607" s="5" t="s">
        <v>1</v>
      </c>
      <c r="C607" s="5" t="s">
        <v>23</v>
      </c>
      <c r="D607" s="5" t="s">
        <v>3</v>
      </c>
      <c r="E607" s="6">
        <v>40492</v>
      </c>
      <c r="F607" s="5" t="s">
        <v>9</v>
      </c>
      <c r="G607" s="10">
        <v>67230</v>
      </c>
      <c r="H607" s="7">
        <v>4</v>
      </c>
      <c r="I607" s="12">
        <f>IF(OR(Table2[[#This Row],[Rating]]=4,Table2[[#This Row],[Rating]]=5), 0.05*Table2[[#This Row],[Salary]],0)</f>
        <v>3361.5</v>
      </c>
      <c r="J607" s="14">
        <f>VLOOKUP(Table2[[#This Row],[Salary]],'Tax rates'!A$2:C$8, 2) + VLOOKUP(Table2[[#This Row],[Salary]],'Tax rates'!A$2:C$8, 3) * (Table2[[#This Row],[Salary]] - VLOOKUP(Table2[[#This Row],[Salary]],'Tax rates'!A$2:C$8,1))</f>
        <v>10730.1</v>
      </c>
      <c r="K607" s="14">
        <f>Table2[[#This Row],[Salary]]-Table2[[#This Row],[Taxes]]</f>
        <v>56499.9</v>
      </c>
      <c r="L607" s="15">
        <f>Table2[[#This Row],[After tax salary]]+Table2[[#This Row],[Bonus]]</f>
        <v>59861.4</v>
      </c>
    </row>
    <row r="608" spans="1:12" x14ac:dyDescent="0.25">
      <c r="A608" s="5" t="s">
        <v>156</v>
      </c>
      <c r="B608" s="5" t="s">
        <v>6</v>
      </c>
      <c r="C608" s="5" t="s">
        <v>37</v>
      </c>
      <c r="D608" s="5" t="s">
        <v>32</v>
      </c>
      <c r="E608" s="6">
        <v>40494</v>
      </c>
      <c r="F608" s="7"/>
      <c r="G608" s="10">
        <v>35312</v>
      </c>
      <c r="H608" s="7">
        <v>3</v>
      </c>
      <c r="I608" s="12">
        <f>IF(OR(Table2[[#This Row],[Rating]]=4,Table2[[#This Row],[Rating]]=5), 0.05*Table2[[#This Row],[Salary]],0)</f>
        <v>0</v>
      </c>
      <c r="J608" s="14">
        <f>VLOOKUP(Table2[[#This Row],[Salary]],'Tax rates'!A$2:C$8, 2) + VLOOKUP(Table2[[#This Row],[Salary]],'Tax rates'!A$2:C$8, 3) * (Table2[[#This Row],[Salary]] - VLOOKUP(Table2[[#This Row],[Salary]],'Tax rates'!A$2:C$8,1))</f>
        <v>4046.94</v>
      </c>
      <c r="K608" s="14">
        <f>Table2[[#This Row],[Salary]]-Table2[[#This Row],[Taxes]]</f>
        <v>31265.06</v>
      </c>
      <c r="L608" s="15">
        <f>Table2[[#This Row],[After tax salary]]+Table2[[#This Row],[Bonus]]</f>
        <v>31265.06</v>
      </c>
    </row>
    <row r="609" spans="1:12" x14ac:dyDescent="0.25">
      <c r="A609" s="5" t="s">
        <v>209</v>
      </c>
      <c r="B609" s="5" t="s">
        <v>6</v>
      </c>
      <c r="C609" s="5" t="s">
        <v>75</v>
      </c>
      <c r="D609" s="5" t="s">
        <v>3</v>
      </c>
      <c r="E609" s="6">
        <v>40501</v>
      </c>
      <c r="F609" s="5" t="s">
        <v>21</v>
      </c>
      <c r="G609" s="10">
        <v>77820</v>
      </c>
      <c r="H609" s="7">
        <v>3</v>
      </c>
      <c r="I609" s="12">
        <f>IF(OR(Table2[[#This Row],[Rating]]=4,Table2[[#This Row],[Rating]]=5), 0.05*Table2[[#This Row],[Salary]],0)</f>
        <v>0</v>
      </c>
      <c r="J609" s="14">
        <f>VLOOKUP(Table2[[#This Row],[Salary]],'Tax rates'!A$2:C$8, 2) + VLOOKUP(Table2[[#This Row],[Salary]],'Tax rates'!A$2:C$8, 3) * (Table2[[#This Row],[Salary]] - VLOOKUP(Table2[[#This Row],[Salary]],'Tax rates'!A$2:C$8,1))</f>
        <v>13059.9</v>
      </c>
      <c r="K609" s="14">
        <f>Table2[[#This Row],[Salary]]-Table2[[#This Row],[Taxes]]</f>
        <v>64760.1</v>
      </c>
      <c r="L609" s="15">
        <f>Table2[[#This Row],[After tax salary]]+Table2[[#This Row],[Bonus]]</f>
        <v>64760.1</v>
      </c>
    </row>
    <row r="610" spans="1:12" x14ac:dyDescent="0.25">
      <c r="A610" s="5" t="s">
        <v>165</v>
      </c>
      <c r="B610" s="5" t="s">
        <v>27</v>
      </c>
      <c r="C610" s="5" t="s">
        <v>166</v>
      </c>
      <c r="D610" s="5" t="s">
        <v>24</v>
      </c>
      <c r="E610" s="6">
        <v>40505</v>
      </c>
      <c r="F610" s="5" t="s">
        <v>11</v>
      </c>
      <c r="G610" s="10">
        <v>46230</v>
      </c>
      <c r="H610" s="7">
        <v>2</v>
      </c>
      <c r="I610" s="12">
        <f>IF(OR(Table2[[#This Row],[Rating]]=4,Table2[[#This Row],[Rating]]=5), 0.05*Table2[[#This Row],[Salary]],0)</f>
        <v>0</v>
      </c>
      <c r="J610" s="14">
        <f>VLOOKUP(Table2[[#This Row],[Salary]],'Tax rates'!A$2:C$8, 2) + VLOOKUP(Table2[[#This Row],[Salary]],'Tax rates'!A$2:C$8, 3) * (Table2[[#This Row],[Salary]] - VLOOKUP(Table2[[#This Row],[Salary]],'Tax rates'!A$2:C$8,1))</f>
        <v>6110.1</v>
      </c>
      <c r="K610" s="14">
        <f>Table2[[#This Row],[Salary]]-Table2[[#This Row],[Taxes]]</f>
        <v>40119.9</v>
      </c>
      <c r="L610" s="15">
        <f>Table2[[#This Row],[After tax salary]]+Table2[[#This Row],[Bonus]]</f>
        <v>40119.9</v>
      </c>
    </row>
    <row r="611" spans="1:12" x14ac:dyDescent="0.25">
      <c r="A611" s="5" t="s">
        <v>565</v>
      </c>
      <c r="B611" s="5" t="s">
        <v>51</v>
      </c>
      <c r="C611" s="5" t="s">
        <v>73</v>
      </c>
      <c r="D611" s="5" t="s">
        <v>16</v>
      </c>
      <c r="E611" s="6">
        <v>40508</v>
      </c>
      <c r="F611" s="7"/>
      <c r="G611" s="10">
        <v>58130</v>
      </c>
      <c r="H611" s="7">
        <v>2</v>
      </c>
      <c r="I611" s="12">
        <f>IF(OR(Table2[[#This Row],[Rating]]=4,Table2[[#This Row],[Rating]]=5), 0.05*Table2[[#This Row],[Salary]],0)</f>
        <v>0</v>
      </c>
      <c r="J611" s="14">
        <f>VLOOKUP(Table2[[#This Row],[Salary]],'Tax rates'!A$2:C$8, 2) + VLOOKUP(Table2[[#This Row],[Salary]],'Tax rates'!A$2:C$8, 3) * (Table2[[#This Row],[Salary]] - VLOOKUP(Table2[[#This Row],[Salary]],'Tax rates'!A$2:C$8,1))</f>
        <v>8728.1</v>
      </c>
      <c r="K611" s="14">
        <f>Table2[[#This Row],[Salary]]-Table2[[#This Row],[Taxes]]</f>
        <v>49401.9</v>
      </c>
      <c r="L611" s="15">
        <f>Table2[[#This Row],[After tax salary]]+Table2[[#This Row],[Bonus]]</f>
        <v>49401.9</v>
      </c>
    </row>
    <row r="612" spans="1:12" x14ac:dyDescent="0.25">
      <c r="A612" s="5" t="s">
        <v>42</v>
      </c>
      <c r="B612" s="5" t="s">
        <v>6</v>
      </c>
      <c r="C612" s="5" t="s">
        <v>2</v>
      </c>
      <c r="D612" s="5" t="s">
        <v>32</v>
      </c>
      <c r="E612" s="6">
        <v>40515</v>
      </c>
      <c r="F612" s="7"/>
      <c r="G612" s="10">
        <v>33508</v>
      </c>
      <c r="H612" s="7">
        <v>4</v>
      </c>
      <c r="I612" s="12">
        <f>IF(OR(Table2[[#This Row],[Rating]]=4,Table2[[#This Row],[Rating]]=5), 0.05*Table2[[#This Row],[Salary]],0)</f>
        <v>1675.4</v>
      </c>
      <c r="J612" s="14">
        <f>VLOOKUP(Table2[[#This Row],[Salary]],'Tax rates'!A$2:C$8, 2) + VLOOKUP(Table2[[#This Row],[Salary]],'Tax rates'!A$2:C$8, 3) * (Table2[[#This Row],[Salary]] - VLOOKUP(Table2[[#This Row],[Salary]],'Tax rates'!A$2:C$8,1))</f>
        <v>3830.46</v>
      </c>
      <c r="K612" s="14">
        <f>Table2[[#This Row],[Salary]]-Table2[[#This Row],[Taxes]]</f>
        <v>29677.54</v>
      </c>
      <c r="L612" s="15">
        <f>Table2[[#This Row],[After tax salary]]+Table2[[#This Row],[Bonus]]</f>
        <v>31352.940000000002</v>
      </c>
    </row>
    <row r="613" spans="1:12" x14ac:dyDescent="0.25">
      <c r="A613" s="5" t="s">
        <v>325</v>
      </c>
      <c r="B613" s="5" t="s">
        <v>6</v>
      </c>
      <c r="C613" s="5" t="s">
        <v>138</v>
      </c>
      <c r="D613" s="5" t="s">
        <v>24</v>
      </c>
      <c r="E613" s="6">
        <v>40516</v>
      </c>
      <c r="F613" s="5" t="s">
        <v>11</v>
      </c>
      <c r="G613" s="10">
        <v>28625</v>
      </c>
      <c r="H613" s="7">
        <v>1</v>
      </c>
      <c r="I613" s="12">
        <f>IF(OR(Table2[[#This Row],[Rating]]=4,Table2[[#This Row],[Rating]]=5), 0.05*Table2[[#This Row],[Salary]],0)</f>
        <v>0</v>
      </c>
      <c r="J613" s="14">
        <f>VLOOKUP(Table2[[#This Row],[Salary]],'Tax rates'!A$2:C$8, 2) + VLOOKUP(Table2[[#This Row],[Salary]],'Tax rates'!A$2:C$8, 3) * (Table2[[#This Row],[Salary]] - VLOOKUP(Table2[[#This Row],[Salary]],'Tax rates'!A$2:C$8,1))</f>
        <v>3244.5</v>
      </c>
      <c r="K613" s="14">
        <f>Table2[[#This Row],[Salary]]-Table2[[#This Row],[Taxes]]</f>
        <v>25380.5</v>
      </c>
      <c r="L613" s="15">
        <f>Table2[[#This Row],[After tax salary]]+Table2[[#This Row],[Bonus]]</f>
        <v>25380.5</v>
      </c>
    </row>
    <row r="614" spans="1:12" x14ac:dyDescent="0.25">
      <c r="A614" s="5" t="s">
        <v>717</v>
      </c>
      <c r="B614" s="5" t="s">
        <v>1</v>
      </c>
      <c r="C614" s="5" t="s">
        <v>2</v>
      </c>
      <c r="D614" s="5" t="s">
        <v>3</v>
      </c>
      <c r="E614" s="6">
        <v>40521</v>
      </c>
      <c r="F614" s="5" t="s">
        <v>11</v>
      </c>
      <c r="G614" s="10">
        <v>34330</v>
      </c>
      <c r="H614" s="7">
        <v>3</v>
      </c>
      <c r="I614" s="12">
        <f>IF(OR(Table2[[#This Row],[Rating]]=4,Table2[[#This Row],[Rating]]=5), 0.05*Table2[[#This Row],[Salary]],0)</f>
        <v>0</v>
      </c>
      <c r="J614" s="14">
        <f>VLOOKUP(Table2[[#This Row],[Salary]],'Tax rates'!A$2:C$8, 2) + VLOOKUP(Table2[[#This Row],[Salary]],'Tax rates'!A$2:C$8, 3) * (Table2[[#This Row],[Salary]] - VLOOKUP(Table2[[#This Row],[Salary]],'Tax rates'!A$2:C$8,1))</f>
        <v>3929.1</v>
      </c>
      <c r="K614" s="14">
        <f>Table2[[#This Row],[Salary]]-Table2[[#This Row],[Taxes]]</f>
        <v>30400.9</v>
      </c>
      <c r="L614" s="15">
        <f>Table2[[#This Row],[After tax salary]]+Table2[[#This Row],[Bonus]]</f>
        <v>30400.9</v>
      </c>
    </row>
    <row r="615" spans="1:12" x14ac:dyDescent="0.25">
      <c r="A615" s="5" t="s">
        <v>420</v>
      </c>
      <c r="B615" s="5" t="s">
        <v>1</v>
      </c>
      <c r="C615" s="5" t="s">
        <v>35</v>
      </c>
      <c r="D615" s="5" t="s">
        <v>16</v>
      </c>
      <c r="E615" s="6">
        <v>40523</v>
      </c>
      <c r="F615" s="7"/>
      <c r="G615" s="10">
        <v>46570</v>
      </c>
      <c r="H615" s="7">
        <v>4</v>
      </c>
      <c r="I615" s="12">
        <f>IF(OR(Table2[[#This Row],[Rating]]=4,Table2[[#This Row],[Rating]]=5), 0.05*Table2[[#This Row],[Salary]],0)</f>
        <v>2328.5</v>
      </c>
      <c r="J615" s="14">
        <f>VLOOKUP(Table2[[#This Row],[Salary]],'Tax rates'!A$2:C$8, 2) + VLOOKUP(Table2[[#This Row],[Salary]],'Tax rates'!A$2:C$8, 3) * (Table2[[#This Row],[Salary]] - VLOOKUP(Table2[[#This Row],[Salary]],'Tax rates'!A$2:C$8,1))</f>
        <v>6184.9</v>
      </c>
      <c r="K615" s="14">
        <f>Table2[[#This Row],[Salary]]-Table2[[#This Row],[Taxes]]</f>
        <v>40385.1</v>
      </c>
      <c r="L615" s="15">
        <f>Table2[[#This Row],[After tax salary]]+Table2[[#This Row],[Bonus]]</f>
        <v>42713.599999999999</v>
      </c>
    </row>
    <row r="616" spans="1:12" x14ac:dyDescent="0.25">
      <c r="A616" s="5" t="s">
        <v>436</v>
      </c>
      <c r="B616" s="5" t="s">
        <v>6</v>
      </c>
      <c r="C616" s="5" t="s">
        <v>23</v>
      </c>
      <c r="D616" s="5" t="s">
        <v>3</v>
      </c>
      <c r="E616" s="6">
        <v>40525</v>
      </c>
      <c r="F616" s="5" t="s">
        <v>25</v>
      </c>
      <c r="G616" s="10">
        <v>77950</v>
      </c>
      <c r="H616" s="7">
        <v>4</v>
      </c>
      <c r="I616" s="12">
        <f>IF(OR(Table2[[#This Row],[Rating]]=4,Table2[[#This Row],[Rating]]=5), 0.05*Table2[[#This Row],[Salary]],0)</f>
        <v>3897.5</v>
      </c>
      <c r="J616" s="14">
        <f>VLOOKUP(Table2[[#This Row],[Salary]],'Tax rates'!A$2:C$8, 2) + VLOOKUP(Table2[[#This Row],[Salary]],'Tax rates'!A$2:C$8, 3) * (Table2[[#This Row],[Salary]] - VLOOKUP(Table2[[#This Row],[Salary]],'Tax rates'!A$2:C$8,1))</f>
        <v>13088.5</v>
      </c>
      <c r="K616" s="14">
        <f>Table2[[#This Row],[Salary]]-Table2[[#This Row],[Taxes]]</f>
        <v>64861.5</v>
      </c>
      <c r="L616" s="15">
        <f>Table2[[#This Row],[After tax salary]]+Table2[[#This Row],[Bonus]]</f>
        <v>68759</v>
      </c>
    </row>
    <row r="617" spans="1:12" x14ac:dyDescent="0.25">
      <c r="A617" s="5" t="s">
        <v>114</v>
      </c>
      <c r="B617" s="5" t="s">
        <v>51</v>
      </c>
      <c r="C617" s="5" t="s">
        <v>37</v>
      </c>
      <c r="D617" s="5" t="s">
        <v>3</v>
      </c>
      <c r="E617" s="6">
        <v>40533</v>
      </c>
      <c r="F617" s="5" t="s">
        <v>9</v>
      </c>
      <c r="G617" s="10">
        <v>62180</v>
      </c>
      <c r="H617" s="7">
        <v>2</v>
      </c>
      <c r="I617" s="12">
        <f>IF(OR(Table2[[#This Row],[Rating]]=4,Table2[[#This Row],[Rating]]=5), 0.05*Table2[[#This Row],[Salary]],0)</f>
        <v>0</v>
      </c>
      <c r="J617" s="14">
        <f>VLOOKUP(Table2[[#This Row],[Salary]],'Tax rates'!A$2:C$8, 2) + VLOOKUP(Table2[[#This Row],[Salary]],'Tax rates'!A$2:C$8, 3) * (Table2[[#This Row],[Salary]] - VLOOKUP(Table2[[#This Row],[Salary]],'Tax rates'!A$2:C$8,1))</f>
        <v>9619.1</v>
      </c>
      <c r="K617" s="14">
        <f>Table2[[#This Row],[Salary]]-Table2[[#This Row],[Taxes]]</f>
        <v>52560.9</v>
      </c>
      <c r="L617" s="15">
        <f>Table2[[#This Row],[After tax salary]]+Table2[[#This Row],[Bonus]]</f>
        <v>52560.9</v>
      </c>
    </row>
    <row r="618" spans="1:12" x14ac:dyDescent="0.25">
      <c r="A618" s="5" t="s">
        <v>742</v>
      </c>
      <c r="B618" s="5" t="s">
        <v>29</v>
      </c>
      <c r="C618" s="5" t="s">
        <v>35</v>
      </c>
      <c r="D618" s="5" t="s">
        <v>3</v>
      </c>
      <c r="E618" s="6">
        <v>40536</v>
      </c>
      <c r="F618" s="5" t="s">
        <v>11</v>
      </c>
      <c r="G618" s="10">
        <v>70730</v>
      </c>
      <c r="H618" s="7">
        <v>1</v>
      </c>
      <c r="I618" s="12">
        <f>IF(OR(Table2[[#This Row],[Rating]]=4,Table2[[#This Row],[Rating]]=5), 0.05*Table2[[#This Row],[Salary]],0)</f>
        <v>0</v>
      </c>
      <c r="J618" s="14">
        <f>VLOOKUP(Table2[[#This Row],[Salary]],'Tax rates'!A$2:C$8, 2) + VLOOKUP(Table2[[#This Row],[Salary]],'Tax rates'!A$2:C$8, 3) * (Table2[[#This Row],[Salary]] - VLOOKUP(Table2[[#This Row],[Salary]],'Tax rates'!A$2:C$8,1))</f>
        <v>11500.1</v>
      </c>
      <c r="K618" s="14">
        <f>Table2[[#This Row],[Salary]]-Table2[[#This Row],[Taxes]]</f>
        <v>59229.9</v>
      </c>
      <c r="L618" s="15">
        <f>Table2[[#This Row],[After tax salary]]+Table2[[#This Row],[Bonus]]</f>
        <v>59229.9</v>
      </c>
    </row>
    <row r="619" spans="1:12" x14ac:dyDescent="0.25">
      <c r="A619" s="5" t="s">
        <v>246</v>
      </c>
      <c r="B619" s="5" t="s">
        <v>29</v>
      </c>
      <c r="C619" s="5" t="s">
        <v>102</v>
      </c>
      <c r="D619" s="5" t="s">
        <v>32</v>
      </c>
      <c r="E619" s="6">
        <v>40543</v>
      </c>
      <c r="F619" s="7"/>
      <c r="G619" s="10">
        <v>19044</v>
      </c>
      <c r="H619" s="7">
        <v>1</v>
      </c>
      <c r="I619" s="12">
        <f>IF(OR(Table2[[#This Row],[Rating]]=4,Table2[[#This Row],[Rating]]=5), 0.05*Table2[[#This Row],[Salary]],0)</f>
        <v>0</v>
      </c>
      <c r="J619" s="14">
        <f>VLOOKUP(Table2[[#This Row],[Salary]],'Tax rates'!A$2:C$8, 2) + VLOOKUP(Table2[[#This Row],[Salary]],'Tax rates'!A$2:C$8, 3) * (Table2[[#This Row],[Salary]] - VLOOKUP(Table2[[#This Row],[Salary]],'Tax rates'!A$2:C$8,1))</f>
        <v>2094.7799999999997</v>
      </c>
      <c r="K619" s="14">
        <f>Table2[[#This Row],[Salary]]-Table2[[#This Row],[Taxes]]</f>
        <v>16949.22</v>
      </c>
      <c r="L619" s="15">
        <f>Table2[[#This Row],[After tax salary]]+Table2[[#This Row],[Bonus]]</f>
        <v>16949.22</v>
      </c>
    </row>
    <row r="620" spans="1:12" x14ac:dyDescent="0.25">
      <c r="A620" s="5" t="s">
        <v>47</v>
      </c>
      <c r="B620" s="5" t="s">
        <v>27</v>
      </c>
      <c r="C620" s="5" t="s">
        <v>20</v>
      </c>
      <c r="D620" s="5" t="s">
        <v>16</v>
      </c>
      <c r="E620" s="6">
        <v>40550</v>
      </c>
      <c r="F620" s="7"/>
      <c r="G620" s="10">
        <v>80050</v>
      </c>
      <c r="H620" s="7">
        <v>2</v>
      </c>
      <c r="I620" s="12">
        <f>IF(OR(Table2[[#This Row],[Rating]]=4,Table2[[#This Row],[Rating]]=5), 0.05*Table2[[#This Row],[Salary]],0)</f>
        <v>0</v>
      </c>
      <c r="J620" s="14">
        <f>VLOOKUP(Table2[[#This Row],[Salary]],'Tax rates'!A$2:C$8, 2) + VLOOKUP(Table2[[#This Row],[Salary]],'Tax rates'!A$2:C$8, 3) * (Table2[[#This Row],[Salary]] - VLOOKUP(Table2[[#This Row],[Salary]],'Tax rates'!A$2:C$8,1))</f>
        <v>13550.5</v>
      </c>
      <c r="K620" s="14">
        <f>Table2[[#This Row],[Salary]]-Table2[[#This Row],[Taxes]]</f>
        <v>66499.5</v>
      </c>
      <c r="L620" s="15">
        <f>Table2[[#This Row],[After tax salary]]+Table2[[#This Row],[Bonus]]</f>
        <v>66499.5</v>
      </c>
    </row>
    <row r="621" spans="1:12" x14ac:dyDescent="0.25">
      <c r="A621" s="5" t="s">
        <v>64</v>
      </c>
      <c r="B621" s="5" t="s">
        <v>1</v>
      </c>
      <c r="C621" s="5" t="s">
        <v>63</v>
      </c>
      <c r="D621" s="5" t="s">
        <v>3</v>
      </c>
      <c r="E621" s="6">
        <v>40551</v>
      </c>
      <c r="F621" s="5" t="s">
        <v>4</v>
      </c>
      <c r="G621" s="10">
        <v>71730</v>
      </c>
      <c r="H621" s="7">
        <v>1</v>
      </c>
      <c r="I621" s="12">
        <f>IF(OR(Table2[[#This Row],[Rating]]=4,Table2[[#This Row],[Rating]]=5), 0.05*Table2[[#This Row],[Salary]],0)</f>
        <v>0</v>
      </c>
      <c r="J621" s="14">
        <f>VLOOKUP(Table2[[#This Row],[Salary]],'Tax rates'!A$2:C$8, 2) + VLOOKUP(Table2[[#This Row],[Salary]],'Tax rates'!A$2:C$8, 3) * (Table2[[#This Row],[Salary]] - VLOOKUP(Table2[[#This Row],[Salary]],'Tax rates'!A$2:C$8,1))</f>
        <v>11720.1</v>
      </c>
      <c r="K621" s="14">
        <f>Table2[[#This Row],[Salary]]-Table2[[#This Row],[Taxes]]</f>
        <v>60009.9</v>
      </c>
      <c r="L621" s="15">
        <f>Table2[[#This Row],[After tax salary]]+Table2[[#This Row],[Bonus]]</f>
        <v>60009.9</v>
      </c>
    </row>
    <row r="622" spans="1:12" x14ac:dyDescent="0.25">
      <c r="A622" s="5" t="s">
        <v>703</v>
      </c>
      <c r="B622" s="5" t="s">
        <v>51</v>
      </c>
      <c r="C622" s="5" t="s">
        <v>59</v>
      </c>
      <c r="D622" s="5" t="s">
        <v>3</v>
      </c>
      <c r="E622" s="6">
        <v>40552</v>
      </c>
      <c r="F622" s="5" t="s">
        <v>4</v>
      </c>
      <c r="G622" s="10">
        <v>62740</v>
      </c>
      <c r="H622" s="7">
        <v>4</v>
      </c>
      <c r="I622" s="12">
        <f>IF(OR(Table2[[#This Row],[Rating]]=4,Table2[[#This Row],[Rating]]=5), 0.05*Table2[[#This Row],[Salary]],0)</f>
        <v>3137</v>
      </c>
      <c r="J622" s="14">
        <f>VLOOKUP(Table2[[#This Row],[Salary]],'Tax rates'!A$2:C$8, 2) + VLOOKUP(Table2[[#This Row],[Salary]],'Tax rates'!A$2:C$8, 3) * (Table2[[#This Row],[Salary]] - VLOOKUP(Table2[[#This Row],[Salary]],'Tax rates'!A$2:C$8,1))</f>
        <v>9742.2999999999993</v>
      </c>
      <c r="K622" s="14">
        <f>Table2[[#This Row],[Salary]]-Table2[[#This Row],[Taxes]]</f>
        <v>52997.7</v>
      </c>
      <c r="L622" s="15">
        <f>Table2[[#This Row],[After tax salary]]+Table2[[#This Row],[Bonus]]</f>
        <v>56134.7</v>
      </c>
    </row>
    <row r="623" spans="1:12" x14ac:dyDescent="0.25">
      <c r="A623" s="5" t="s">
        <v>397</v>
      </c>
      <c r="B623" s="5" t="s">
        <v>13</v>
      </c>
      <c r="C623" s="5" t="s">
        <v>2</v>
      </c>
      <c r="D623" s="5" t="s">
        <v>32</v>
      </c>
      <c r="E623" s="6">
        <v>40561</v>
      </c>
      <c r="F623" s="7"/>
      <c r="G623" s="10">
        <v>30468</v>
      </c>
      <c r="H623" s="7">
        <v>2</v>
      </c>
      <c r="I623" s="12">
        <f>IF(OR(Table2[[#This Row],[Rating]]=4,Table2[[#This Row],[Rating]]=5), 0.05*Table2[[#This Row],[Salary]],0)</f>
        <v>0</v>
      </c>
      <c r="J623" s="14">
        <f>VLOOKUP(Table2[[#This Row],[Salary]],'Tax rates'!A$2:C$8, 2) + VLOOKUP(Table2[[#This Row],[Salary]],'Tax rates'!A$2:C$8, 3) * (Table2[[#This Row],[Salary]] - VLOOKUP(Table2[[#This Row],[Salary]],'Tax rates'!A$2:C$8,1))</f>
        <v>3465.66</v>
      </c>
      <c r="K623" s="14">
        <f>Table2[[#This Row],[Salary]]-Table2[[#This Row],[Taxes]]</f>
        <v>27002.34</v>
      </c>
      <c r="L623" s="15">
        <f>Table2[[#This Row],[After tax salary]]+Table2[[#This Row],[Bonus]]</f>
        <v>27002.34</v>
      </c>
    </row>
    <row r="624" spans="1:12" x14ac:dyDescent="0.25">
      <c r="A624" s="5" t="s">
        <v>389</v>
      </c>
      <c r="B624" s="5" t="s">
        <v>1</v>
      </c>
      <c r="C624" s="5" t="s">
        <v>35</v>
      </c>
      <c r="D624" s="5" t="s">
        <v>16</v>
      </c>
      <c r="E624" s="6">
        <v>40563</v>
      </c>
      <c r="F624" s="7"/>
      <c r="G624" s="10">
        <v>55510</v>
      </c>
      <c r="H624" s="7">
        <v>3</v>
      </c>
      <c r="I624" s="12">
        <f>IF(OR(Table2[[#This Row],[Rating]]=4,Table2[[#This Row],[Rating]]=5), 0.05*Table2[[#This Row],[Salary]],0)</f>
        <v>0</v>
      </c>
      <c r="J624" s="14">
        <f>VLOOKUP(Table2[[#This Row],[Salary]],'Tax rates'!A$2:C$8, 2) + VLOOKUP(Table2[[#This Row],[Salary]],'Tax rates'!A$2:C$8, 3) * (Table2[[#This Row],[Salary]] - VLOOKUP(Table2[[#This Row],[Salary]],'Tax rates'!A$2:C$8,1))</f>
        <v>8151.7</v>
      </c>
      <c r="K624" s="14">
        <f>Table2[[#This Row],[Salary]]-Table2[[#This Row],[Taxes]]</f>
        <v>47358.3</v>
      </c>
      <c r="L624" s="15">
        <f>Table2[[#This Row],[After tax salary]]+Table2[[#This Row],[Bonus]]</f>
        <v>47358.3</v>
      </c>
    </row>
    <row r="625" spans="1:12" x14ac:dyDescent="0.25">
      <c r="A625" s="5" t="s">
        <v>672</v>
      </c>
      <c r="B625" s="5" t="s">
        <v>1</v>
      </c>
      <c r="C625" s="5" t="s">
        <v>35</v>
      </c>
      <c r="D625" s="5" t="s">
        <v>3</v>
      </c>
      <c r="E625" s="6">
        <v>40568</v>
      </c>
      <c r="F625" s="5" t="s">
        <v>4</v>
      </c>
      <c r="G625" s="10">
        <v>46390</v>
      </c>
      <c r="H625" s="7">
        <v>5</v>
      </c>
      <c r="I625" s="12">
        <f>IF(OR(Table2[[#This Row],[Rating]]=4,Table2[[#This Row],[Rating]]=5), 0.05*Table2[[#This Row],[Salary]],0)</f>
        <v>2319.5</v>
      </c>
      <c r="J625" s="14">
        <f>VLOOKUP(Table2[[#This Row],[Salary]],'Tax rates'!A$2:C$8, 2) + VLOOKUP(Table2[[#This Row],[Salary]],'Tax rates'!A$2:C$8, 3) * (Table2[[#This Row],[Salary]] - VLOOKUP(Table2[[#This Row],[Salary]],'Tax rates'!A$2:C$8,1))</f>
        <v>6145.3</v>
      </c>
      <c r="K625" s="14">
        <f>Table2[[#This Row],[Salary]]-Table2[[#This Row],[Taxes]]</f>
        <v>40244.699999999997</v>
      </c>
      <c r="L625" s="15">
        <f>Table2[[#This Row],[After tax salary]]+Table2[[#This Row],[Bonus]]</f>
        <v>42564.2</v>
      </c>
    </row>
    <row r="626" spans="1:12" x14ac:dyDescent="0.25">
      <c r="A626" s="5" t="s">
        <v>137</v>
      </c>
      <c r="B626" s="5" t="s">
        <v>1</v>
      </c>
      <c r="C626" s="5" t="s">
        <v>138</v>
      </c>
      <c r="D626" s="5" t="s">
        <v>24</v>
      </c>
      <c r="E626" s="6">
        <v>40572</v>
      </c>
      <c r="F626" s="5" t="s">
        <v>11</v>
      </c>
      <c r="G626" s="10">
        <v>10520</v>
      </c>
      <c r="H626" s="7">
        <v>4</v>
      </c>
      <c r="I626" s="12">
        <f>IF(OR(Table2[[#This Row],[Rating]]=4,Table2[[#This Row],[Rating]]=5), 0.05*Table2[[#This Row],[Salary]],0)</f>
        <v>526</v>
      </c>
      <c r="J626" s="14">
        <f>VLOOKUP(Table2[[#This Row],[Salary]],'Tax rates'!A$2:C$8, 2) + VLOOKUP(Table2[[#This Row],[Salary]],'Tax rates'!A$2:C$8, 3) * (Table2[[#This Row],[Salary]] - VLOOKUP(Table2[[#This Row],[Salary]],'Tax rates'!A$2:C$8,1))</f>
        <v>1071.9000000000001</v>
      </c>
      <c r="K626" s="14">
        <f>Table2[[#This Row],[Salary]]-Table2[[#This Row],[Taxes]]</f>
        <v>9448.1</v>
      </c>
      <c r="L626" s="15">
        <f>Table2[[#This Row],[After tax salary]]+Table2[[#This Row],[Bonus]]</f>
        <v>9974.1</v>
      </c>
    </row>
    <row r="627" spans="1:12" x14ac:dyDescent="0.25">
      <c r="A627" s="5" t="s">
        <v>122</v>
      </c>
      <c r="B627" s="5" t="s">
        <v>6</v>
      </c>
      <c r="C627" s="5" t="s">
        <v>18</v>
      </c>
      <c r="D627" s="5" t="s">
        <v>32</v>
      </c>
      <c r="E627" s="6">
        <v>40574</v>
      </c>
      <c r="F627" s="7"/>
      <c r="G627" s="10">
        <v>28424</v>
      </c>
      <c r="H627" s="7">
        <v>4</v>
      </c>
      <c r="I627" s="12">
        <f>IF(OR(Table2[[#This Row],[Rating]]=4,Table2[[#This Row],[Rating]]=5), 0.05*Table2[[#This Row],[Salary]],0)</f>
        <v>1421.2</v>
      </c>
      <c r="J627" s="14">
        <f>VLOOKUP(Table2[[#This Row],[Salary]],'Tax rates'!A$2:C$8, 2) + VLOOKUP(Table2[[#This Row],[Salary]],'Tax rates'!A$2:C$8, 3) * (Table2[[#This Row],[Salary]] - VLOOKUP(Table2[[#This Row],[Salary]],'Tax rates'!A$2:C$8,1))</f>
        <v>3220.38</v>
      </c>
      <c r="K627" s="14">
        <f>Table2[[#This Row],[Salary]]-Table2[[#This Row],[Taxes]]</f>
        <v>25203.62</v>
      </c>
      <c r="L627" s="15">
        <f>Table2[[#This Row],[After tax salary]]+Table2[[#This Row],[Bonus]]</f>
        <v>26624.82</v>
      </c>
    </row>
    <row r="628" spans="1:12" x14ac:dyDescent="0.25">
      <c r="A628" s="5" t="s">
        <v>10</v>
      </c>
      <c r="B628" s="5" t="s">
        <v>1</v>
      </c>
      <c r="C628" s="5" t="s">
        <v>2</v>
      </c>
      <c r="D628" s="5" t="s">
        <v>3</v>
      </c>
      <c r="E628" s="6">
        <v>40574</v>
      </c>
      <c r="F628" s="5" t="s">
        <v>11</v>
      </c>
      <c r="G628" s="10">
        <v>24840</v>
      </c>
      <c r="H628" s="7">
        <v>1</v>
      </c>
      <c r="I628" s="12">
        <f>IF(OR(Table2[[#This Row],[Rating]]=4,Table2[[#This Row],[Rating]]=5), 0.05*Table2[[#This Row],[Salary]],0)</f>
        <v>0</v>
      </c>
      <c r="J628" s="14">
        <f>VLOOKUP(Table2[[#This Row],[Salary]],'Tax rates'!A$2:C$8, 2) + VLOOKUP(Table2[[#This Row],[Salary]],'Tax rates'!A$2:C$8, 3) * (Table2[[#This Row],[Salary]] - VLOOKUP(Table2[[#This Row],[Salary]],'Tax rates'!A$2:C$8,1))</f>
        <v>2790.3</v>
      </c>
      <c r="K628" s="14">
        <f>Table2[[#This Row],[Salary]]-Table2[[#This Row],[Taxes]]</f>
        <v>22049.7</v>
      </c>
      <c r="L628" s="15">
        <f>Table2[[#This Row],[After tax salary]]+Table2[[#This Row],[Bonus]]</f>
        <v>22049.7</v>
      </c>
    </row>
    <row r="629" spans="1:12" x14ac:dyDescent="0.25">
      <c r="A629" s="5" t="s">
        <v>733</v>
      </c>
      <c r="B629" s="5" t="s">
        <v>27</v>
      </c>
      <c r="C629" s="5" t="s">
        <v>75</v>
      </c>
      <c r="D629" s="5" t="s">
        <v>3</v>
      </c>
      <c r="E629" s="6">
        <v>40575</v>
      </c>
      <c r="F629" s="5" t="s">
        <v>9</v>
      </c>
      <c r="G629" s="10">
        <v>74710</v>
      </c>
      <c r="H629" s="7">
        <v>2</v>
      </c>
      <c r="I629" s="12">
        <f>IF(OR(Table2[[#This Row],[Rating]]=4,Table2[[#This Row],[Rating]]=5), 0.05*Table2[[#This Row],[Salary]],0)</f>
        <v>0</v>
      </c>
      <c r="J629" s="14">
        <f>VLOOKUP(Table2[[#This Row],[Salary]],'Tax rates'!A$2:C$8, 2) + VLOOKUP(Table2[[#This Row],[Salary]],'Tax rates'!A$2:C$8, 3) * (Table2[[#This Row],[Salary]] - VLOOKUP(Table2[[#This Row],[Salary]],'Tax rates'!A$2:C$8,1))</f>
        <v>12375.7</v>
      </c>
      <c r="K629" s="14">
        <f>Table2[[#This Row],[Salary]]-Table2[[#This Row],[Taxes]]</f>
        <v>62334.3</v>
      </c>
      <c r="L629" s="15">
        <f>Table2[[#This Row],[After tax salary]]+Table2[[#This Row],[Bonus]]</f>
        <v>62334.3</v>
      </c>
    </row>
    <row r="630" spans="1:12" x14ac:dyDescent="0.25">
      <c r="A630" s="5" t="s">
        <v>107</v>
      </c>
      <c r="B630" s="5" t="s">
        <v>13</v>
      </c>
      <c r="C630" s="5" t="s">
        <v>18</v>
      </c>
      <c r="D630" s="5" t="s">
        <v>3</v>
      </c>
      <c r="E630" s="6">
        <v>40578</v>
      </c>
      <c r="F630" s="5" t="s">
        <v>4</v>
      </c>
      <c r="G630" s="10">
        <v>43820</v>
      </c>
      <c r="H630" s="7">
        <v>2</v>
      </c>
      <c r="I630" s="12">
        <f>IF(OR(Table2[[#This Row],[Rating]]=4,Table2[[#This Row],[Rating]]=5), 0.05*Table2[[#This Row],[Salary]],0)</f>
        <v>0</v>
      </c>
      <c r="J630" s="14">
        <f>VLOOKUP(Table2[[#This Row],[Salary]],'Tax rates'!A$2:C$8, 2) + VLOOKUP(Table2[[#This Row],[Salary]],'Tax rates'!A$2:C$8, 3) * (Table2[[#This Row],[Salary]] - VLOOKUP(Table2[[#This Row],[Salary]],'Tax rates'!A$2:C$8,1))</f>
        <v>5579.9</v>
      </c>
      <c r="K630" s="14">
        <f>Table2[[#This Row],[Salary]]-Table2[[#This Row],[Taxes]]</f>
        <v>38240.1</v>
      </c>
      <c r="L630" s="15">
        <f>Table2[[#This Row],[After tax salary]]+Table2[[#This Row],[Bonus]]</f>
        <v>38240.1</v>
      </c>
    </row>
    <row r="631" spans="1:12" x14ac:dyDescent="0.25">
      <c r="A631" s="5" t="s">
        <v>317</v>
      </c>
      <c r="B631" s="5" t="s">
        <v>1</v>
      </c>
      <c r="C631" s="5" t="s">
        <v>2</v>
      </c>
      <c r="D631" s="5" t="s">
        <v>3</v>
      </c>
      <c r="E631" s="6">
        <v>40581</v>
      </c>
      <c r="F631" s="5" t="s">
        <v>21</v>
      </c>
      <c r="G631" s="10">
        <v>80260</v>
      </c>
      <c r="H631" s="7">
        <v>3</v>
      </c>
      <c r="I631" s="12">
        <f>IF(OR(Table2[[#This Row],[Rating]]=4,Table2[[#This Row],[Rating]]=5), 0.05*Table2[[#This Row],[Salary]],0)</f>
        <v>0</v>
      </c>
      <c r="J631" s="14">
        <f>VLOOKUP(Table2[[#This Row],[Salary]],'Tax rates'!A$2:C$8, 2) + VLOOKUP(Table2[[#This Row],[Salary]],'Tax rates'!A$2:C$8, 3) * (Table2[[#This Row],[Salary]] - VLOOKUP(Table2[[#This Row],[Salary]],'Tax rates'!A$2:C$8,1))</f>
        <v>13596.7</v>
      </c>
      <c r="K631" s="14">
        <f>Table2[[#This Row],[Salary]]-Table2[[#This Row],[Taxes]]</f>
        <v>66663.3</v>
      </c>
      <c r="L631" s="15">
        <f>Table2[[#This Row],[After tax salary]]+Table2[[#This Row],[Bonus]]</f>
        <v>66663.3</v>
      </c>
    </row>
    <row r="632" spans="1:12" x14ac:dyDescent="0.25">
      <c r="A632" s="5" t="s">
        <v>409</v>
      </c>
      <c r="B632" s="5" t="s">
        <v>6</v>
      </c>
      <c r="C632" s="5" t="s">
        <v>35</v>
      </c>
      <c r="D632" s="5" t="s">
        <v>3</v>
      </c>
      <c r="E632" s="6">
        <v>40584</v>
      </c>
      <c r="F632" s="5" t="s">
        <v>4</v>
      </c>
      <c r="G632" s="10">
        <v>24200</v>
      </c>
      <c r="H632" s="7">
        <v>5</v>
      </c>
      <c r="I632" s="12">
        <f>IF(OR(Table2[[#This Row],[Rating]]=4,Table2[[#This Row],[Rating]]=5), 0.05*Table2[[#This Row],[Salary]],0)</f>
        <v>1210</v>
      </c>
      <c r="J632" s="14">
        <f>VLOOKUP(Table2[[#This Row],[Salary]],'Tax rates'!A$2:C$8, 2) + VLOOKUP(Table2[[#This Row],[Salary]],'Tax rates'!A$2:C$8, 3) * (Table2[[#This Row],[Salary]] - VLOOKUP(Table2[[#This Row],[Salary]],'Tax rates'!A$2:C$8,1))</f>
        <v>2713.5</v>
      </c>
      <c r="K632" s="14">
        <f>Table2[[#This Row],[Salary]]-Table2[[#This Row],[Taxes]]</f>
        <v>21486.5</v>
      </c>
      <c r="L632" s="15">
        <f>Table2[[#This Row],[After tax salary]]+Table2[[#This Row],[Bonus]]</f>
        <v>22696.5</v>
      </c>
    </row>
    <row r="633" spans="1:12" x14ac:dyDescent="0.25">
      <c r="A633" s="5" t="s">
        <v>270</v>
      </c>
      <c r="B633" s="5" t="s">
        <v>1</v>
      </c>
      <c r="C633" s="5" t="s">
        <v>63</v>
      </c>
      <c r="D633" s="5" t="s">
        <v>3</v>
      </c>
      <c r="E633" s="6">
        <v>40585</v>
      </c>
      <c r="F633" s="5" t="s">
        <v>4</v>
      </c>
      <c r="G633" s="10">
        <v>87950</v>
      </c>
      <c r="H633" s="7">
        <v>4</v>
      </c>
      <c r="I633" s="12">
        <f>IF(OR(Table2[[#This Row],[Rating]]=4,Table2[[#This Row],[Rating]]=5), 0.05*Table2[[#This Row],[Salary]],0)</f>
        <v>4397.5</v>
      </c>
      <c r="J633" s="14">
        <f>VLOOKUP(Table2[[#This Row],[Salary]],'Tax rates'!A$2:C$8, 2) + VLOOKUP(Table2[[#This Row],[Salary]],'Tax rates'!A$2:C$8, 3) * (Table2[[#This Row],[Salary]] - VLOOKUP(Table2[[#This Row],[Salary]],'Tax rates'!A$2:C$8,1))</f>
        <v>15397.5</v>
      </c>
      <c r="K633" s="14">
        <f>Table2[[#This Row],[Salary]]-Table2[[#This Row],[Taxes]]</f>
        <v>72552.5</v>
      </c>
      <c r="L633" s="15">
        <f>Table2[[#This Row],[After tax salary]]+Table2[[#This Row],[Bonus]]</f>
        <v>76950</v>
      </c>
    </row>
    <row r="634" spans="1:12" x14ac:dyDescent="0.25">
      <c r="A634" s="5" t="s">
        <v>26</v>
      </c>
      <c r="B634" s="5" t="s">
        <v>27</v>
      </c>
      <c r="C634" s="5" t="s">
        <v>2</v>
      </c>
      <c r="D634" s="5" t="s">
        <v>16</v>
      </c>
      <c r="E634" s="6">
        <v>40587</v>
      </c>
      <c r="F634" s="7"/>
      <c r="G634" s="10">
        <v>89450</v>
      </c>
      <c r="H634" s="7">
        <v>2</v>
      </c>
      <c r="I634" s="12">
        <f>IF(OR(Table2[[#This Row],[Rating]]=4,Table2[[#This Row],[Rating]]=5), 0.05*Table2[[#This Row],[Salary]],0)</f>
        <v>0</v>
      </c>
      <c r="J634" s="14">
        <f>VLOOKUP(Table2[[#This Row],[Salary]],'Tax rates'!A$2:C$8, 2) + VLOOKUP(Table2[[#This Row],[Salary]],'Tax rates'!A$2:C$8, 3) * (Table2[[#This Row],[Salary]] - VLOOKUP(Table2[[#This Row],[Salary]],'Tax rates'!A$2:C$8,1))</f>
        <v>15757.5</v>
      </c>
      <c r="K634" s="14">
        <f>Table2[[#This Row],[Salary]]-Table2[[#This Row],[Taxes]]</f>
        <v>73692.5</v>
      </c>
      <c r="L634" s="15">
        <f>Table2[[#This Row],[After tax salary]]+Table2[[#This Row],[Bonus]]</f>
        <v>73692.5</v>
      </c>
    </row>
    <row r="635" spans="1:12" x14ac:dyDescent="0.25">
      <c r="A635" s="5" t="s">
        <v>759</v>
      </c>
      <c r="B635" s="5" t="s">
        <v>27</v>
      </c>
      <c r="C635" s="5" t="s">
        <v>63</v>
      </c>
      <c r="D635" s="5" t="s">
        <v>16</v>
      </c>
      <c r="E635" s="6">
        <v>40591</v>
      </c>
      <c r="F635" s="7"/>
      <c r="G635" s="10">
        <v>49070</v>
      </c>
      <c r="H635" s="7">
        <v>3</v>
      </c>
      <c r="I635" s="12">
        <f>IF(OR(Table2[[#This Row],[Rating]]=4,Table2[[#This Row],[Rating]]=5), 0.05*Table2[[#This Row],[Salary]],0)</f>
        <v>0</v>
      </c>
      <c r="J635" s="14">
        <f>VLOOKUP(Table2[[#This Row],[Salary]],'Tax rates'!A$2:C$8, 2) + VLOOKUP(Table2[[#This Row],[Salary]],'Tax rates'!A$2:C$8, 3) * (Table2[[#This Row],[Salary]] - VLOOKUP(Table2[[#This Row],[Salary]],'Tax rates'!A$2:C$8,1))</f>
        <v>6734.9</v>
      </c>
      <c r="K635" s="14">
        <f>Table2[[#This Row],[Salary]]-Table2[[#This Row],[Taxes]]</f>
        <v>42335.1</v>
      </c>
      <c r="L635" s="15">
        <f>Table2[[#This Row],[After tax salary]]+Table2[[#This Row],[Bonus]]</f>
        <v>42335.1</v>
      </c>
    </row>
    <row r="636" spans="1:12" x14ac:dyDescent="0.25">
      <c r="A636" s="5" t="s">
        <v>694</v>
      </c>
      <c r="B636" s="5" t="s">
        <v>13</v>
      </c>
      <c r="C636" s="5" t="s">
        <v>197</v>
      </c>
      <c r="D636" s="5" t="s">
        <v>24</v>
      </c>
      <c r="E636" s="6">
        <v>40595</v>
      </c>
      <c r="F636" s="5" t="s">
        <v>25</v>
      </c>
      <c r="G636" s="10">
        <v>26795</v>
      </c>
      <c r="H636" s="7">
        <v>4</v>
      </c>
      <c r="I636" s="12">
        <f>IF(OR(Table2[[#This Row],[Rating]]=4,Table2[[#This Row],[Rating]]=5), 0.05*Table2[[#This Row],[Salary]],0)</f>
        <v>1339.75</v>
      </c>
      <c r="J636" s="14">
        <f>VLOOKUP(Table2[[#This Row],[Salary]],'Tax rates'!A$2:C$8, 2) + VLOOKUP(Table2[[#This Row],[Salary]],'Tax rates'!A$2:C$8, 3) * (Table2[[#This Row],[Salary]] - VLOOKUP(Table2[[#This Row],[Salary]],'Tax rates'!A$2:C$8,1))</f>
        <v>3024.9</v>
      </c>
      <c r="K636" s="14">
        <f>Table2[[#This Row],[Salary]]-Table2[[#This Row],[Taxes]]</f>
        <v>23770.1</v>
      </c>
      <c r="L636" s="15">
        <f>Table2[[#This Row],[After tax salary]]+Table2[[#This Row],[Bonus]]</f>
        <v>25109.85</v>
      </c>
    </row>
    <row r="637" spans="1:12" x14ac:dyDescent="0.25">
      <c r="A637" s="5" t="s">
        <v>465</v>
      </c>
      <c r="B637" s="5" t="s">
        <v>1</v>
      </c>
      <c r="C637" s="5" t="s">
        <v>75</v>
      </c>
      <c r="D637" s="5" t="s">
        <v>3</v>
      </c>
      <c r="E637" s="6">
        <v>40596</v>
      </c>
      <c r="F637" s="5" t="s">
        <v>21</v>
      </c>
      <c r="G637" s="10">
        <v>68910</v>
      </c>
      <c r="H637" s="7">
        <v>5</v>
      </c>
      <c r="I637" s="12">
        <f>IF(OR(Table2[[#This Row],[Rating]]=4,Table2[[#This Row],[Rating]]=5), 0.05*Table2[[#This Row],[Salary]],0)</f>
        <v>3445.5</v>
      </c>
      <c r="J637" s="14">
        <f>VLOOKUP(Table2[[#This Row],[Salary]],'Tax rates'!A$2:C$8, 2) + VLOOKUP(Table2[[#This Row],[Salary]],'Tax rates'!A$2:C$8, 3) * (Table2[[#This Row],[Salary]] - VLOOKUP(Table2[[#This Row],[Salary]],'Tax rates'!A$2:C$8,1))</f>
        <v>11099.7</v>
      </c>
      <c r="K637" s="14">
        <f>Table2[[#This Row],[Salary]]-Table2[[#This Row],[Taxes]]</f>
        <v>57810.3</v>
      </c>
      <c r="L637" s="15">
        <f>Table2[[#This Row],[After tax salary]]+Table2[[#This Row],[Bonus]]</f>
        <v>61255.8</v>
      </c>
    </row>
    <row r="638" spans="1:12" x14ac:dyDescent="0.25">
      <c r="A638" s="5" t="s">
        <v>272</v>
      </c>
      <c r="B638" s="5" t="s">
        <v>1</v>
      </c>
      <c r="C638" s="5" t="s">
        <v>18</v>
      </c>
      <c r="D638" s="5" t="s">
        <v>3</v>
      </c>
      <c r="E638" s="6">
        <v>40603</v>
      </c>
      <c r="F638" s="5" t="s">
        <v>21</v>
      </c>
      <c r="G638" s="10">
        <v>44260</v>
      </c>
      <c r="H638" s="7">
        <v>1</v>
      </c>
      <c r="I638" s="12">
        <f>IF(OR(Table2[[#This Row],[Rating]]=4,Table2[[#This Row],[Rating]]=5), 0.05*Table2[[#This Row],[Salary]],0)</f>
        <v>0</v>
      </c>
      <c r="J638" s="14">
        <f>VLOOKUP(Table2[[#This Row],[Salary]],'Tax rates'!A$2:C$8, 2) + VLOOKUP(Table2[[#This Row],[Salary]],'Tax rates'!A$2:C$8, 3) * (Table2[[#This Row],[Salary]] - VLOOKUP(Table2[[#This Row],[Salary]],'Tax rates'!A$2:C$8,1))</f>
        <v>5676.7</v>
      </c>
      <c r="K638" s="14">
        <f>Table2[[#This Row],[Salary]]-Table2[[#This Row],[Taxes]]</f>
        <v>38583.300000000003</v>
      </c>
      <c r="L638" s="15">
        <f>Table2[[#This Row],[After tax salary]]+Table2[[#This Row],[Bonus]]</f>
        <v>38583.300000000003</v>
      </c>
    </row>
    <row r="639" spans="1:12" x14ac:dyDescent="0.25">
      <c r="A639" s="5" t="s">
        <v>415</v>
      </c>
      <c r="B639" s="5" t="s">
        <v>1</v>
      </c>
      <c r="C639" s="5" t="s">
        <v>59</v>
      </c>
      <c r="D639" s="5" t="s">
        <v>32</v>
      </c>
      <c r="E639" s="6">
        <v>40610</v>
      </c>
      <c r="F639" s="7"/>
      <c r="G639" s="10">
        <v>36844</v>
      </c>
      <c r="H639" s="7">
        <v>4</v>
      </c>
      <c r="I639" s="12">
        <f>IF(OR(Table2[[#This Row],[Rating]]=4,Table2[[#This Row],[Rating]]=5), 0.05*Table2[[#This Row],[Salary]],0)</f>
        <v>1842.2</v>
      </c>
      <c r="J639" s="14">
        <f>VLOOKUP(Table2[[#This Row],[Salary]],'Tax rates'!A$2:C$8, 2) + VLOOKUP(Table2[[#This Row],[Salary]],'Tax rates'!A$2:C$8, 3) * (Table2[[#This Row],[Salary]] - VLOOKUP(Table2[[#This Row],[Salary]],'Tax rates'!A$2:C$8,1))</f>
        <v>4230.78</v>
      </c>
      <c r="K639" s="14">
        <f>Table2[[#This Row],[Salary]]-Table2[[#This Row],[Taxes]]</f>
        <v>32613.22</v>
      </c>
      <c r="L639" s="15">
        <f>Table2[[#This Row],[After tax salary]]+Table2[[#This Row],[Bonus]]</f>
        <v>34455.42</v>
      </c>
    </row>
    <row r="640" spans="1:12" x14ac:dyDescent="0.25">
      <c r="A640" s="5" t="s">
        <v>294</v>
      </c>
      <c r="B640" s="5" t="s">
        <v>27</v>
      </c>
      <c r="C640" s="5" t="s">
        <v>23</v>
      </c>
      <c r="D640" s="5" t="s">
        <v>16</v>
      </c>
      <c r="E640" s="6">
        <v>40620</v>
      </c>
      <c r="F640" s="7"/>
      <c r="G640" s="10">
        <v>84300</v>
      </c>
      <c r="H640" s="7">
        <v>1</v>
      </c>
      <c r="I640" s="12">
        <f>IF(OR(Table2[[#This Row],[Rating]]=4,Table2[[#This Row],[Rating]]=5), 0.05*Table2[[#This Row],[Salary]],0)</f>
        <v>0</v>
      </c>
      <c r="J640" s="14">
        <f>VLOOKUP(Table2[[#This Row],[Salary]],'Tax rates'!A$2:C$8, 2) + VLOOKUP(Table2[[#This Row],[Salary]],'Tax rates'!A$2:C$8, 3) * (Table2[[#This Row],[Salary]] - VLOOKUP(Table2[[#This Row],[Salary]],'Tax rates'!A$2:C$8,1))</f>
        <v>14521.5</v>
      </c>
      <c r="K640" s="14">
        <f>Table2[[#This Row],[Salary]]-Table2[[#This Row],[Taxes]]</f>
        <v>69778.5</v>
      </c>
      <c r="L640" s="15">
        <f>Table2[[#This Row],[After tax salary]]+Table2[[#This Row],[Bonus]]</f>
        <v>69778.5</v>
      </c>
    </row>
    <row r="641" spans="1:12" x14ac:dyDescent="0.25">
      <c r="A641" s="5" t="s">
        <v>121</v>
      </c>
      <c r="B641" s="5" t="s">
        <v>6</v>
      </c>
      <c r="C641" s="5" t="s">
        <v>30</v>
      </c>
      <c r="D641" s="5" t="s">
        <v>3</v>
      </c>
      <c r="E641" s="6">
        <v>40624</v>
      </c>
      <c r="F641" s="5" t="s">
        <v>9</v>
      </c>
      <c r="G641" s="10">
        <v>86500</v>
      </c>
      <c r="H641" s="7">
        <v>1</v>
      </c>
      <c r="I641" s="12">
        <f>IF(OR(Table2[[#This Row],[Rating]]=4,Table2[[#This Row],[Rating]]=5), 0.05*Table2[[#This Row],[Salary]],0)</f>
        <v>0</v>
      </c>
      <c r="J641" s="14">
        <f>VLOOKUP(Table2[[#This Row],[Salary]],'Tax rates'!A$2:C$8, 2) + VLOOKUP(Table2[[#This Row],[Salary]],'Tax rates'!A$2:C$8, 3) * (Table2[[#This Row],[Salary]] - VLOOKUP(Table2[[#This Row],[Salary]],'Tax rates'!A$2:C$8,1))</f>
        <v>15049.5</v>
      </c>
      <c r="K641" s="14">
        <f>Table2[[#This Row],[Salary]]-Table2[[#This Row],[Taxes]]</f>
        <v>71450.5</v>
      </c>
      <c r="L641" s="15">
        <f>Table2[[#This Row],[After tax salary]]+Table2[[#This Row],[Bonus]]</f>
        <v>71450.5</v>
      </c>
    </row>
    <row r="642" spans="1:12" x14ac:dyDescent="0.25">
      <c r="A642" s="5" t="s">
        <v>350</v>
      </c>
      <c r="B642" s="5" t="s">
        <v>6</v>
      </c>
      <c r="C642" s="5" t="s">
        <v>59</v>
      </c>
      <c r="D642" s="5" t="s">
        <v>24</v>
      </c>
      <c r="E642" s="6">
        <v>40624</v>
      </c>
      <c r="F642" s="5" t="s">
        <v>21</v>
      </c>
      <c r="G642" s="10">
        <v>13090</v>
      </c>
      <c r="H642" s="7">
        <v>4</v>
      </c>
      <c r="I642" s="12">
        <f>IF(OR(Table2[[#This Row],[Rating]]=4,Table2[[#This Row],[Rating]]=5), 0.05*Table2[[#This Row],[Salary]],0)</f>
        <v>654.5</v>
      </c>
      <c r="J642" s="14">
        <f>VLOOKUP(Table2[[#This Row],[Salary]],'Tax rates'!A$2:C$8, 2) + VLOOKUP(Table2[[#This Row],[Salary]],'Tax rates'!A$2:C$8, 3) * (Table2[[#This Row],[Salary]] - VLOOKUP(Table2[[#This Row],[Salary]],'Tax rates'!A$2:C$8,1))</f>
        <v>1380.3</v>
      </c>
      <c r="K642" s="14">
        <f>Table2[[#This Row],[Salary]]-Table2[[#This Row],[Taxes]]</f>
        <v>11709.7</v>
      </c>
      <c r="L642" s="15">
        <f>Table2[[#This Row],[After tax salary]]+Table2[[#This Row],[Bonus]]</f>
        <v>12364.2</v>
      </c>
    </row>
    <row r="643" spans="1:12" x14ac:dyDescent="0.25">
      <c r="A643" s="5" t="s">
        <v>405</v>
      </c>
      <c r="B643" s="5" t="s">
        <v>6</v>
      </c>
      <c r="C643" s="5" t="s">
        <v>63</v>
      </c>
      <c r="D643" s="5" t="s">
        <v>3</v>
      </c>
      <c r="E643" s="6">
        <v>40625</v>
      </c>
      <c r="F643" s="5" t="s">
        <v>9</v>
      </c>
      <c r="G643" s="10">
        <v>35320</v>
      </c>
      <c r="H643" s="7">
        <v>3</v>
      </c>
      <c r="I643" s="12">
        <f>IF(OR(Table2[[#This Row],[Rating]]=4,Table2[[#This Row],[Rating]]=5), 0.05*Table2[[#This Row],[Salary]],0)</f>
        <v>0</v>
      </c>
      <c r="J643" s="14">
        <f>VLOOKUP(Table2[[#This Row],[Salary]],'Tax rates'!A$2:C$8, 2) + VLOOKUP(Table2[[#This Row],[Salary]],'Tax rates'!A$2:C$8, 3) * (Table2[[#This Row],[Salary]] - VLOOKUP(Table2[[#This Row],[Salary]],'Tax rates'!A$2:C$8,1))</f>
        <v>4047.9</v>
      </c>
      <c r="K643" s="14">
        <f>Table2[[#This Row],[Salary]]-Table2[[#This Row],[Taxes]]</f>
        <v>31272.1</v>
      </c>
      <c r="L643" s="15">
        <f>Table2[[#This Row],[After tax salary]]+Table2[[#This Row],[Bonus]]</f>
        <v>31272.1</v>
      </c>
    </row>
    <row r="644" spans="1:12" x14ac:dyDescent="0.25">
      <c r="A644" s="5" t="s">
        <v>103</v>
      </c>
      <c r="B644" s="5" t="s">
        <v>6</v>
      </c>
      <c r="C644" s="5" t="s">
        <v>18</v>
      </c>
      <c r="D644" s="5" t="s">
        <v>3</v>
      </c>
      <c r="E644" s="6">
        <v>40634</v>
      </c>
      <c r="F644" s="5" t="s">
        <v>4</v>
      </c>
      <c r="G644" s="10">
        <v>47440</v>
      </c>
      <c r="H644" s="7">
        <v>3</v>
      </c>
      <c r="I644" s="12">
        <f>IF(OR(Table2[[#This Row],[Rating]]=4,Table2[[#This Row],[Rating]]=5), 0.05*Table2[[#This Row],[Salary]],0)</f>
        <v>0</v>
      </c>
      <c r="J644" s="14">
        <f>VLOOKUP(Table2[[#This Row],[Salary]],'Tax rates'!A$2:C$8, 2) + VLOOKUP(Table2[[#This Row],[Salary]],'Tax rates'!A$2:C$8, 3) * (Table2[[#This Row],[Salary]] - VLOOKUP(Table2[[#This Row],[Salary]],'Tax rates'!A$2:C$8,1))</f>
        <v>6376.3</v>
      </c>
      <c r="K644" s="14">
        <f>Table2[[#This Row],[Salary]]-Table2[[#This Row],[Taxes]]</f>
        <v>41063.699999999997</v>
      </c>
      <c r="L644" s="15">
        <f>Table2[[#This Row],[After tax salary]]+Table2[[#This Row],[Bonus]]</f>
        <v>41063.699999999997</v>
      </c>
    </row>
    <row r="645" spans="1:12" x14ac:dyDescent="0.25">
      <c r="A645" s="5" t="s">
        <v>368</v>
      </c>
      <c r="B645" s="5" t="s">
        <v>6</v>
      </c>
      <c r="C645" s="5" t="s">
        <v>35</v>
      </c>
      <c r="D645" s="5" t="s">
        <v>3</v>
      </c>
      <c r="E645" s="6">
        <v>40637</v>
      </c>
      <c r="F645" s="5" t="s">
        <v>4</v>
      </c>
      <c r="G645" s="10">
        <v>86640</v>
      </c>
      <c r="H645" s="7">
        <v>3</v>
      </c>
      <c r="I645" s="12">
        <f>IF(OR(Table2[[#This Row],[Rating]]=4,Table2[[#This Row],[Rating]]=5), 0.05*Table2[[#This Row],[Salary]],0)</f>
        <v>0</v>
      </c>
      <c r="J645" s="14">
        <f>VLOOKUP(Table2[[#This Row],[Salary]],'Tax rates'!A$2:C$8, 2) + VLOOKUP(Table2[[#This Row],[Salary]],'Tax rates'!A$2:C$8, 3) * (Table2[[#This Row],[Salary]] - VLOOKUP(Table2[[#This Row],[Salary]],'Tax rates'!A$2:C$8,1))</f>
        <v>15083.1</v>
      </c>
      <c r="K645" s="14">
        <f>Table2[[#This Row],[Salary]]-Table2[[#This Row],[Taxes]]</f>
        <v>71556.899999999994</v>
      </c>
      <c r="L645" s="15">
        <f>Table2[[#This Row],[After tax salary]]+Table2[[#This Row],[Bonus]]</f>
        <v>71556.899999999994</v>
      </c>
    </row>
    <row r="646" spans="1:12" x14ac:dyDescent="0.25">
      <c r="A646" s="5" t="s">
        <v>145</v>
      </c>
      <c r="B646" s="5" t="s">
        <v>27</v>
      </c>
      <c r="C646" s="5" t="s">
        <v>35</v>
      </c>
      <c r="D646" s="5" t="s">
        <v>16</v>
      </c>
      <c r="E646" s="6">
        <v>40638</v>
      </c>
      <c r="F646" s="7"/>
      <c r="G646" s="10">
        <v>42990</v>
      </c>
      <c r="H646" s="7">
        <v>4</v>
      </c>
      <c r="I646" s="12">
        <f>IF(OR(Table2[[#This Row],[Rating]]=4,Table2[[#This Row],[Rating]]=5), 0.05*Table2[[#This Row],[Salary]],0)</f>
        <v>2149.5</v>
      </c>
      <c r="J646" s="14">
        <f>VLOOKUP(Table2[[#This Row],[Salary]],'Tax rates'!A$2:C$8, 2) + VLOOKUP(Table2[[#This Row],[Salary]],'Tax rates'!A$2:C$8, 3) * (Table2[[#This Row],[Salary]] - VLOOKUP(Table2[[#This Row],[Salary]],'Tax rates'!A$2:C$8,1))</f>
        <v>5397.3</v>
      </c>
      <c r="K646" s="14">
        <f>Table2[[#This Row],[Salary]]-Table2[[#This Row],[Taxes]]</f>
        <v>37592.699999999997</v>
      </c>
      <c r="L646" s="15">
        <f>Table2[[#This Row],[After tax salary]]+Table2[[#This Row],[Bonus]]</f>
        <v>39742.199999999997</v>
      </c>
    </row>
    <row r="647" spans="1:12" x14ac:dyDescent="0.25">
      <c r="A647" s="5" t="s">
        <v>525</v>
      </c>
      <c r="B647" s="5" t="s">
        <v>13</v>
      </c>
      <c r="C647" s="5" t="s">
        <v>75</v>
      </c>
      <c r="D647" s="5" t="s">
        <v>3</v>
      </c>
      <c r="E647" s="6">
        <v>40653</v>
      </c>
      <c r="F647" s="5" t="s">
        <v>9</v>
      </c>
      <c r="G647" s="10">
        <v>49810</v>
      </c>
      <c r="H647" s="7">
        <v>2</v>
      </c>
      <c r="I647" s="12">
        <f>IF(OR(Table2[[#This Row],[Rating]]=4,Table2[[#This Row],[Rating]]=5), 0.05*Table2[[#This Row],[Salary]],0)</f>
        <v>0</v>
      </c>
      <c r="J647" s="14">
        <f>VLOOKUP(Table2[[#This Row],[Salary]],'Tax rates'!A$2:C$8, 2) + VLOOKUP(Table2[[#This Row],[Salary]],'Tax rates'!A$2:C$8, 3) * (Table2[[#This Row],[Salary]] - VLOOKUP(Table2[[#This Row],[Salary]],'Tax rates'!A$2:C$8,1))</f>
        <v>6897.7</v>
      </c>
      <c r="K647" s="14">
        <f>Table2[[#This Row],[Salary]]-Table2[[#This Row],[Taxes]]</f>
        <v>42912.3</v>
      </c>
      <c r="L647" s="15">
        <f>Table2[[#This Row],[After tax salary]]+Table2[[#This Row],[Bonus]]</f>
        <v>42912.3</v>
      </c>
    </row>
    <row r="648" spans="1:12" x14ac:dyDescent="0.25">
      <c r="A648" s="5" t="s">
        <v>549</v>
      </c>
      <c r="B648" s="5" t="s">
        <v>1</v>
      </c>
      <c r="C648" s="5" t="s">
        <v>63</v>
      </c>
      <c r="D648" s="5" t="s">
        <v>24</v>
      </c>
      <c r="E648" s="6">
        <v>40654</v>
      </c>
      <c r="F648" s="5" t="s">
        <v>9</v>
      </c>
      <c r="G648" s="10">
        <v>16015</v>
      </c>
      <c r="H648" s="7">
        <v>3</v>
      </c>
      <c r="I648" s="12">
        <f>IF(OR(Table2[[#This Row],[Rating]]=4,Table2[[#This Row],[Rating]]=5), 0.05*Table2[[#This Row],[Salary]],0)</f>
        <v>0</v>
      </c>
      <c r="J648" s="14">
        <f>VLOOKUP(Table2[[#This Row],[Salary]],'Tax rates'!A$2:C$8, 2) + VLOOKUP(Table2[[#This Row],[Salary]],'Tax rates'!A$2:C$8, 3) * (Table2[[#This Row],[Salary]] - VLOOKUP(Table2[[#This Row],[Salary]],'Tax rates'!A$2:C$8,1))</f>
        <v>1731.3</v>
      </c>
      <c r="K648" s="14">
        <f>Table2[[#This Row],[Salary]]-Table2[[#This Row],[Taxes]]</f>
        <v>14283.7</v>
      </c>
      <c r="L648" s="15">
        <f>Table2[[#This Row],[After tax salary]]+Table2[[#This Row],[Bonus]]</f>
        <v>14283.7</v>
      </c>
    </row>
    <row r="649" spans="1:12" x14ac:dyDescent="0.25">
      <c r="A649" s="5" t="s">
        <v>434</v>
      </c>
      <c r="B649" s="5" t="s">
        <v>6</v>
      </c>
      <c r="C649" s="5" t="s">
        <v>30</v>
      </c>
      <c r="D649" s="5" t="s">
        <v>3</v>
      </c>
      <c r="E649" s="6">
        <v>40666</v>
      </c>
      <c r="F649" s="5" t="s">
        <v>4</v>
      </c>
      <c r="G649" s="10">
        <v>24090</v>
      </c>
      <c r="H649" s="7">
        <v>4</v>
      </c>
      <c r="I649" s="12">
        <f>IF(OR(Table2[[#This Row],[Rating]]=4,Table2[[#This Row],[Rating]]=5), 0.05*Table2[[#This Row],[Salary]],0)</f>
        <v>1204.5</v>
      </c>
      <c r="J649" s="14">
        <f>VLOOKUP(Table2[[#This Row],[Salary]],'Tax rates'!A$2:C$8, 2) + VLOOKUP(Table2[[#This Row],[Salary]],'Tax rates'!A$2:C$8, 3) * (Table2[[#This Row],[Salary]] - VLOOKUP(Table2[[#This Row],[Salary]],'Tax rates'!A$2:C$8,1))</f>
        <v>2700.3</v>
      </c>
      <c r="K649" s="14">
        <f>Table2[[#This Row],[Salary]]-Table2[[#This Row],[Taxes]]</f>
        <v>21389.7</v>
      </c>
      <c r="L649" s="15">
        <f>Table2[[#This Row],[After tax salary]]+Table2[[#This Row],[Bonus]]</f>
        <v>22594.2</v>
      </c>
    </row>
    <row r="650" spans="1:12" x14ac:dyDescent="0.25">
      <c r="A650" s="5" t="s">
        <v>760</v>
      </c>
      <c r="B650" s="5" t="s">
        <v>6</v>
      </c>
      <c r="C650" s="5" t="s">
        <v>18</v>
      </c>
      <c r="D650" s="5" t="s">
        <v>16</v>
      </c>
      <c r="E650" s="6">
        <v>40680</v>
      </c>
      <c r="F650" s="7"/>
      <c r="G650" s="10">
        <v>57110</v>
      </c>
      <c r="H650" s="7">
        <v>3</v>
      </c>
      <c r="I650" s="12">
        <f>IF(OR(Table2[[#This Row],[Rating]]=4,Table2[[#This Row],[Rating]]=5), 0.05*Table2[[#This Row],[Salary]],0)</f>
        <v>0</v>
      </c>
      <c r="J650" s="14">
        <f>VLOOKUP(Table2[[#This Row],[Salary]],'Tax rates'!A$2:C$8, 2) + VLOOKUP(Table2[[#This Row],[Salary]],'Tax rates'!A$2:C$8, 3) * (Table2[[#This Row],[Salary]] - VLOOKUP(Table2[[#This Row],[Salary]],'Tax rates'!A$2:C$8,1))</f>
        <v>8503.7000000000007</v>
      </c>
      <c r="K650" s="14">
        <f>Table2[[#This Row],[Salary]]-Table2[[#This Row],[Taxes]]</f>
        <v>48606.3</v>
      </c>
      <c r="L650" s="15">
        <f>Table2[[#This Row],[After tax salary]]+Table2[[#This Row],[Bonus]]</f>
        <v>48606.3</v>
      </c>
    </row>
    <row r="651" spans="1:12" x14ac:dyDescent="0.25">
      <c r="A651" s="5" t="s">
        <v>642</v>
      </c>
      <c r="B651" s="5" t="s">
        <v>6</v>
      </c>
      <c r="C651" s="5" t="s">
        <v>35</v>
      </c>
      <c r="D651" s="5" t="s">
        <v>3</v>
      </c>
      <c r="E651" s="6">
        <v>40680</v>
      </c>
      <c r="F651" s="5" t="s">
        <v>9</v>
      </c>
      <c r="G651" s="10">
        <v>40260</v>
      </c>
      <c r="H651" s="7">
        <v>5</v>
      </c>
      <c r="I651" s="12">
        <f>IF(OR(Table2[[#This Row],[Rating]]=4,Table2[[#This Row],[Rating]]=5), 0.05*Table2[[#This Row],[Salary]],0)</f>
        <v>2013</v>
      </c>
      <c r="J651" s="14">
        <f>VLOOKUP(Table2[[#This Row],[Salary]],'Tax rates'!A$2:C$8, 2) + VLOOKUP(Table2[[#This Row],[Salary]],'Tax rates'!A$2:C$8, 3) * (Table2[[#This Row],[Salary]] - VLOOKUP(Table2[[#This Row],[Salary]],'Tax rates'!A$2:C$8,1))</f>
        <v>4796.7</v>
      </c>
      <c r="K651" s="14">
        <f>Table2[[#This Row],[Salary]]-Table2[[#This Row],[Taxes]]</f>
        <v>35463.300000000003</v>
      </c>
      <c r="L651" s="15">
        <f>Table2[[#This Row],[After tax salary]]+Table2[[#This Row],[Bonus]]</f>
        <v>37476.300000000003</v>
      </c>
    </row>
    <row r="652" spans="1:12" x14ac:dyDescent="0.25">
      <c r="A652" s="5" t="s">
        <v>500</v>
      </c>
      <c r="B652" s="5" t="s">
        <v>6</v>
      </c>
      <c r="C652" s="5" t="s">
        <v>35</v>
      </c>
      <c r="D652" s="5" t="s">
        <v>3</v>
      </c>
      <c r="E652" s="6">
        <v>40680</v>
      </c>
      <c r="F652" s="5" t="s">
        <v>4</v>
      </c>
      <c r="G652" s="10">
        <v>23030</v>
      </c>
      <c r="H652" s="7">
        <v>4</v>
      </c>
      <c r="I652" s="12">
        <f>IF(OR(Table2[[#This Row],[Rating]]=4,Table2[[#This Row],[Rating]]=5), 0.05*Table2[[#This Row],[Salary]],0)</f>
        <v>1151.5</v>
      </c>
      <c r="J652" s="14">
        <f>VLOOKUP(Table2[[#This Row],[Salary]],'Tax rates'!A$2:C$8, 2) + VLOOKUP(Table2[[#This Row],[Salary]],'Tax rates'!A$2:C$8, 3) * (Table2[[#This Row],[Salary]] - VLOOKUP(Table2[[#This Row],[Salary]],'Tax rates'!A$2:C$8,1))</f>
        <v>2573.1</v>
      </c>
      <c r="K652" s="14">
        <f>Table2[[#This Row],[Salary]]-Table2[[#This Row],[Taxes]]</f>
        <v>20456.900000000001</v>
      </c>
      <c r="L652" s="15">
        <f>Table2[[#This Row],[After tax salary]]+Table2[[#This Row],[Bonus]]</f>
        <v>21608.400000000001</v>
      </c>
    </row>
    <row r="653" spans="1:12" x14ac:dyDescent="0.25">
      <c r="A653" s="5" t="s">
        <v>618</v>
      </c>
      <c r="B653" s="5" t="s">
        <v>6</v>
      </c>
      <c r="C653" s="5" t="s">
        <v>92</v>
      </c>
      <c r="D653" s="5" t="s">
        <v>3</v>
      </c>
      <c r="E653" s="6">
        <v>40690</v>
      </c>
      <c r="F653" s="5" t="s">
        <v>4</v>
      </c>
      <c r="G653" s="10">
        <v>89140</v>
      </c>
      <c r="H653" s="7">
        <v>1</v>
      </c>
      <c r="I653" s="12">
        <f>IF(OR(Table2[[#This Row],[Rating]]=4,Table2[[#This Row],[Rating]]=5), 0.05*Table2[[#This Row],[Salary]],0)</f>
        <v>0</v>
      </c>
      <c r="J653" s="14">
        <f>VLOOKUP(Table2[[#This Row],[Salary]],'Tax rates'!A$2:C$8, 2) + VLOOKUP(Table2[[#This Row],[Salary]],'Tax rates'!A$2:C$8, 3) * (Table2[[#This Row],[Salary]] - VLOOKUP(Table2[[#This Row],[Salary]],'Tax rates'!A$2:C$8,1))</f>
        <v>15683.1</v>
      </c>
      <c r="K653" s="14">
        <f>Table2[[#This Row],[Salary]]-Table2[[#This Row],[Taxes]]</f>
        <v>73456.899999999994</v>
      </c>
      <c r="L653" s="15">
        <f>Table2[[#This Row],[After tax salary]]+Table2[[#This Row],[Bonus]]</f>
        <v>73456.899999999994</v>
      </c>
    </row>
    <row r="654" spans="1:12" x14ac:dyDescent="0.25">
      <c r="A654" s="5" t="s">
        <v>190</v>
      </c>
      <c r="B654" s="5" t="s">
        <v>13</v>
      </c>
      <c r="C654" s="5" t="s">
        <v>46</v>
      </c>
      <c r="D654" s="5" t="s">
        <v>16</v>
      </c>
      <c r="E654" s="6">
        <v>40692</v>
      </c>
      <c r="F654" s="7"/>
      <c r="G654" s="10">
        <v>85510</v>
      </c>
      <c r="H654" s="7">
        <v>4</v>
      </c>
      <c r="I654" s="12">
        <f>IF(OR(Table2[[#This Row],[Rating]]=4,Table2[[#This Row],[Rating]]=5), 0.05*Table2[[#This Row],[Salary]],0)</f>
        <v>4275.5</v>
      </c>
      <c r="J654" s="14">
        <f>VLOOKUP(Table2[[#This Row],[Salary]],'Tax rates'!A$2:C$8, 2) + VLOOKUP(Table2[[#This Row],[Salary]],'Tax rates'!A$2:C$8, 3) * (Table2[[#This Row],[Salary]] - VLOOKUP(Table2[[#This Row],[Salary]],'Tax rates'!A$2:C$8,1))</f>
        <v>14811.9</v>
      </c>
      <c r="K654" s="14">
        <f>Table2[[#This Row],[Salary]]-Table2[[#This Row],[Taxes]]</f>
        <v>70698.100000000006</v>
      </c>
      <c r="L654" s="15">
        <f>Table2[[#This Row],[After tax salary]]+Table2[[#This Row],[Bonus]]</f>
        <v>74973.600000000006</v>
      </c>
    </row>
    <row r="655" spans="1:12" x14ac:dyDescent="0.25">
      <c r="A655" s="5" t="s">
        <v>310</v>
      </c>
      <c r="B655" s="5" t="s">
        <v>1</v>
      </c>
      <c r="C655" s="5" t="s">
        <v>35</v>
      </c>
      <c r="D655" s="5" t="s">
        <v>24</v>
      </c>
      <c r="E655" s="6">
        <v>40696</v>
      </c>
      <c r="F655" s="5" t="s">
        <v>11</v>
      </c>
      <c r="G655" s="10">
        <v>13455</v>
      </c>
      <c r="H655" s="7">
        <v>2</v>
      </c>
      <c r="I655" s="12">
        <f>IF(OR(Table2[[#This Row],[Rating]]=4,Table2[[#This Row],[Rating]]=5), 0.05*Table2[[#This Row],[Salary]],0)</f>
        <v>0</v>
      </c>
      <c r="J655" s="14">
        <f>VLOOKUP(Table2[[#This Row],[Salary]],'Tax rates'!A$2:C$8, 2) + VLOOKUP(Table2[[#This Row],[Salary]],'Tax rates'!A$2:C$8, 3) * (Table2[[#This Row],[Salary]] - VLOOKUP(Table2[[#This Row],[Salary]],'Tax rates'!A$2:C$8,1))</f>
        <v>1424.1</v>
      </c>
      <c r="K655" s="14">
        <f>Table2[[#This Row],[Salary]]-Table2[[#This Row],[Taxes]]</f>
        <v>12030.9</v>
      </c>
      <c r="L655" s="15">
        <f>Table2[[#This Row],[After tax salary]]+Table2[[#This Row],[Bonus]]</f>
        <v>12030.9</v>
      </c>
    </row>
    <row r="656" spans="1:12" x14ac:dyDescent="0.25">
      <c r="A656" s="5" t="s">
        <v>495</v>
      </c>
      <c r="B656" s="5" t="s">
        <v>13</v>
      </c>
      <c r="C656" s="5" t="s">
        <v>35</v>
      </c>
      <c r="D656" s="5" t="s">
        <v>16</v>
      </c>
      <c r="E656" s="6">
        <v>40706</v>
      </c>
      <c r="F656" s="7"/>
      <c r="G656" s="10">
        <v>34680</v>
      </c>
      <c r="H656" s="7">
        <v>5</v>
      </c>
      <c r="I656" s="12">
        <f>IF(OR(Table2[[#This Row],[Rating]]=4,Table2[[#This Row],[Rating]]=5), 0.05*Table2[[#This Row],[Salary]],0)</f>
        <v>1734</v>
      </c>
      <c r="J656" s="14">
        <f>VLOOKUP(Table2[[#This Row],[Salary]],'Tax rates'!A$2:C$8, 2) + VLOOKUP(Table2[[#This Row],[Salary]],'Tax rates'!A$2:C$8, 3) * (Table2[[#This Row],[Salary]] - VLOOKUP(Table2[[#This Row],[Salary]],'Tax rates'!A$2:C$8,1))</f>
        <v>3971.1</v>
      </c>
      <c r="K656" s="14">
        <f>Table2[[#This Row],[Salary]]-Table2[[#This Row],[Taxes]]</f>
        <v>30708.9</v>
      </c>
      <c r="L656" s="15">
        <f>Table2[[#This Row],[After tax salary]]+Table2[[#This Row],[Bonus]]</f>
        <v>32442.9</v>
      </c>
    </row>
    <row r="657" spans="1:12" x14ac:dyDescent="0.25">
      <c r="A657" s="5" t="s">
        <v>617</v>
      </c>
      <c r="B657" s="5" t="s">
        <v>6</v>
      </c>
      <c r="C657" s="5" t="s">
        <v>30</v>
      </c>
      <c r="D657" s="5" t="s">
        <v>16</v>
      </c>
      <c r="E657" s="6">
        <v>40707</v>
      </c>
      <c r="F657" s="7"/>
      <c r="G657" s="10">
        <v>79380</v>
      </c>
      <c r="H657" s="7">
        <v>1</v>
      </c>
      <c r="I657" s="12">
        <f>IF(OR(Table2[[#This Row],[Rating]]=4,Table2[[#This Row],[Rating]]=5), 0.05*Table2[[#This Row],[Salary]],0)</f>
        <v>0</v>
      </c>
      <c r="J657" s="14">
        <f>VLOOKUP(Table2[[#This Row],[Salary]],'Tax rates'!A$2:C$8, 2) + VLOOKUP(Table2[[#This Row],[Salary]],'Tax rates'!A$2:C$8, 3) * (Table2[[#This Row],[Salary]] - VLOOKUP(Table2[[#This Row],[Salary]],'Tax rates'!A$2:C$8,1))</f>
        <v>13403.1</v>
      </c>
      <c r="K657" s="14">
        <f>Table2[[#This Row],[Salary]]-Table2[[#This Row],[Taxes]]</f>
        <v>65976.899999999994</v>
      </c>
      <c r="L657" s="15">
        <f>Table2[[#This Row],[After tax salary]]+Table2[[#This Row],[Bonus]]</f>
        <v>65976.899999999994</v>
      </c>
    </row>
    <row r="658" spans="1:12" x14ac:dyDescent="0.25">
      <c r="A658" s="5" t="s">
        <v>299</v>
      </c>
      <c r="B658" s="5" t="s">
        <v>6</v>
      </c>
      <c r="C658" s="5" t="s">
        <v>8</v>
      </c>
      <c r="D658" s="5" t="s">
        <v>3</v>
      </c>
      <c r="E658" s="6">
        <v>40710</v>
      </c>
      <c r="F658" s="5" t="s">
        <v>11</v>
      </c>
      <c r="G658" s="10">
        <v>32140</v>
      </c>
      <c r="H658" s="7">
        <v>2</v>
      </c>
      <c r="I658" s="12">
        <f>IF(OR(Table2[[#This Row],[Rating]]=4,Table2[[#This Row],[Rating]]=5), 0.05*Table2[[#This Row],[Salary]],0)</f>
        <v>0</v>
      </c>
      <c r="J658" s="14">
        <f>VLOOKUP(Table2[[#This Row],[Salary]],'Tax rates'!A$2:C$8, 2) + VLOOKUP(Table2[[#This Row],[Salary]],'Tax rates'!A$2:C$8, 3) * (Table2[[#This Row],[Salary]] - VLOOKUP(Table2[[#This Row],[Salary]],'Tax rates'!A$2:C$8,1))</f>
        <v>3666.2999999999997</v>
      </c>
      <c r="K658" s="14">
        <f>Table2[[#This Row],[Salary]]-Table2[[#This Row],[Taxes]]</f>
        <v>28473.7</v>
      </c>
      <c r="L658" s="15">
        <f>Table2[[#This Row],[After tax salary]]+Table2[[#This Row],[Bonus]]</f>
        <v>28473.7</v>
      </c>
    </row>
    <row r="659" spans="1:12" x14ac:dyDescent="0.25">
      <c r="A659" s="5" t="s">
        <v>306</v>
      </c>
      <c r="B659" s="5" t="s">
        <v>27</v>
      </c>
      <c r="C659" s="5" t="s">
        <v>59</v>
      </c>
      <c r="D659" s="5" t="s">
        <v>3</v>
      </c>
      <c r="E659" s="6">
        <v>40712</v>
      </c>
      <c r="F659" s="5" t="s">
        <v>4</v>
      </c>
      <c r="G659" s="10">
        <v>22900</v>
      </c>
      <c r="H659" s="7">
        <v>1</v>
      </c>
      <c r="I659" s="12">
        <f>IF(OR(Table2[[#This Row],[Rating]]=4,Table2[[#This Row],[Rating]]=5), 0.05*Table2[[#This Row],[Salary]],0)</f>
        <v>0</v>
      </c>
      <c r="J659" s="14">
        <f>VLOOKUP(Table2[[#This Row],[Salary]],'Tax rates'!A$2:C$8, 2) + VLOOKUP(Table2[[#This Row],[Salary]],'Tax rates'!A$2:C$8, 3) * (Table2[[#This Row],[Salary]] - VLOOKUP(Table2[[#This Row],[Salary]],'Tax rates'!A$2:C$8,1))</f>
        <v>2557.5</v>
      </c>
      <c r="K659" s="14">
        <f>Table2[[#This Row],[Salary]]-Table2[[#This Row],[Taxes]]</f>
        <v>20342.5</v>
      </c>
      <c r="L659" s="15">
        <f>Table2[[#This Row],[After tax salary]]+Table2[[#This Row],[Bonus]]</f>
        <v>20342.5</v>
      </c>
    </row>
    <row r="660" spans="1:12" x14ac:dyDescent="0.25">
      <c r="A660" s="5" t="s">
        <v>535</v>
      </c>
      <c r="B660" s="5" t="s">
        <v>51</v>
      </c>
      <c r="C660" s="5" t="s">
        <v>35</v>
      </c>
      <c r="D660" s="5" t="s">
        <v>16</v>
      </c>
      <c r="E660" s="6">
        <v>40718</v>
      </c>
      <c r="F660" s="7"/>
      <c r="G660" s="10">
        <v>26020</v>
      </c>
      <c r="H660" s="7">
        <v>5</v>
      </c>
      <c r="I660" s="12">
        <f>IF(OR(Table2[[#This Row],[Rating]]=4,Table2[[#This Row],[Rating]]=5), 0.05*Table2[[#This Row],[Salary]],0)</f>
        <v>1301</v>
      </c>
      <c r="J660" s="14">
        <f>VLOOKUP(Table2[[#This Row],[Salary]],'Tax rates'!A$2:C$8, 2) + VLOOKUP(Table2[[#This Row],[Salary]],'Tax rates'!A$2:C$8, 3) * (Table2[[#This Row],[Salary]] - VLOOKUP(Table2[[#This Row],[Salary]],'Tax rates'!A$2:C$8,1))</f>
        <v>2931.8999999999996</v>
      </c>
      <c r="K660" s="14">
        <f>Table2[[#This Row],[Salary]]-Table2[[#This Row],[Taxes]]</f>
        <v>23088.1</v>
      </c>
      <c r="L660" s="15">
        <f>Table2[[#This Row],[After tax salary]]+Table2[[#This Row],[Bonus]]</f>
        <v>24389.1</v>
      </c>
    </row>
    <row r="661" spans="1:12" x14ac:dyDescent="0.25">
      <c r="A661" s="5" t="s">
        <v>552</v>
      </c>
      <c r="B661" s="5" t="s">
        <v>6</v>
      </c>
      <c r="C661" s="5" t="s">
        <v>46</v>
      </c>
      <c r="D661" s="5" t="s">
        <v>16</v>
      </c>
      <c r="E661" s="6">
        <v>40719</v>
      </c>
      <c r="F661" s="7"/>
      <c r="G661" s="10">
        <v>66132</v>
      </c>
      <c r="H661" s="7">
        <v>4</v>
      </c>
      <c r="I661" s="12">
        <f>IF(OR(Table2[[#This Row],[Rating]]=4,Table2[[#This Row],[Rating]]=5), 0.05*Table2[[#This Row],[Salary]],0)</f>
        <v>3306.6000000000004</v>
      </c>
      <c r="J661" s="14">
        <f>VLOOKUP(Table2[[#This Row],[Salary]],'Tax rates'!A$2:C$8, 2) + VLOOKUP(Table2[[#This Row],[Salary]],'Tax rates'!A$2:C$8, 3) * (Table2[[#This Row],[Salary]] - VLOOKUP(Table2[[#This Row],[Salary]],'Tax rates'!A$2:C$8,1))</f>
        <v>10488.54</v>
      </c>
      <c r="K661" s="14">
        <f>Table2[[#This Row],[Salary]]-Table2[[#This Row],[Taxes]]</f>
        <v>55643.46</v>
      </c>
      <c r="L661" s="15">
        <f>Table2[[#This Row],[After tax salary]]+Table2[[#This Row],[Bonus]]</f>
        <v>58950.06</v>
      </c>
    </row>
    <row r="662" spans="1:12" x14ac:dyDescent="0.25">
      <c r="A662" s="5" t="s">
        <v>408</v>
      </c>
      <c r="B662" s="5" t="s">
        <v>6</v>
      </c>
      <c r="C662" s="5" t="s">
        <v>2</v>
      </c>
      <c r="D662" s="5" t="s">
        <v>16</v>
      </c>
      <c r="E662" s="6">
        <v>40726</v>
      </c>
      <c r="F662" s="7"/>
      <c r="G662" s="10">
        <v>46650</v>
      </c>
      <c r="H662" s="7">
        <v>2</v>
      </c>
      <c r="I662" s="12">
        <f>IF(OR(Table2[[#This Row],[Rating]]=4,Table2[[#This Row],[Rating]]=5), 0.05*Table2[[#This Row],[Salary]],0)</f>
        <v>0</v>
      </c>
      <c r="J662" s="14">
        <f>VLOOKUP(Table2[[#This Row],[Salary]],'Tax rates'!A$2:C$8, 2) + VLOOKUP(Table2[[#This Row],[Salary]],'Tax rates'!A$2:C$8, 3) * (Table2[[#This Row],[Salary]] - VLOOKUP(Table2[[#This Row],[Salary]],'Tax rates'!A$2:C$8,1))</f>
        <v>6202.5</v>
      </c>
      <c r="K662" s="14">
        <f>Table2[[#This Row],[Salary]]-Table2[[#This Row],[Taxes]]</f>
        <v>40447.5</v>
      </c>
      <c r="L662" s="15">
        <f>Table2[[#This Row],[After tax salary]]+Table2[[#This Row],[Bonus]]</f>
        <v>40447.5</v>
      </c>
    </row>
    <row r="663" spans="1:12" x14ac:dyDescent="0.25">
      <c r="A663" s="5" t="s">
        <v>385</v>
      </c>
      <c r="B663" s="5" t="s">
        <v>1</v>
      </c>
      <c r="C663" s="5" t="s">
        <v>8</v>
      </c>
      <c r="D663" s="5" t="s">
        <v>16</v>
      </c>
      <c r="E663" s="6">
        <v>40729</v>
      </c>
      <c r="F663" s="7"/>
      <c r="G663" s="10">
        <v>22320</v>
      </c>
      <c r="H663" s="7">
        <v>2</v>
      </c>
      <c r="I663" s="12">
        <f>IF(OR(Table2[[#This Row],[Rating]]=4,Table2[[#This Row],[Rating]]=5), 0.05*Table2[[#This Row],[Salary]],0)</f>
        <v>0</v>
      </c>
      <c r="J663" s="14">
        <f>VLOOKUP(Table2[[#This Row],[Salary]],'Tax rates'!A$2:C$8, 2) + VLOOKUP(Table2[[#This Row],[Salary]],'Tax rates'!A$2:C$8, 3) * (Table2[[#This Row],[Salary]] - VLOOKUP(Table2[[#This Row],[Salary]],'Tax rates'!A$2:C$8,1))</f>
        <v>2487.8999999999996</v>
      </c>
      <c r="K663" s="14">
        <f>Table2[[#This Row],[Salary]]-Table2[[#This Row],[Taxes]]</f>
        <v>19832.099999999999</v>
      </c>
      <c r="L663" s="15">
        <f>Table2[[#This Row],[After tax salary]]+Table2[[#This Row],[Bonus]]</f>
        <v>19832.099999999999</v>
      </c>
    </row>
    <row r="664" spans="1:12" x14ac:dyDescent="0.25">
      <c r="A664" s="5" t="s">
        <v>175</v>
      </c>
      <c r="B664" s="5" t="s">
        <v>6</v>
      </c>
      <c r="C664" s="5" t="s">
        <v>63</v>
      </c>
      <c r="D664" s="5" t="s">
        <v>3</v>
      </c>
      <c r="E664" s="6">
        <v>40745</v>
      </c>
      <c r="F664" s="5" t="s">
        <v>4</v>
      </c>
      <c r="G664" s="10">
        <v>69400</v>
      </c>
      <c r="H664" s="7">
        <v>5</v>
      </c>
      <c r="I664" s="12">
        <f>IF(OR(Table2[[#This Row],[Rating]]=4,Table2[[#This Row],[Rating]]=5), 0.05*Table2[[#This Row],[Salary]],0)</f>
        <v>3470</v>
      </c>
      <c r="J664" s="14">
        <f>VLOOKUP(Table2[[#This Row],[Salary]],'Tax rates'!A$2:C$8, 2) + VLOOKUP(Table2[[#This Row],[Salary]],'Tax rates'!A$2:C$8, 3) * (Table2[[#This Row],[Salary]] - VLOOKUP(Table2[[#This Row],[Salary]],'Tax rates'!A$2:C$8,1))</f>
        <v>11207.5</v>
      </c>
      <c r="K664" s="14">
        <f>Table2[[#This Row],[Salary]]-Table2[[#This Row],[Taxes]]</f>
        <v>58192.5</v>
      </c>
      <c r="L664" s="15">
        <f>Table2[[#This Row],[After tax salary]]+Table2[[#This Row],[Bonus]]</f>
        <v>61662.5</v>
      </c>
    </row>
    <row r="665" spans="1:12" x14ac:dyDescent="0.25">
      <c r="A665" s="5" t="s">
        <v>560</v>
      </c>
      <c r="B665" s="5" t="s">
        <v>13</v>
      </c>
      <c r="C665" s="5" t="s">
        <v>20</v>
      </c>
      <c r="D665" s="5" t="s">
        <v>3</v>
      </c>
      <c r="E665" s="6">
        <v>40752</v>
      </c>
      <c r="F665" s="5" t="s">
        <v>11</v>
      </c>
      <c r="G665" s="10">
        <v>37620</v>
      </c>
      <c r="H665" s="7">
        <v>5</v>
      </c>
      <c r="I665" s="12">
        <f>IF(OR(Table2[[#This Row],[Rating]]=4,Table2[[#This Row],[Rating]]=5), 0.05*Table2[[#This Row],[Salary]],0)</f>
        <v>1881</v>
      </c>
      <c r="J665" s="14">
        <f>VLOOKUP(Table2[[#This Row],[Salary]],'Tax rates'!A$2:C$8, 2) + VLOOKUP(Table2[[#This Row],[Salary]],'Tax rates'!A$2:C$8, 3) * (Table2[[#This Row],[Salary]] - VLOOKUP(Table2[[#This Row],[Salary]],'Tax rates'!A$2:C$8,1))</f>
        <v>4323.8999999999996</v>
      </c>
      <c r="K665" s="14">
        <f>Table2[[#This Row],[Salary]]-Table2[[#This Row],[Taxes]]</f>
        <v>33296.1</v>
      </c>
      <c r="L665" s="15">
        <f>Table2[[#This Row],[After tax salary]]+Table2[[#This Row],[Bonus]]</f>
        <v>35177.1</v>
      </c>
    </row>
    <row r="666" spans="1:12" x14ac:dyDescent="0.25">
      <c r="A666" s="5" t="s">
        <v>510</v>
      </c>
      <c r="B666" s="5" t="s">
        <v>27</v>
      </c>
      <c r="C666" s="5" t="s">
        <v>2</v>
      </c>
      <c r="D666" s="5" t="s">
        <v>3</v>
      </c>
      <c r="E666" s="6">
        <v>40759</v>
      </c>
      <c r="F666" s="5" t="s">
        <v>4</v>
      </c>
      <c r="G666" s="10">
        <v>67920</v>
      </c>
      <c r="H666" s="7">
        <v>4</v>
      </c>
      <c r="I666" s="12">
        <f>IF(OR(Table2[[#This Row],[Rating]]=4,Table2[[#This Row],[Rating]]=5), 0.05*Table2[[#This Row],[Salary]],0)</f>
        <v>3396</v>
      </c>
      <c r="J666" s="14">
        <f>VLOOKUP(Table2[[#This Row],[Salary]],'Tax rates'!A$2:C$8, 2) + VLOOKUP(Table2[[#This Row],[Salary]],'Tax rates'!A$2:C$8, 3) * (Table2[[#This Row],[Salary]] - VLOOKUP(Table2[[#This Row],[Salary]],'Tax rates'!A$2:C$8,1))</f>
        <v>10881.9</v>
      </c>
      <c r="K666" s="14">
        <f>Table2[[#This Row],[Salary]]-Table2[[#This Row],[Taxes]]</f>
        <v>57038.1</v>
      </c>
      <c r="L666" s="15">
        <f>Table2[[#This Row],[After tax salary]]+Table2[[#This Row],[Bonus]]</f>
        <v>60434.1</v>
      </c>
    </row>
    <row r="667" spans="1:12" x14ac:dyDescent="0.25">
      <c r="A667" s="5" t="s">
        <v>345</v>
      </c>
      <c r="B667" s="5" t="s">
        <v>1</v>
      </c>
      <c r="C667" s="5" t="s">
        <v>23</v>
      </c>
      <c r="D667" s="5" t="s">
        <v>3</v>
      </c>
      <c r="E667" s="6">
        <v>40762</v>
      </c>
      <c r="F667" s="5" t="s">
        <v>21</v>
      </c>
      <c r="G667" s="10">
        <v>61470</v>
      </c>
      <c r="H667" s="7">
        <v>5</v>
      </c>
      <c r="I667" s="12">
        <f>IF(OR(Table2[[#This Row],[Rating]]=4,Table2[[#This Row],[Rating]]=5), 0.05*Table2[[#This Row],[Salary]],0)</f>
        <v>3073.5</v>
      </c>
      <c r="J667" s="14">
        <f>VLOOKUP(Table2[[#This Row],[Salary]],'Tax rates'!A$2:C$8, 2) + VLOOKUP(Table2[[#This Row],[Salary]],'Tax rates'!A$2:C$8, 3) * (Table2[[#This Row],[Salary]] - VLOOKUP(Table2[[#This Row],[Salary]],'Tax rates'!A$2:C$8,1))</f>
        <v>9462.9</v>
      </c>
      <c r="K667" s="14">
        <f>Table2[[#This Row],[Salary]]-Table2[[#This Row],[Taxes]]</f>
        <v>52007.1</v>
      </c>
      <c r="L667" s="15">
        <f>Table2[[#This Row],[After tax salary]]+Table2[[#This Row],[Bonus]]</f>
        <v>55080.6</v>
      </c>
    </row>
    <row r="668" spans="1:12" x14ac:dyDescent="0.25">
      <c r="A668" s="5" t="s">
        <v>758</v>
      </c>
      <c r="B668" s="5" t="s">
        <v>6</v>
      </c>
      <c r="C668" s="5" t="s">
        <v>30</v>
      </c>
      <c r="D668" s="5" t="s">
        <v>3</v>
      </c>
      <c r="E668" s="6">
        <v>40765</v>
      </c>
      <c r="F668" s="5" t="s">
        <v>21</v>
      </c>
      <c r="G668" s="10">
        <v>77740</v>
      </c>
      <c r="H668" s="7">
        <v>1</v>
      </c>
      <c r="I668" s="12">
        <f>IF(OR(Table2[[#This Row],[Rating]]=4,Table2[[#This Row],[Rating]]=5), 0.05*Table2[[#This Row],[Salary]],0)</f>
        <v>0</v>
      </c>
      <c r="J668" s="14">
        <f>VLOOKUP(Table2[[#This Row],[Salary]],'Tax rates'!A$2:C$8, 2) + VLOOKUP(Table2[[#This Row],[Salary]],'Tax rates'!A$2:C$8, 3) * (Table2[[#This Row],[Salary]] - VLOOKUP(Table2[[#This Row],[Salary]],'Tax rates'!A$2:C$8,1))</f>
        <v>13042.3</v>
      </c>
      <c r="K668" s="14">
        <f>Table2[[#This Row],[Salary]]-Table2[[#This Row],[Taxes]]</f>
        <v>64697.7</v>
      </c>
      <c r="L668" s="15">
        <f>Table2[[#This Row],[After tax salary]]+Table2[[#This Row],[Bonus]]</f>
        <v>64697.7</v>
      </c>
    </row>
    <row r="669" spans="1:12" x14ac:dyDescent="0.25">
      <c r="A669" s="5" t="s">
        <v>740</v>
      </c>
      <c r="B669" s="5" t="s">
        <v>6</v>
      </c>
      <c r="C669" s="5" t="s">
        <v>63</v>
      </c>
      <c r="D669" s="5" t="s">
        <v>3</v>
      </c>
      <c r="E669" s="6">
        <v>40765</v>
      </c>
      <c r="F669" s="5" t="s">
        <v>11</v>
      </c>
      <c r="G669" s="10">
        <v>77720</v>
      </c>
      <c r="H669" s="7">
        <v>3</v>
      </c>
      <c r="I669" s="12">
        <f>IF(OR(Table2[[#This Row],[Rating]]=4,Table2[[#This Row],[Rating]]=5), 0.05*Table2[[#This Row],[Salary]],0)</f>
        <v>0</v>
      </c>
      <c r="J669" s="14">
        <f>VLOOKUP(Table2[[#This Row],[Salary]],'Tax rates'!A$2:C$8, 2) + VLOOKUP(Table2[[#This Row],[Salary]],'Tax rates'!A$2:C$8, 3) * (Table2[[#This Row],[Salary]] - VLOOKUP(Table2[[#This Row],[Salary]],'Tax rates'!A$2:C$8,1))</f>
        <v>13037.9</v>
      </c>
      <c r="K669" s="14">
        <f>Table2[[#This Row],[Salary]]-Table2[[#This Row],[Taxes]]</f>
        <v>64682.1</v>
      </c>
      <c r="L669" s="15">
        <f>Table2[[#This Row],[After tax salary]]+Table2[[#This Row],[Bonus]]</f>
        <v>64682.1</v>
      </c>
    </row>
    <row r="670" spans="1:12" x14ac:dyDescent="0.25">
      <c r="A670" s="5" t="s">
        <v>285</v>
      </c>
      <c r="B670" s="5" t="s">
        <v>1</v>
      </c>
      <c r="C670" s="5" t="s">
        <v>75</v>
      </c>
      <c r="D670" s="5" t="s">
        <v>24</v>
      </c>
      <c r="E670" s="6">
        <v>40777</v>
      </c>
      <c r="F670" s="5" t="s">
        <v>25</v>
      </c>
      <c r="G670" s="10">
        <v>13800</v>
      </c>
      <c r="H670" s="7">
        <v>3</v>
      </c>
      <c r="I670" s="12">
        <f>IF(OR(Table2[[#This Row],[Rating]]=4,Table2[[#This Row],[Rating]]=5), 0.05*Table2[[#This Row],[Salary]],0)</f>
        <v>0</v>
      </c>
      <c r="J670" s="14">
        <f>VLOOKUP(Table2[[#This Row],[Salary]],'Tax rates'!A$2:C$8, 2) + VLOOKUP(Table2[[#This Row],[Salary]],'Tax rates'!A$2:C$8, 3) * (Table2[[#This Row],[Salary]] - VLOOKUP(Table2[[#This Row],[Salary]],'Tax rates'!A$2:C$8,1))</f>
        <v>1465.5</v>
      </c>
      <c r="K670" s="14">
        <f>Table2[[#This Row],[Salary]]-Table2[[#This Row],[Taxes]]</f>
        <v>12334.5</v>
      </c>
      <c r="L670" s="15">
        <f>Table2[[#This Row],[After tax salary]]+Table2[[#This Row],[Bonus]]</f>
        <v>12334.5</v>
      </c>
    </row>
    <row r="671" spans="1:12" x14ac:dyDescent="0.25">
      <c r="A671" s="5" t="s">
        <v>105</v>
      </c>
      <c r="B671" s="5" t="s">
        <v>6</v>
      </c>
      <c r="C671" s="5" t="s">
        <v>106</v>
      </c>
      <c r="D671" s="5" t="s">
        <v>24</v>
      </c>
      <c r="E671" s="6">
        <v>40779</v>
      </c>
      <c r="F671" s="5" t="s">
        <v>25</v>
      </c>
      <c r="G671" s="10">
        <v>30445</v>
      </c>
      <c r="H671" s="7">
        <v>1</v>
      </c>
      <c r="I671" s="12">
        <f>IF(OR(Table2[[#This Row],[Rating]]=4,Table2[[#This Row],[Rating]]=5), 0.05*Table2[[#This Row],[Salary]],0)</f>
        <v>0</v>
      </c>
      <c r="J671" s="14">
        <f>VLOOKUP(Table2[[#This Row],[Salary]],'Tax rates'!A$2:C$8, 2) + VLOOKUP(Table2[[#This Row],[Salary]],'Tax rates'!A$2:C$8, 3) * (Table2[[#This Row],[Salary]] - VLOOKUP(Table2[[#This Row],[Salary]],'Tax rates'!A$2:C$8,1))</f>
        <v>3462.9</v>
      </c>
      <c r="K671" s="14">
        <f>Table2[[#This Row],[Salary]]-Table2[[#This Row],[Taxes]]</f>
        <v>26982.1</v>
      </c>
      <c r="L671" s="15">
        <f>Table2[[#This Row],[After tax salary]]+Table2[[#This Row],[Bonus]]</f>
        <v>26982.1</v>
      </c>
    </row>
    <row r="672" spans="1:12" x14ac:dyDescent="0.25">
      <c r="A672" s="5" t="s">
        <v>348</v>
      </c>
      <c r="B672" s="5" t="s">
        <v>51</v>
      </c>
      <c r="C672" s="5" t="s">
        <v>106</v>
      </c>
      <c r="D672" s="5" t="s">
        <v>32</v>
      </c>
      <c r="E672" s="6">
        <v>40787</v>
      </c>
      <c r="F672" s="5" t="s">
        <v>4</v>
      </c>
      <c r="G672" s="10">
        <v>29070</v>
      </c>
      <c r="H672" s="7">
        <v>3</v>
      </c>
      <c r="I672" s="12">
        <f>IF(OR(Table2[[#This Row],[Rating]]=4,Table2[[#This Row],[Rating]]=5), 0.05*Table2[[#This Row],[Salary]],0)</f>
        <v>0</v>
      </c>
      <c r="J672" s="14">
        <f>VLOOKUP(Table2[[#This Row],[Salary]],'Tax rates'!A$2:C$8, 2) + VLOOKUP(Table2[[#This Row],[Salary]],'Tax rates'!A$2:C$8, 3) * (Table2[[#This Row],[Salary]] - VLOOKUP(Table2[[#This Row],[Salary]],'Tax rates'!A$2:C$8,1))</f>
        <v>3297.9</v>
      </c>
      <c r="K672" s="14">
        <f>Table2[[#This Row],[Salary]]-Table2[[#This Row],[Taxes]]</f>
        <v>25772.1</v>
      </c>
      <c r="L672" s="15">
        <f>Table2[[#This Row],[After tax salary]]+Table2[[#This Row],[Bonus]]</f>
        <v>25772.1</v>
      </c>
    </row>
    <row r="673" spans="1:12" x14ac:dyDescent="0.25">
      <c r="A673" s="5" t="s">
        <v>288</v>
      </c>
      <c r="B673" s="5" t="s">
        <v>1</v>
      </c>
      <c r="C673" s="5" t="s">
        <v>35</v>
      </c>
      <c r="D673" s="5" t="s">
        <v>16</v>
      </c>
      <c r="E673" s="6">
        <v>40800</v>
      </c>
      <c r="F673" s="7"/>
      <c r="G673" s="10">
        <v>62480</v>
      </c>
      <c r="H673" s="7">
        <v>5</v>
      </c>
      <c r="I673" s="12">
        <f>IF(OR(Table2[[#This Row],[Rating]]=4,Table2[[#This Row],[Rating]]=5), 0.05*Table2[[#This Row],[Salary]],0)</f>
        <v>3124</v>
      </c>
      <c r="J673" s="14">
        <f>VLOOKUP(Table2[[#This Row],[Salary]],'Tax rates'!A$2:C$8, 2) + VLOOKUP(Table2[[#This Row],[Salary]],'Tax rates'!A$2:C$8, 3) * (Table2[[#This Row],[Salary]] - VLOOKUP(Table2[[#This Row],[Salary]],'Tax rates'!A$2:C$8,1))</f>
        <v>9685.1</v>
      </c>
      <c r="K673" s="14">
        <f>Table2[[#This Row],[Salary]]-Table2[[#This Row],[Taxes]]</f>
        <v>52794.9</v>
      </c>
      <c r="L673" s="15">
        <f>Table2[[#This Row],[After tax salary]]+Table2[[#This Row],[Bonus]]</f>
        <v>55918.9</v>
      </c>
    </row>
    <row r="674" spans="1:12" x14ac:dyDescent="0.25">
      <c r="A674" s="5" t="s">
        <v>22</v>
      </c>
      <c r="B674" s="5" t="s">
        <v>6</v>
      </c>
      <c r="C674" s="5" t="s">
        <v>23</v>
      </c>
      <c r="D674" s="5" t="s">
        <v>24</v>
      </c>
      <c r="E674" s="6">
        <v>40807</v>
      </c>
      <c r="F674" s="5" t="s">
        <v>25</v>
      </c>
      <c r="G674" s="10">
        <v>35045</v>
      </c>
      <c r="H674" s="7">
        <v>4</v>
      </c>
      <c r="I674" s="12">
        <f>IF(OR(Table2[[#This Row],[Rating]]=4,Table2[[#This Row],[Rating]]=5), 0.05*Table2[[#This Row],[Salary]],0)</f>
        <v>1752.25</v>
      </c>
      <c r="J674" s="14">
        <f>VLOOKUP(Table2[[#This Row],[Salary]],'Tax rates'!A$2:C$8, 2) + VLOOKUP(Table2[[#This Row],[Salary]],'Tax rates'!A$2:C$8, 3) * (Table2[[#This Row],[Salary]] - VLOOKUP(Table2[[#This Row],[Salary]],'Tax rates'!A$2:C$8,1))</f>
        <v>4014.9</v>
      </c>
      <c r="K674" s="14">
        <f>Table2[[#This Row],[Salary]]-Table2[[#This Row],[Taxes]]</f>
        <v>31030.1</v>
      </c>
      <c r="L674" s="15">
        <f>Table2[[#This Row],[After tax salary]]+Table2[[#This Row],[Bonus]]</f>
        <v>32782.35</v>
      </c>
    </row>
    <row r="675" spans="1:12" x14ac:dyDescent="0.25">
      <c r="A675" s="5" t="s">
        <v>428</v>
      </c>
      <c r="B675" s="5" t="s">
        <v>6</v>
      </c>
      <c r="C675" s="5" t="s">
        <v>35</v>
      </c>
      <c r="D675" s="5" t="s">
        <v>16</v>
      </c>
      <c r="E675" s="6">
        <v>40811</v>
      </c>
      <c r="F675" s="7"/>
      <c r="G675" s="10">
        <v>61134</v>
      </c>
      <c r="H675" s="7">
        <v>4</v>
      </c>
      <c r="I675" s="12">
        <f>IF(OR(Table2[[#This Row],[Rating]]=4,Table2[[#This Row],[Rating]]=5), 0.05*Table2[[#This Row],[Salary]],0)</f>
        <v>3056.7000000000003</v>
      </c>
      <c r="J675" s="14">
        <f>VLOOKUP(Table2[[#This Row],[Salary]],'Tax rates'!A$2:C$8, 2) + VLOOKUP(Table2[[#This Row],[Salary]],'Tax rates'!A$2:C$8, 3) * (Table2[[#This Row],[Salary]] - VLOOKUP(Table2[[#This Row],[Salary]],'Tax rates'!A$2:C$8,1))</f>
        <v>9388.98</v>
      </c>
      <c r="K675" s="14">
        <f>Table2[[#This Row],[Salary]]-Table2[[#This Row],[Taxes]]</f>
        <v>51745.020000000004</v>
      </c>
      <c r="L675" s="15">
        <f>Table2[[#This Row],[After tax salary]]+Table2[[#This Row],[Bonus]]</f>
        <v>54801.72</v>
      </c>
    </row>
    <row r="676" spans="1:12" x14ac:dyDescent="0.25">
      <c r="A676" s="5" t="s">
        <v>253</v>
      </c>
      <c r="B676" s="5" t="s">
        <v>6</v>
      </c>
      <c r="C676" s="5" t="s">
        <v>30</v>
      </c>
      <c r="D676" s="5" t="s">
        <v>3</v>
      </c>
      <c r="E676" s="6">
        <v>40815</v>
      </c>
      <c r="F676" s="5" t="s">
        <v>25</v>
      </c>
      <c r="G676" s="10">
        <v>54500</v>
      </c>
      <c r="H676" s="7">
        <v>5</v>
      </c>
      <c r="I676" s="12">
        <f>IF(OR(Table2[[#This Row],[Rating]]=4,Table2[[#This Row],[Rating]]=5), 0.05*Table2[[#This Row],[Salary]],0)</f>
        <v>2725</v>
      </c>
      <c r="J676" s="14">
        <f>VLOOKUP(Table2[[#This Row],[Salary]],'Tax rates'!A$2:C$8, 2) + VLOOKUP(Table2[[#This Row],[Salary]],'Tax rates'!A$2:C$8, 3) * (Table2[[#This Row],[Salary]] - VLOOKUP(Table2[[#This Row],[Salary]],'Tax rates'!A$2:C$8,1))</f>
        <v>7929.5</v>
      </c>
      <c r="K676" s="14">
        <f>Table2[[#This Row],[Salary]]-Table2[[#This Row],[Taxes]]</f>
        <v>46570.5</v>
      </c>
      <c r="L676" s="15">
        <f>Table2[[#This Row],[After tax salary]]+Table2[[#This Row],[Bonus]]</f>
        <v>49295.5</v>
      </c>
    </row>
    <row r="677" spans="1:12" x14ac:dyDescent="0.25">
      <c r="A677" s="5" t="s">
        <v>62</v>
      </c>
      <c r="B677" s="5" t="s">
        <v>29</v>
      </c>
      <c r="C677" s="5" t="s">
        <v>63</v>
      </c>
      <c r="D677" s="5" t="s">
        <v>3</v>
      </c>
      <c r="E677" s="6">
        <v>40818</v>
      </c>
      <c r="F677" s="5" t="s">
        <v>21</v>
      </c>
      <c r="G677" s="10">
        <v>44560</v>
      </c>
      <c r="H677" s="7">
        <v>2</v>
      </c>
      <c r="I677" s="12">
        <f>IF(OR(Table2[[#This Row],[Rating]]=4,Table2[[#This Row],[Rating]]=5), 0.05*Table2[[#This Row],[Salary]],0)</f>
        <v>0</v>
      </c>
      <c r="J677" s="14">
        <f>VLOOKUP(Table2[[#This Row],[Salary]],'Tax rates'!A$2:C$8, 2) + VLOOKUP(Table2[[#This Row],[Salary]],'Tax rates'!A$2:C$8, 3) * (Table2[[#This Row],[Salary]] - VLOOKUP(Table2[[#This Row],[Salary]],'Tax rates'!A$2:C$8,1))</f>
        <v>5742.7</v>
      </c>
      <c r="K677" s="14">
        <f>Table2[[#This Row],[Salary]]-Table2[[#This Row],[Taxes]]</f>
        <v>38817.300000000003</v>
      </c>
      <c r="L677" s="15">
        <f>Table2[[#This Row],[After tax salary]]+Table2[[#This Row],[Bonus]]</f>
        <v>38817.300000000003</v>
      </c>
    </row>
    <row r="678" spans="1:12" x14ac:dyDescent="0.25">
      <c r="A678" s="5" t="s">
        <v>439</v>
      </c>
      <c r="B678" s="5" t="s">
        <v>6</v>
      </c>
      <c r="C678" s="5" t="s">
        <v>30</v>
      </c>
      <c r="D678" s="5" t="s">
        <v>16</v>
      </c>
      <c r="E678" s="6">
        <v>40820</v>
      </c>
      <c r="F678" s="7"/>
      <c r="G678" s="10">
        <v>52750</v>
      </c>
      <c r="H678" s="7">
        <v>1</v>
      </c>
      <c r="I678" s="12">
        <f>IF(OR(Table2[[#This Row],[Rating]]=4,Table2[[#This Row],[Rating]]=5), 0.05*Table2[[#This Row],[Salary]],0)</f>
        <v>0</v>
      </c>
      <c r="J678" s="14">
        <f>VLOOKUP(Table2[[#This Row],[Salary]],'Tax rates'!A$2:C$8, 2) + VLOOKUP(Table2[[#This Row],[Salary]],'Tax rates'!A$2:C$8, 3) * (Table2[[#This Row],[Salary]] - VLOOKUP(Table2[[#This Row],[Salary]],'Tax rates'!A$2:C$8,1))</f>
        <v>7544.5</v>
      </c>
      <c r="K678" s="14">
        <f>Table2[[#This Row],[Salary]]-Table2[[#This Row],[Taxes]]</f>
        <v>45205.5</v>
      </c>
      <c r="L678" s="15">
        <f>Table2[[#This Row],[After tax salary]]+Table2[[#This Row],[Bonus]]</f>
        <v>45205.5</v>
      </c>
    </row>
    <row r="679" spans="1:12" x14ac:dyDescent="0.25">
      <c r="A679" s="5" t="s">
        <v>335</v>
      </c>
      <c r="B679" s="5" t="s">
        <v>6</v>
      </c>
      <c r="C679" s="5" t="s">
        <v>30</v>
      </c>
      <c r="D679" s="5" t="s">
        <v>3</v>
      </c>
      <c r="E679" s="6">
        <v>40831</v>
      </c>
      <c r="F679" s="5" t="s">
        <v>21</v>
      </c>
      <c r="G679" s="10">
        <v>79400</v>
      </c>
      <c r="H679" s="7">
        <v>4</v>
      </c>
      <c r="I679" s="12">
        <f>IF(OR(Table2[[#This Row],[Rating]]=4,Table2[[#This Row],[Rating]]=5), 0.05*Table2[[#This Row],[Salary]],0)</f>
        <v>3970</v>
      </c>
      <c r="J679" s="14">
        <f>VLOOKUP(Table2[[#This Row],[Salary]],'Tax rates'!A$2:C$8, 2) + VLOOKUP(Table2[[#This Row],[Salary]],'Tax rates'!A$2:C$8, 3) * (Table2[[#This Row],[Salary]] - VLOOKUP(Table2[[#This Row],[Salary]],'Tax rates'!A$2:C$8,1))</f>
        <v>13407.5</v>
      </c>
      <c r="K679" s="14">
        <f>Table2[[#This Row],[Salary]]-Table2[[#This Row],[Taxes]]</f>
        <v>65992.5</v>
      </c>
      <c r="L679" s="15">
        <f>Table2[[#This Row],[After tax salary]]+Table2[[#This Row],[Bonus]]</f>
        <v>69962.5</v>
      </c>
    </row>
    <row r="680" spans="1:12" x14ac:dyDescent="0.25">
      <c r="A680" s="5" t="s">
        <v>508</v>
      </c>
      <c r="B680" s="5" t="s">
        <v>6</v>
      </c>
      <c r="C680" s="5" t="s">
        <v>75</v>
      </c>
      <c r="D680" s="5" t="s">
        <v>3</v>
      </c>
      <c r="E680" s="6">
        <v>40832</v>
      </c>
      <c r="F680" s="5" t="s">
        <v>11</v>
      </c>
      <c r="G680" s="10">
        <v>85920</v>
      </c>
      <c r="H680" s="7">
        <v>4</v>
      </c>
      <c r="I680" s="12">
        <f>IF(OR(Table2[[#This Row],[Rating]]=4,Table2[[#This Row],[Rating]]=5), 0.05*Table2[[#This Row],[Salary]],0)</f>
        <v>4296</v>
      </c>
      <c r="J680" s="14">
        <f>VLOOKUP(Table2[[#This Row],[Salary]],'Tax rates'!A$2:C$8, 2) + VLOOKUP(Table2[[#This Row],[Salary]],'Tax rates'!A$2:C$8, 3) * (Table2[[#This Row],[Salary]] - VLOOKUP(Table2[[#This Row],[Salary]],'Tax rates'!A$2:C$8,1))</f>
        <v>14910.3</v>
      </c>
      <c r="K680" s="14">
        <f>Table2[[#This Row],[Salary]]-Table2[[#This Row],[Taxes]]</f>
        <v>71009.7</v>
      </c>
      <c r="L680" s="15">
        <f>Table2[[#This Row],[After tax salary]]+Table2[[#This Row],[Bonus]]</f>
        <v>75305.7</v>
      </c>
    </row>
    <row r="681" spans="1:12" x14ac:dyDescent="0.25">
      <c r="A681" s="5" t="s">
        <v>268</v>
      </c>
      <c r="B681" s="5" t="s">
        <v>6</v>
      </c>
      <c r="C681" s="5" t="s">
        <v>63</v>
      </c>
      <c r="D681" s="5" t="s">
        <v>3</v>
      </c>
      <c r="E681" s="6">
        <v>40841</v>
      </c>
      <c r="F681" s="5" t="s">
        <v>4</v>
      </c>
      <c r="G681" s="10">
        <v>81530</v>
      </c>
      <c r="H681" s="7">
        <v>5</v>
      </c>
      <c r="I681" s="12">
        <f>IF(OR(Table2[[#This Row],[Rating]]=4,Table2[[#This Row],[Rating]]=5), 0.05*Table2[[#This Row],[Salary]],0)</f>
        <v>4076.5</v>
      </c>
      <c r="J681" s="14">
        <f>VLOOKUP(Table2[[#This Row],[Salary]],'Tax rates'!A$2:C$8, 2) + VLOOKUP(Table2[[#This Row],[Salary]],'Tax rates'!A$2:C$8, 3) * (Table2[[#This Row],[Salary]] - VLOOKUP(Table2[[#This Row],[Salary]],'Tax rates'!A$2:C$8,1))</f>
        <v>13876.1</v>
      </c>
      <c r="K681" s="14">
        <f>Table2[[#This Row],[Salary]]-Table2[[#This Row],[Taxes]]</f>
        <v>67653.899999999994</v>
      </c>
      <c r="L681" s="15">
        <f>Table2[[#This Row],[After tax salary]]+Table2[[#This Row],[Bonus]]</f>
        <v>71730.399999999994</v>
      </c>
    </row>
    <row r="682" spans="1:12" x14ac:dyDescent="0.25">
      <c r="A682" s="5" t="s">
        <v>490</v>
      </c>
      <c r="B682" s="5" t="s">
        <v>29</v>
      </c>
      <c r="C682" s="5" t="s">
        <v>2</v>
      </c>
      <c r="D682" s="5" t="s">
        <v>3</v>
      </c>
      <c r="E682" s="6">
        <v>40853</v>
      </c>
      <c r="F682" s="5" t="s">
        <v>11</v>
      </c>
      <c r="G682" s="10">
        <v>63050</v>
      </c>
      <c r="H682" s="7">
        <v>3</v>
      </c>
      <c r="I682" s="12">
        <f>IF(OR(Table2[[#This Row],[Rating]]=4,Table2[[#This Row],[Rating]]=5), 0.05*Table2[[#This Row],[Salary]],0)</f>
        <v>0</v>
      </c>
      <c r="J682" s="14">
        <f>VLOOKUP(Table2[[#This Row],[Salary]],'Tax rates'!A$2:C$8, 2) + VLOOKUP(Table2[[#This Row],[Salary]],'Tax rates'!A$2:C$8, 3) * (Table2[[#This Row],[Salary]] - VLOOKUP(Table2[[#This Row],[Salary]],'Tax rates'!A$2:C$8,1))</f>
        <v>9810.5</v>
      </c>
      <c r="K682" s="14">
        <f>Table2[[#This Row],[Salary]]-Table2[[#This Row],[Taxes]]</f>
        <v>53239.5</v>
      </c>
      <c r="L682" s="15">
        <f>Table2[[#This Row],[After tax salary]]+Table2[[#This Row],[Bonus]]</f>
        <v>53239.5</v>
      </c>
    </row>
    <row r="683" spans="1:12" x14ac:dyDescent="0.25">
      <c r="A683" s="5" t="s">
        <v>773</v>
      </c>
      <c r="B683" s="5" t="s">
        <v>13</v>
      </c>
      <c r="C683" s="5" t="s">
        <v>73</v>
      </c>
      <c r="D683" s="5" t="s">
        <v>3</v>
      </c>
      <c r="E683" s="6">
        <v>40856</v>
      </c>
      <c r="F683" s="5" t="s">
        <v>25</v>
      </c>
      <c r="G683" s="10">
        <v>41350</v>
      </c>
      <c r="H683" s="7">
        <v>2</v>
      </c>
      <c r="I683" s="12">
        <f>IF(OR(Table2[[#This Row],[Rating]]=4,Table2[[#This Row],[Rating]]=5), 0.05*Table2[[#This Row],[Salary]],0)</f>
        <v>0</v>
      </c>
      <c r="J683" s="14">
        <f>VLOOKUP(Table2[[#This Row],[Salary]],'Tax rates'!A$2:C$8, 2) + VLOOKUP(Table2[[#This Row],[Salary]],'Tax rates'!A$2:C$8, 3) * (Table2[[#This Row],[Salary]] - VLOOKUP(Table2[[#This Row],[Salary]],'Tax rates'!A$2:C$8,1))</f>
        <v>5036.5</v>
      </c>
      <c r="K683" s="14">
        <f>Table2[[#This Row],[Salary]]-Table2[[#This Row],[Taxes]]</f>
        <v>36313.5</v>
      </c>
      <c r="L683" s="15">
        <f>Table2[[#This Row],[After tax salary]]+Table2[[#This Row],[Bonus]]</f>
        <v>36313.5</v>
      </c>
    </row>
    <row r="684" spans="1:12" x14ac:dyDescent="0.25">
      <c r="A684" s="5" t="s">
        <v>354</v>
      </c>
      <c r="B684" s="5" t="s">
        <v>1</v>
      </c>
      <c r="C684" s="5" t="s">
        <v>35</v>
      </c>
      <c r="D684" s="5" t="s">
        <v>16</v>
      </c>
      <c r="E684" s="6">
        <v>40867</v>
      </c>
      <c r="F684" s="7"/>
      <c r="G684" s="10">
        <v>57500</v>
      </c>
      <c r="H684" s="7">
        <v>1</v>
      </c>
      <c r="I684" s="12">
        <f>IF(OR(Table2[[#This Row],[Rating]]=4,Table2[[#This Row],[Rating]]=5), 0.05*Table2[[#This Row],[Salary]],0)</f>
        <v>0</v>
      </c>
      <c r="J684" s="14">
        <f>VLOOKUP(Table2[[#This Row],[Salary]],'Tax rates'!A$2:C$8, 2) + VLOOKUP(Table2[[#This Row],[Salary]],'Tax rates'!A$2:C$8, 3) * (Table2[[#This Row],[Salary]] - VLOOKUP(Table2[[#This Row],[Salary]],'Tax rates'!A$2:C$8,1))</f>
        <v>8589.5</v>
      </c>
      <c r="K684" s="14">
        <f>Table2[[#This Row],[Salary]]-Table2[[#This Row],[Taxes]]</f>
        <v>48910.5</v>
      </c>
      <c r="L684" s="15">
        <f>Table2[[#This Row],[After tax salary]]+Table2[[#This Row],[Bonus]]</f>
        <v>48910.5</v>
      </c>
    </row>
    <row r="685" spans="1:12" x14ac:dyDescent="0.25">
      <c r="A685" s="5" t="s">
        <v>769</v>
      </c>
      <c r="B685" s="5" t="s">
        <v>1</v>
      </c>
      <c r="C685" s="5" t="s">
        <v>30</v>
      </c>
      <c r="D685" s="5" t="s">
        <v>3</v>
      </c>
      <c r="E685" s="6">
        <v>40878</v>
      </c>
      <c r="F685" s="5" t="s">
        <v>9</v>
      </c>
      <c r="G685" s="10">
        <v>71680</v>
      </c>
      <c r="H685" s="7">
        <v>4</v>
      </c>
      <c r="I685" s="12">
        <f>IF(OR(Table2[[#This Row],[Rating]]=4,Table2[[#This Row],[Rating]]=5), 0.05*Table2[[#This Row],[Salary]],0)</f>
        <v>3584</v>
      </c>
      <c r="J685" s="14">
        <f>VLOOKUP(Table2[[#This Row],[Salary]],'Tax rates'!A$2:C$8, 2) + VLOOKUP(Table2[[#This Row],[Salary]],'Tax rates'!A$2:C$8, 3) * (Table2[[#This Row],[Salary]] - VLOOKUP(Table2[[#This Row],[Salary]],'Tax rates'!A$2:C$8,1))</f>
        <v>11709.1</v>
      </c>
      <c r="K685" s="14">
        <f>Table2[[#This Row],[Salary]]-Table2[[#This Row],[Taxes]]</f>
        <v>59970.9</v>
      </c>
      <c r="L685" s="15">
        <f>Table2[[#This Row],[After tax salary]]+Table2[[#This Row],[Bonus]]</f>
        <v>63554.9</v>
      </c>
    </row>
    <row r="686" spans="1:12" x14ac:dyDescent="0.25">
      <c r="A686" s="5" t="s">
        <v>307</v>
      </c>
      <c r="B686" s="5" t="s">
        <v>6</v>
      </c>
      <c r="C686" s="5" t="s">
        <v>75</v>
      </c>
      <c r="D686" s="5" t="s">
        <v>3</v>
      </c>
      <c r="E686" s="6">
        <v>40880</v>
      </c>
      <c r="F686" s="5" t="s">
        <v>25</v>
      </c>
      <c r="G686" s="10">
        <v>61400</v>
      </c>
      <c r="H686" s="7">
        <v>5</v>
      </c>
      <c r="I686" s="12">
        <f>IF(OR(Table2[[#This Row],[Rating]]=4,Table2[[#This Row],[Rating]]=5), 0.05*Table2[[#This Row],[Salary]],0)</f>
        <v>3070</v>
      </c>
      <c r="J686" s="14">
        <f>VLOOKUP(Table2[[#This Row],[Salary]],'Tax rates'!A$2:C$8, 2) + VLOOKUP(Table2[[#This Row],[Salary]],'Tax rates'!A$2:C$8, 3) * (Table2[[#This Row],[Salary]] - VLOOKUP(Table2[[#This Row],[Salary]],'Tax rates'!A$2:C$8,1))</f>
        <v>9447.5</v>
      </c>
      <c r="K686" s="14">
        <f>Table2[[#This Row],[Salary]]-Table2[[#This Row],[Taxes]]</f>
        <v>51952.5</v>
      </c>
      <c r="L686" s="15">
        <f>Table2[[#This Row],[After tax salary]]+Table2[[#This Row],[Bonus]]</f>
        <v>55022.5</v>
      </c>
    </row>
    <row r="687" spans="1:12" x14ac:dyDescent="0.25">
      <c r="A687" s="5" t="s">
        <v>767</v>
      </c>
      <c r="B687" s="5" t="s">
        <v>6</v>
      </c>
      <c r="C687" s="5" t="s">
        <v>23</v>
      </c>
      <c r="D687" s="5" t="s">
        <v>3</v>
      </c>
      <c r="E687" s="6">
        <v>40883</v>
      </c>
      <c r="F687" s="5" t="s">
        <v>4</v>
      </c>
      <c r="G687" s="10">
        <v>43580</v>
      </c>
      <c r="H687" s="7">
        <v>5</v>
      </c>
      <c r="I687" s="12">
        <f>IF(OR(Table2[[#This Row],[Rating]]=4,Table2[[#This Row],[Rating]]=5), 0.05*Table2[[#This Row],[Salary]],0)</f>
        <v>2179</v>
      </c>
      <c r="J687" s="14">
        <f>VLOOKUP(Table2[[#This Row],[Salary]],'Tax rates'!A$2:C$8, 2) + VLOOKUP(Table2[[#This Row],[Salary]],'Tax rates'!A$2:C$8, 3) * (Table2[[#This Row],[Salary]] - VLOOKUP(Table2[[#This Row],[Salary]],'Tax rates'!A$2:C$8,1))</f>
        <v>5527.1</v>
      </c>
      <c r="K687" s="14">
        <f>Table2[[#This Row],[Salary]]-Table2[[#This Row],[Taxes]]</f>
        <v>38052.9</v>
      </c>
      <c r="L687" s="15">
        <f>Table2[[#This Row],[After tax salary]]+Table2[[#This Row],[Bonus]]</f>
        <v>40231.9</v>
      </c>
    </row>
    <row r="688" spans="1:12" x14ac:dyDescent="0.25">
      <c r="A688" s="5" t="s">
        <v>248</v>
      </c>
      <c r="B688" s="5" t="s">
        <v>13</v>
      </c>
      <c r="C688" s="5" t="s">
        <v>30</v>
      </c>
      <c r="D688" s="5" t="s">
        <v>16</v>
      </c>
      <c r="E688" s="6">
        <v>40883</v>
      </c>
      <c r="F688" s="7"/>
      <c r="G688" s="10">
        <v>50840</v>
      </c>
      <c r="H688" s="7">
        <v>4</v>
      </c>
      <c r="I688" s="12">
        <f>IF(OR(Table2[[#This Row],[Rating]]=4,Table2[[#This Row],[Rating]]=5), 0.05*Table2[[#This Row],[Salary]],0)</f>
        <v>2542</v>
      </c>
      <c r="J688" s="14">
        <f>VLOOKUP(Table2[[#This Row],[Salary]],'Tax rates'!A$2:C$8, 2) + VLOOKUP(Table2[[#This Row],[Salary]],'Tax rates'!A$2:C$8, 3) * (Table2[[#This Row],[Salary]] - VLOOKUP(Table2[[#This Row],[Salary]],'Tax rates'!A$2:C$8,1))</f>
        <v>7124.3</v>
      </c>
      <c r="K688" s="14">
        <f>Table2[[#This Row],[Salary]]-Table2[[#This Row],[Taxes]]</f>
        <v>43715.7</v>
      </c>
      <c r="L688" s="15">
        <f>Table2[[#This Row],[After tax salary]]+Table2[[#This Row],[Bonus]]</f>
        <v>46257.7</v>
      </c>
    </row>
    <row r="689" spans="1:12" x14ac:dyDescent="0.25">
      <c r="A689" s="5" t="s">
        <v>322</v>
      </c>
      <c r="B689" s="5" t="s">
        <v>13</v>
      </c>
      <c r="C689" s="5" t="s">
        <v>63</v>
      </c>
      <c r="D689" s="5" t="s">
        <v>3</v>
      </c>
      <c r="E689" s="6">
        <v>40893</v>
      </c>
      <c r="F689" s="5" t="s">
        <v>11</v>
      </c>
      <c r="G689" s="10">
        <v>44620</v>
      </c>
      <c r="H689" s="7">
        <v>5</v>
      </c>
      <c r="I689" s="12">
        <f>IF(OR(Table2[[#This Row],[Rating]]=4,Table2[[#This Row],[Rating]]=5), 0.05*Table2[[#This Row],[Salary]],0)</f>
        <v>2231</v>
      </c>
      <c r="J689" s="14">
        <f>VLOOKUP(Table2[[#This Row],[Salary]],'Tax rates'!A$2:C$8, 2) + VLOOKUP(Table2[[#This Row],[Salary]],'Tax rates'!A$2:C$8, 3) * (Table2[[#This Row],[Salary]] - VLOOKUP(Table2[[#This Row],[Salary]],'Tax rates'!A$2:C$8,1))</f>
        <v>5755.9</v>
      </c>
      <c r="K689" s="14">
        <f>Table2[[#This Row],[Salary]]-Table2[[#This Row],[Taxes]]</f>
        <v>38864.1</v>
      </c>
      <c r="L689" s="15">
        <f>Table2[[#This Row],[After tax salary]]+Table2[[#This Row],[Bonus]]</f>
        <v>41095.1</v>
      </c>
    </row>
    <row r="690" spans="1:12" x14ac:dyDescent="0.25">
      <c r="A690" s="5" t="s">
        <v>239</v>
      </c>
      <c r="B690" s="5" t="s">
        <v>1</v>
      </c>
      <c r="C690" s="5" t="s">
        <v>2</v>
      </c>
      <c r="D690" s="5" t="s">
        <v>3</v>
      </c>
      <c r="E690" s="6">
        <v>40909</v>
      </c>
      <c r="F690" s="5" t="s">
        <v>4</v>
      </c>
      <c r="G690" s="10">
        <v>54830</v>
      </c>
      <c r="H690" s="7">
        <v>1</v>
      </c>
      <c r="I690" s="12">
        <f>IF(OR(Table2[[#This Row],[Rating]]=4,Table2[[#This Row],[Rating]]=5), 0.05*Table2[[#This Row],[Salary]],0)</f>
        <v>0</v>
      </c>
      <c r="J690" s="14">
        <f>VLOOKUP(Table2[[#This Row],[Salary]],'Tax rates'!A$2:C$8, 2) + VLOOKUP(Table2[[#This Row],[Salary]],'Tax rates'!A$2:C$8, 3) * (Table2[[#This Row],[Salary]] - VLOOKUP(Table2[[#This Row],[Salary]],'Tax rates'!A$2:C$8,1))</f>
        <v>8002.1</v>
      </c>
      <c r="K690" s="14">
        <f>Table2[[#This Row],[Salary]]-Table2[[#This Row],[Taxes]]</f>
        <v>46827.9</v>
      </c>
      <c r="L690" s="15">
        <f>Table2[[#This Row],[After tax salary]]+Table2[[#This Row],[Bonus]]</f>
        <v>46827.9</v>
      </c>
    </row>
    <row r="691" spans="1:12" x14ac:dyDescent="0.25">
      <c r="A691" s="5" t="s">
        <v>402</v>
      </c>
      <c r="B691" s="5" t="s">
        <v>1</v>
      </c>
      <c r="C691" s="5" t="s">
        <v>59</v>
      </c>
      <c r="D691" s="5" t="s">
        <v>3</v>
      </c>
      <c r="E691" s="6">
        <v>40911</v>
      </c>
      <c r="F691" s="5" t="s">
        <v>25</v>
      </c>
      <c r="G691" s="10">
        <v>87120</v>
      </c>
      <c r="H691" s="7">
        <v>3</v>
      </c>
      <c r="I691" s="12">
        <f>IF(OR(Table2[[#This Row],[Rating]]=4,Table2[[#This Row],[Rating]]=5), 0.05*Table2[[#This Row],[Salary]],0)</f>
        <v>0</v>
      </c>
      <c r="J691" s="14">
        <f>VLOOKUP(Table2[[#This Row],[Salary]],'Tax rates'!A$2:C$8, 2) + VLOOKUP(Table2[[#This Row],[Salary]],'Tax rates'!A$2:C$8, 3) * (Table2[[#This Row],[Salary]] - VLOOKUP(Table2[[#This Row],[Salary]],'Tax rates'!A$2:C$8,1))</f>
        <v>15198.3</v>
      </c>
      <c r="K691" s="14">
        <f>Table2[[#This Row],[Salary]]-Table2[[#This Row],[Taxes]]</f>
        <v>71921.7</v>
      </c>
      <c r="L691" s="15">
        <f>Table2[[#This Row],[After tax salary]]+Table2[[#This Row],[Bonus]]</f>
        <v>71921.7</v>
      </c>
    </row>
    <row r="692" spans="1:12" x14ac:dyDescent="0.25">
      <c r="A692" s="5" t="s">
        <v>19</v>
      </c>
      <c r="B692" s="5" t="s">
        <v>6</v>
      </c>
      <c r="C692" s="5" t="s">
        <v>20</v>
      </c>
      <c r="D692" s="5" t="s">
        <v>3</v>
      </c>
      <c r="E692" s="6">
        <v>40918</v>
      </c>
      <c r="F692" s="5" t="s">
        <v>21</v>
      </c>
      <c r="G692" s="10">
        <v>82500</v>
      </c>
      <c r="H692" s="7">
        <v>5</v>
      </c>
      <c r="I692" s="12">
        <f>IF(OR(Table2[[#This Row],[Rating]]=4,Table2[[#This Row],[Rating]]=5), 0.05*Table2[[#This Row],[Salary]],0)</f>
        <v>4125</v>
      </c>
      <c r="J692" s="14">
        <f>VLOOKUP(Table2[[#This Row],[Salary]],'Tax rates'!A$2:C$8, 2) + VLOOKUP(Table2[[#This Row],[Salary]],'Tax rates'!A$2:C$8, 3) * (Table2[[#This Row],[Salary]] - VLOOKUP(Table2[[#This Row],[Salary]],'Tax rates'!A$2:C$8,1))</f>
        <v>14089.5</v>
      </c>
      <c r="K692" s="14">
        <f>Table2[[#This Row],[Salary]]-Table2[[#This Row],[Taxes]]</f>
        <v>68410.5</v>
      </c>
      <c r="L692" s="15">
        <f>Table2[[#This Row],[After tax salary]]+Table2[[#This Row],[Bonus]]</f>
        <v>72535.5</v>
      </c>
    </row>
    <row r="693" spans="1:12" x14ac:dyDescent="0.25">
      <c r="A693" s="5" t="s">
        <v>602</v>
      </c>
      <c r="B693" s="5" t="s">
        <v>1</v>
      </c>
      <c r="C693" s="5" t="s">
        <v>18</v>
      </c>
      <c r="D693" s="5" t="s">
        <v>3</v>
      </c>
      <c r="E693" s="6">
        <v>40918</v>
      </c>
      <c r="F693" s="5" t="s">
        <v>603</v>
      </c>
      <c r="G693" s="10">
        <v>56900</v>
      </c>
      <c r="H693" s="7">
        <v>5</v>
      </c>
      <c r="I693" s="12">
        <f>IF(OR(Table2[[#This Row],[Rating]]=4,Table2[[#This Row],[Rating]]=5), 0.05*Table2[[#This Row],[Salary]],0)</f>
        <v>2845</v>
      </c>
      <c r="J693" s="14">
        <f>VLOOKUP(Table2[[#This Row],[Salary]],'Tax rates'!A$2:C$8, 2) + VLOOKUP(Table2[[#This Row],[Salary]],'Tax rates'!A$2:C$8, 3) * (Table2[[#This Row],[Salary]] - VLOOKUP(Table2[[#This Row],[Salary]],'Tax rates'!A$2:C$8,1))</f>
        <v>8457.5</v>
      </c>
      <c r="K693" s="14">
        <f>Table2[[#This Row],[Salary]]-Table2[[#This Row],[Taxes]]</f>
        <v>48442.5</v>
      </c>
      <c r="L693" s="15">
        <f>Table2[[#This Row],[After tax salary]]+Table2[[#This Row],[Bonus]]</f>
        <v>51287.5</v>
      </c>
    </row>
    <row r="694" spans="1:12" x14ac:dyDescent="0.25">
      <c r="A694" s="5" t="s">
        <v>454</v>
      </c>
      <c r="B694" s="5" t="s">
        <v>51</v>
      </c>
      <c r="C694" s="5" t="s">
        <v>37</v>
      </c>
      <c r="D694" s="5" t="s">
        <v>3</v>
      </c>
      <c r="E694" s="6">
        <v>40922</v>
      </c>
      <c r="F694" s="5" t="s">
        <v>4</v>
      </c>
      <c r="G694" s="10">
        <v>39110</v>
      </c>
      <c r="H694" s="7">
        <v>5</v>
      </c>
      <c r="I694" s="12">
        <f>IF(OR(Table2[[#This Row],[Rating]]=4,Table2[[#This Row],[Rating]]=5), 0.05*Table2[[#This Row],[Salary]],0)</f>
        <v>1955.5</v>
      </c>
      <c r="J694" s="14">
        <f>VLOOKUP(Table2[[#This Row],[Salary]],'Tax rates'!A$2:C$8, 2) + VLOOKUP(Table2[[#This Row],[Salary]],'Tax rates'!A$2:C$8, 3) * (Table2[[#This Row],[Salary]] - VLOOKUP(Table2[[#This Row],[Salary]],'Tax rates'!A$2:C$8,1))</f>
        <v>4543.7</v>
      </c>
      <c r="K694" s="14">
        <f>Table2[[#This Row],[Salary]]-Table2[[#This Row],[Taxes]]</f>
        <v>34566.300000000003</v>
      </c>
      <c r="L694" s="15">
        <f>Table2[[#This Row],[After tax salary]]+Table2[[#This Row],[Bonus]]</f>
        <v>36521.800000000003</v>
      </c>
    </row>
    <row r="695" spans="1:12" x14ac:dyDescent="0.25">
      <c r="A695" s="5" t="s">
        <v>118</v>
      </c>
      <c r="B695" s="5" t="s">
        <v>1</v>
      </c>
      <c r="C695" s="5" t="s">
        <v>75</v>
      </c>
      <c r="D695" s="5" t="s">
        <v>32</v>
      </c>
      <c r="E695" s="6">
        <v>40925</v>
      </c>
      <c r="F695" s="7"/>
      <c r="G695" s="10">
        <v>14568</v>
      </c>
      <c r="H695" s="7">
        <v>3</v>
      </c>
      <c r="I695" s="12">
        <f>IF(OR(Table2[[#This Row],[Rating]]=4,Table2[[#This Row],[Rating]]=5), 0.05*Table2[[#This Row],[Salary]],0)</f>
        <v>0</v>
      </c>
      <c r="J695" s="14">
        <f>VLOOKUP(Table2[[#This Row],[Salary]],'Tax rates'!A$2:C$8, 2) + VLOOKUP(Table2[[#This Row],[Salary]],'Tax rates'!A$2:C$8, 3) * (Table2[[#This Row],[Salary]] - VLOOKUP(Table2[[#This Row],[Salary]],'Tax rates'!A$2:C$8,1))</f>
        <v>1557.6599999999999</v>
      </c>
      <c r="K695" s="14">
        <f>Table2[[#This Row],[Salary]]-Table2[[#This Row],[Taxes]]</f>
        <v>13010.34</v>
      </c>
      <c r="L695" s="15">
        <f>Table2[[#This Row],[After tax salary]]+Table2[[#This Row],[Bonus]]</f>
        <v>13010.34</v>
      </c>
    </row>
    <row r="696" spans="1:12" x14ac:dyDescent="0.25">
      <c r="A696" s="5" t="s">
        <v>222</v>
      </c>
      <c r="B696" s="5" t="s">
        <v>13</v>
      </c>
      <c r="C696" s="5" t="s">
        <v>23</v>
      </c>
      <c r="D696" s="5" t="s">
        <v>3</v>
      </c>
      <c r="E696" s="6">
        <v>40925</v>
      </c>
      <c r="F696" s="5" t="s">
        <v>11</v>
      </c>
      <c r="G696" s="10">
        <v>43190</v>
      </c>
      <c r="H696" s="7">
        <v>2</v>
      </c>
      <c r="I696" s="12">
        <f>IF(OR(Table2[[#This Row],[Rating]]=4,Table2[[#This Row],[Rating]]=5), 0.05*Table2[[#This Row],[Salary]],0)</f>
        <v>0</v>
      </c>
      <c r="J696" s="14">
        <f>VLOOKUP(Table2[[#This Row],[Salary]],'Tax rates'!A$2:C$8, 2) + VLOOKUP(Table2[[#This Row],[Salary]],'Tax rates'!A$2:C$8, 3) * (Table2[[#This Row],[Salary]] - VLOOKUP(Table2[[#This Row],[Salary]],'Tax rates'!A$2:C$8,1))</f>
        <v>5441.3</v>
      </c>
      <c r="K696" s="14">
        <f>Table2[[#This Row],[Salary]]-Table2[[#This Row],[Taxes]]</f>
        <v>37748.699999999997</v>
      </c>
      <c r="L696" s="15">
        <f>Table2[[#This Row],[After tax salary]]+Table2[[#This Row],[Bonus]]</f>
        <v>37748.699999999997</v>
      </c>
    </row>
    <row r="697" spans="1:12" x14ac:dyDescent="0.25">
      <c r="A697" s="5" t="s">
        <v>147</v>
      </c>
      <c r="B697" s="5" t="s">
        <v>6</v>
      </c>
      <c r="C697" s="5" t="s">
        <v>18</v>
      </c>
      <c r="D697" s="5" t="s">
        <v>3</v>
      </c>
      <c r="E697" s="6">
        <v>40936</v>
      </c>
      <c r="F697" s="5" t="s">
        <v>4</v>
      </c>
      <c r="G697" s="10">
        <v>52940</v>
      </c>
      <c r="H697" s="7">
        <v>4</v>
      </c>
      <c r="I697" s="12">
        <f>IF(OR(Table2[[#This Row],[Rating]]=4,Table2[[#This Row],[Rating]]=5), 0.05*Table2[[#This Row],[Salary]],0)</f>
        <v>2647</v>
      </c>
      <c r="J697" s="14">
        <f>VLOOKUP(Table2[[#This Row],[Salary]],'Tax rates'!A$2:C$8, 2) + VLOOKUP(Table2[[#This Row],[Salary]],'Tax rates'!A$2:C$8, 3) * (Table2[[#This Row],[Salary]] - VLOOKUP(Table2[[#This Row],[Salary]],'Tax rates'!A$2:C$8,1))</f>
        <v>7586.3</v>
      </c>
      <c r="K697" s="14">
        <f>Table2[[#This Row],[Salary]]-Table2[[#This Row],[Taxes]]</f>
        <v>45353.7</v>
      </c>
      <c r="L697" s="15">
        <f>Table2[[#This Row],[After tax salary]]+Table2[[#This Row],[Bonus]]</f>
        <v>48000.7</v>
      </c>
    </row>
    <row r="698" spans="1:12" x14ac:dyDescent="0.25">
      <c r="A698" s="5" t="s">
        <v>591</v>
      </c>
      <c r="B698" s="5" t="s">
        <v>13</v>
      </c>
      <c r="C698" s="5" t="s">
        <v>23</v>
      </c>
      <c r="D698" s="5" t="s">
        <v>3</v>
      </c>
      <c r="E698" s="6">
        <v>40941</v>
      </c>
      <c r="F698" s="5" t="s">
        <v>4</v>
      </c>
      <c r="G698" s="10">
        <v>26360</v>
      </c>
      <c r="H698" s="7">
        <v>1</v>
      </c>
      <c r="I698" s="12">
        <f>IF(OR(Table2[[#This Row],[Rating]]=4,Table2[[#This Row],[Rating]]=5), 0.05*Table2[[#This Row],[Salary]],0)</f>
        <v>0</v>
      </c>
      <c r="J698" s="14">
        <f>VLOOKUP(Table2[[#This Row],[Salary]],'Tax rates'!A$2:C$8, 2) + VLOOKUP(Table2[[#This Row],[Salary]],'Tax rates'!A$2:C$8, 3) * (Table2[[#This Row],[Salary]] - VLOOKUP(Table2[[#This Row],[Salary]],'Tax rates'!A$2:C$8,1))</f>
        <v>2972.7</v>
      </c>
      <c r="K698" s="14">
        <f>Table2[[#This Row],[Salary]]-Table2[[#This Row],[Taxes]]</f>
        <v>23387.3</v>
      </c>
      <c r="L698" s="15">
        <f>Table2[[#This Row],[After tax salary]]+Table2[[#This Row],[Bonus]]</f>
        <v>23387.3</v>
      </c>
    </row>
    <row r="699" spans="1:12" x14ac:dyDescent="0.25">
      <c r="A699" s="5" t="s">
        <v>258</v>
      </c>
      <c r="B699" s="5" t="s">
        <v>13</v>
      </c>
      <c r="C699" s="5" t="s">
        <v>30</v>
      </c>
      <c r="D699" s="5" t="s">
        <v>16</v>
      </c>
      <c r="E699" s="6">
        <v>40943</v>
      </c>
      <c r="F699" s="7"/>
      <c r="G699" s="10">
        <v>47590</v>
      </c>
      <c r="H699" s="7">
        <v>3</v>
      </c>
      <c r="I699" s="12">
        <f>IF(OR(Table2[[#This Row],[Rating]]=4,Table2[[#This Row],[Rating]]=5), 0.05*Table2[[#This Row],[Salary]],0)</f>
        <v>0</v>
      </c>
      <c r="J699" s="14">
        <f>VLOOKUP(Table2[[#This Row],[Salary]],'Tax rates'!A$2:C$8, 2) + VLOOKUP(Table2[[#This Row],[Salary]],'Tax rates'!A$2:C$8, 3) * (Table2[[#This Row],[Salary]] - VLOOKUP(Table2[[#This Row],[Salary]],'Tax rates'!A$2:C$8,1))</f>
        <v>6409.3</v>
      </c>
      <c r="K699" s="14">
        <f>Table2[[#This Row],[Salary]]-Table2[[#This Row],[Taxes]]</f>
        <v>41180.699999999997</v>
      </c>
      <c r="L699" s="15">
        <f>Table2[[#This Row],[After tax salary]]+Table2[[#This Row],[Bonus]]</f>
        <v>41180.699999999997</v>
      </c>
    </row>
    <row r="700" spans="1:12" x14ac:dyDescent="0.25">
      <c r="A700" s="5" t="s">
        <v>689</v>
      </c>
      <c r="B700" s="5" t="s">
        <v>1</v>
      </c>
      <c r="C700" s="5" t="s">
        <v>23</v>
      </c>
      <c r="D700" s="5" t="s">
        <v>3</v>
      </c>
      <c r="E700" s="6">
        <v>40947</v>
      </c>
      <c r="F700" s="5" t="s">
        <v>4</v>
      </c>
      <c r="G700" s="10">
        <v>79770</v>
      </c>
      <c r="H700" s="7">
        <v>4</v>
      </c>
      <c r="I700" s="12">
        <f>IF(OR(Table2[[#This Row],[Rating]]=4,Table2[[#This Row],[Rating]]=5), 0.05*Table2[[#This Row],[Salary]],0)</f>
        <v>3988.5</v>
      </c>
      <c r="J700" s="14">
        <f>VLOOKUP(Table2[[#This Row],[Salary]],'Tax rates'!A$2:C$8, 2) + VLOOKUP(Table2[[#This Row],[Salary]],'Tax rates'!A$2:C$8, 3) * (Table2[[#This Row],[Salary]] - VLOOKUP(Table2[[#This Row],[Salary]],'Tax rates'!A$2:C$8,1))</f>
        <v>13488.9</v>
      </c>
      <c r="K700" s="14">
        <f>Table2[[#This Row],[Salary]]-Table2[[#This Row],[Taxes]]</f>
        <v>66281.100000000006</v>
      </c>
      <c r="L700" s="15">
        <f>Table2[[#This Row],[After tax salary]]+Table2[[#This Row],[Bonus]]</f>
        <v>70269.600000000006</v>
      </c>
    </row>
    <row r="701" spans="1:12" x14ac:dyDescent="0.25">
      <c r="A701" s="5" t="s">
        <v>333</v>
      </c>
      <c r="B701" s="5" t="s">
        <v>6</v>
      </c>
      <c r="C701" s="5" t="s">
        <v>18</v>
      </c>
      <c r="D701" s="5" t="s">
        <v>3</v>
      </c>
      <c r="E701" s="6">
        <v>40953</v>
      </c>
      <c r="F701" s="5" t="s">
        <v>9</v>
      </c>
      <c r="G701" s="10">
        <v>60380</v>
      </c>
      <c r="H701" s="7">
        <v>4</v>
      </c>
      <c r="I701" s="12">
        <f>IF(OR(Table2[[#This Row],[Rating]]=4,Table2[[#This Row],[Rating]]=5), 0.05*Table2[[#This Row],[Salary]],0)</f>
        <v>3019</v>
      </c>
      <c r="J701" s="14">
        <f>VLOOKUP(Table2[[#This Row],[Salary]],'Tax rates'!A$2:C$8, 2) + VLOOKUP(Table2[[#This Row],[Salary]],'Tax rates'!A$2:C$8, 3) * (Table2[[#This Row],[Salary]] - VLOOKUP(Table2[[#This Row],[Salary]],'Tax rates'!A$2:C$8,1))</f>
        <v>9223.1</v>
      </c>
      <c r="K701" s="14">
        <f>Table2[[#This Row],[Salary]]-Table2[[#This Row],[Taxes]]</f>
        <v>51156.9</v>
      </c>
      <c r="L701" s="15">
        <f>Table2[[#This Row],[After tax salary]]+Table2[[#This Row],[Bonus]]</f>
        <v>54175.9</v>
      </c>
    </row>
    <row r="702" spans="1:12" x14ac:dyDescent="0.25">
      <c r="A702" s="5" t="s">
        <v>240</v>
      </c>
      <c r="B702" s="5" t="s">
        <v>13</v>
      </c>
      <c r="C702" s="5" t="s">
        <v>30</v>
      </c>
      <c r="D702" s="5" t="s">
        <v>16</v>
      </c>
      <c r="E702" s="6">
        <v>40963</v>
      </c>
      <c r="F702" s="7"/>
      <c r="G702" s="10">
        <v>60550</v>
      </c>
      <c r="H702" s="7">
        <v>2</v>
      </c>
      <c r="I702" s="12">
        <f>IF(OR(Table2[[#This Row],[Rating]]=4,Table2[[#This Row],[Rating]]=5), 0.05*Table2[[#This Row],[Salary]],0)</f>
        <v>0</v>
      </c>
      <c r="J702" s="14">
        <f>VLOOKUP(Table2[[#This Row],[Salary]],'Tax rates'!A$2:C$8, 2) + VLOOKUP(Table2[[#This Row],[Salary]],'Tax rates'!A$2:C$8, 3) * (Table2[[#This Row],[Salary]] - VLOOKUP(Table2[[#This Row],[Salary]],'Tax rates'!A$2:C$8,1))</f>
        <v>9260.5</v>
      </c>
      <c r="K702" s="14">
        <f>Table2[[#This Row],[Salary]]-Table2[[#This Row],[Taxes]]</f>
        <v>51289.5</v>
      </c>
      <c r="L702" s="15">
        <f>Table2[[#This Row],[After tax salary]]+Table2[[#This Row],[Bonus]]</f>
        <v>51289.5</v>
      </c>
    </row>
    <row r="703" spans="1:12" x14ac:dyDescent="0.25">
      <c r="A703" s="5" t="s">
        <v>340</v>
      </c>
      <c r="B703" s="5" t="s">
        <v>13</v>
      </c>
      <c r="C703" s="5" t="s">
        <v>30</v>
      </c>
      <c r="D703" s="5" t="s">
        <v>24</v>
      </c>
      <c r="E703" s="6">
        <v>40976</v>
      </c>
      <c r="F703" s="5" t="s">
        <v>4</v>
      </c>
      <c r="G703" s="10">
        <v>46380</v>
      </c>
      <c r="H703" s="7">
        <v>3</v>
      </c>
      <c r="I703" s="12">
        <f>IF(OR(Table2[[#This Row],[Rating]]=4,Table2[[#This Row],[Rating]]=5), 0.05*Table2[[#This Row],[Salary]],0)</f>
        <v>0</v>
      </c>
      <c r="J703" s="14">
        <f>VLOOKUP(Table2[[#This Row],[Salary]],'Tax rates'!A$2:C$8, 2) + VLOOKUP(Table2[[#This Row],[Salary]],'Tax rates'!A$2:C$8, 3) * (Table2[[#This Row],[Salary]] - VLOOKUP(Table2[[#This Row],[Salary]],'Tax rates'!A$2:C$8,1))</f>
        <v>6143.1</v>
      </c>
      <c r="K703" s="14">
        <f>Table2[[#This Row],[Salary]]-Table2[[#This Row],[Taxes]]</f>
        <v>40236.9</v>
      </c>
      <c r="L703" s="15">
        <f>Table2[[#This Row],[After tax salary]]+Table2[[#This Row],[Bonus]]</f>
        <v>40236.9</v>
      </c>
    </row>
    <row r="704" spans="1:12" x14ac:dyDescent="0.25">
      <c r="A704" s="5" t="s">
        <v>569</v>
      </c>
      <c r="B704" s="5" t="s">
        <v>27</v>
      </c>
      <c r="C704" s="5" t="s">
        <v>75</v>
      </c>
      <c r="D704" s="5" t="s">
        <v>16</v>
      </c>
      <c r="E704" s="6">
        <v>40983</v>
      </c>
      <c r="F704" s="7"/>
      <c r="G704" s="10">
        <v>64460</v>
      </c>
      <c r="H704" s="7">
        <v>1</v>
      </c>
      <c r="I704" s="12">
        <f>IF(OR(Table2[[#This Row],[Rating]]=4,Table2[[#This Row],[Rating]]=5), 0.05*Table2[[#This Row],[Salary]],0)</f>
        <v>0</v>
      </c>
      <c r="J704" s="14">
        <f>VLOOKUP(Table2[[#This Row],[Salary]],'Tax rates'!A$2:C$8, 2) + VLOOKUP(Table2[[#This Row],[Salary]],'Tax rates'!A$2:C$8, 3) * (Table2[[#This Row],[Salary]] - VLOOKUP(Table2[[#This Row],[Salary]],'Tax rates'!A$2:C$8,1))</f>
        <v>10120.700000000001</v>
      </c>
      <c r="K704" s="14">
        <f>Table2[[#This Row],[Salary]]-Table2[[#This Row],[Taxes]]</f>
        <v>54339.3</v>
      </c>
      <c r="L704" s="15">
        <f>Table2[[#This Row],[After tax salary]]+Table2[[#This Row],[Bonus]]</f>
        <v>54339.3</v>
      </c>
    </row>
    <row r="705" spans="1:12" x14ac:dyDescent="0.25">
      <c r="A705" s="5" t="s">
        <v>419</v>
      </c>
      <c r="B705" s="5" t="s">
        <v>1</v>
      </c>
      <c r="C705" s="5" t="s">
        <v>35</v>
      </c>
      <c r="D705" s="5" t="s">
        <v>3</v>
      </c>
      <c r="E705" s="6">
        <v>40986</v>
      </c>
      <c r="F705" s="5" t="s">
        <v>25</v>
      </c>
      <c r="G705" s="10">
        <v>46550</v>
      </c>
      <c r="H705" s="7">
        <v>4</v>
      </c>
      <c r="I705" s="12">
        <f>IF(OR(Table2[[#This Row],[Rating]]=4,Table2[[#This Row],[Rating]]=5), 0.05*Table2[[#This Row],[Salary]],0)</f>
        <v>2327.5</v>
      </c>
      <c r="J705" s="14">
        <f>VLOOKUP(Table2[[#This Row],[Salary]],'Tax rates'!A$2:C$8, 2) + VLOOKUP(Table2[[#This Row],[Salary]],'Tax rates'!A$2:C$8, 3) * (Table2[[#This Row],[Salary]] - VLOOKUP(Table2[[#This Row],[Salary]],'Tax rates'!A$2:C$8,1))</f>
        <v>6180.5</v>
      </c>
      <c r="K705" s="14">
        <f>Table2[[#This Row],[Salary]]-Table2[[#This Row],[Taxes]]</f>
        <v>40369.5</v>
      </c>
      <c r="L705" s="15">
        <f>Table2[[#This Row],[After tax salary]]+Table2[[#This Row],[Bonus]]</f>
        <v>42697</v>
      </c>
    </row>
    <row r="706" spans="1:12" x14ac:dyDescent="0.25">
      <c r="A706" s="5" t="s">
        <v>218</v>
      </c>
      <c r="B706" s="5" t="s">
        <v>1</v>
      </c>
      <c r="C706" s="5" t="s">
        <v>2</v>
      </c>
      <c r="D706" s="5" t="s">
        <v>3</v>
      </c>
      <c r="E706" s="6">
        <v>40990</v>
      </c>
      <c r="F706" s="5" t="s">
        <v>4</v>
      </c>
      <c r="G706" s="10">
        <v>65571</v>
      </c>
      <c r="H706" s="7">
        <v>3</v>
      </c>
      <c r="I706" s="12">
        <f>IF(OR(Table2[[#This Row],[Rating]]=4,Table2[[#This Row],[Rating]]=5), 0.05*Table2[[#This Row],[Salary]],0)</f>
        <v>0</v>
      </c>
      <c r="J706" s="14">
        <f>VLOOKUP(Table2[[#This Row],[Salary]],'Tax rates'!A$2:C$8, 2) + VLOOKUP(Table2[[#This Row],[Salary]],'Tax rates'!A$2:C$8, 3) * (Table2[[#This Row],[Salary]] - VLOOKUP(Table2[[#This Row],[Salary]],'Tax rates'!A$2:C$8,1))</f>
        <v>10365.119999999999</v>
      </c>
      <c r="K706" s="14">
        <f>Table2[[#This Row],[Salary]]-Table2[[#This Row],[Taxes]]</f>
        <v>55205.880000000005</v>
      </c>
      <c r="L706" s="15">
        <f>Table2[[#This Row],[After tax salary]]+Table2[[#This Row],[Bonus]]</f>
        <v>55205.880000000005</v>
      </c>
    </row>
    <row r="707" spans="1:12" x14ac:dyDescent="0.25">
      <c r="A707" s="5" t="s">
        <v>347</v>
      </c>
      <c r="B707" s="5" t="s">
        <v>1</v>
      </c>
      <c r="C707" s="5" t="s">
        <v>59</v>
      </c>
      <c r="D707" s="5" t="s">
        <v>3</v>
      </c>
      <c r="E707" s="6">
        <v>41000</v>
      </c>
      <c r="F707" s="5" t="s">
        <v>25</v>
      </c>
      <c r="G707" s="10">
        <v>60560</v>
      </c>
      <c r="H707" s="7">
        <v>4</v>
      </c>
      <c r="I707" s="12">
        <f>IF(OR(Table2[[#This Row],[Rating]]=4,Table2[[#This Row],[Rating]]=5), 0.05*Table2[[#This Row],[Salary]],0)</f>
        <v>3028</v>
      </c>
      <c r="J707" s="14">
        <f>VLOOKUP(Table2[[#This Row],[Salary]],'Tax rates'!A$2:C$8, 2) + VLOOKUP(Table2[[#This Row],[Salary]],'Tax rates'!A$2:C$8, 3) * (Table2[[#This Row],[Salary]] - VLOOKUP(Table2[[#This Row],[Salary]],'Tax rates'!A$2:C$8,1))</f>
        <v>9262.7000000000007</v>
      </c>
      <c r="K707" s="14">
        <f>Table2[[#This Row],[Salary]]-Table2[[#This Row],[Taxes]]</f>
        <v>51297.3</v>
      </c>
      <c r="L707" s="15">
        <f>Table2[[#This Row],[After tax salary]]+Table2[[#This Row],[Bonus]]</f>
        <v>54325.3</v>
      </c>
    </row>
    <row r="708" spans="1:12" x14ac:dyDescent="0.25">
      <c r="A708" s="5" t="s">
        <v>579</v>
      </c>
      <c r="B708" s="5" t="s">
        <v>13</v>
      </c>
      <c r="C708" s="5" t="s">
        <v>59</v>
      </c>
      <c r="D708" s="5" t="s">
        <v>3</v>
      </c>
      <c r="E708" s="6">
        <v>41007</v>
      </c>
      <c r="F708" s="5" t="s">
        <v>4</v>
      </c>
      <c r="G708" s="10">
        <v>37020</v>
      </c>
      <c r="H708" s="7">
        <v>2</v>
      </c>
      <c r="I708" s="12">
        <f>IF(OR(Table2[[#This Row],[Rating]]=4,Table2[[#This Row],[Rating]]=5), 0.05*Table2[[#This Row],[Salary]],0)</f>
        <v>0</v>
      </c>
      <c r="J708" s="14">
        <f>VLOOKUP(Table2[[#This Row],[Salary]],'Tax rates'!A$2:C$8, 2) + VLOOKUP(Table2[[#This Row],[Salary]],'Tax rates'!A$2:C$8, 3) * (Table2[[#This Row],[Salary]] - VLOOKUP(Table2[[#This Row],[Salary]],'Tax rates'!A$2:C$8,1))</f>
        <v>4251.8999999999996</v>
      </c>
      <c r="K708" s="14">
        <f>Table2[[#This Row],[Salary]]-Table2[[#This Row],[Taxes]]</f>
        <v>32768.1</v>
      </c>
      <c r="L708" s="15">
        <f>Table2[[#This Row],[After tax salary]]+Table2[[#This Row],[Bonus]]</f>
        <v>32768.1</v>
      </c>
    </row>
    <row r="709" spans="1:12" x14ac:dyDescent="0.25">
      <c r="A709" s="5" t="s">
        <v>410</v>
      </c>
      <c r="B709" s="5" t="s">
        <v>13</v>
      </c>
      <c r="C709" s="5" t="s">
        <v>8</v>
      </c>
      <c r="D709" s="5" t="s">
        <v>24</v>
      </c>
      <c r="E709" s="6">
        <v>41014</v>
      </c>
      <c r="F709" s="5" t="s">
        <v>4</v>
      </c>
      <c r="G709" s="10">
        <v>34110</v>
      </c>
      <c r="H709" s="7">
        <v>4</v>
      </c>
      <c r="I709" s="12">
        <f>IF(OR(Table2[[#This Row],[Rating]]=4,Table2[[#This Row],[Rating]]=5), 0.05*Table2[[#This Row],[Salary]],0)</f>
        <v>1705.5</v>
      </c>
      <c r="J709" s="14">
        <f>VLOOKUP(Table2[[#This Row],[Salary]],'Tax rates'!A$2:C$8, 2) + VLOOKUP(Table2[[#This Row],[Salary]],'Tax rates'!A$2:C$8, 3) * (Table2[[#This Row],[Salary]] - VLOOKUP(Table2[[#This Row],[Salary]],'Tax rates'!A$2:C$8,1))</f>
        <v>3902.7</v>
      </c>
      <c r="K709" s="14">
        <f>Table2[[#This Row],[Salary]]-Table2[[#This Row],[Taxes]]</f>
        <v>30207.3</v>
      </c>
      <c r="L709" s="15">
        <f>Table2[[#This Row],[After tax salary]]+Table2[[#This Row],[Bonus]]</f>
        <v>31912.799999999999</v>
      </c>
    </row>
    <row r="710" spans="1:12" x14ac:dyDescent="0.25">
      <c r="A710" s="5" t="s">
        <v>539</v>
      </c>
      <c r="B710" s="5" t="s">
        <v>1</v>
      </c>
      <c r="C710" s="5" t="s">
        <v>2</v>
      </c>
      <c r="D710" s="5" t="s">
        <v>3</v>
      </c>
      <c r="E710" s="6">
        <v>41016</v>
      </c>
      <c r="F710" s="5" t="s">
        <v>4</v>
      </c>
      <c r="G710" s="10">
        <v>68470</v>
      </c>
      <c r="H710" s="7">
        <v>4</v>
      </c>
      <c r="I710" s="12">
        <f>IF(OR(Table2[[#This Row],[Rating]]=4,Table2[[#This Row],[Rating]]=5), 0.05*Table2[[#This Row],[Salary]],0)</f>
        <v>3423.5</v>
      </c>
      <c r="J710" s="14">
        <f>VLOOKUP(Table2[[#This Row],[Salary]],'Tax rates'!A$2:C$8, 2) + VLOOKUP(Table2[[#This Row],[Salary]],'Tax rates'!A$2:C$8, 3) * (Table2[[#This Row],[Salary]] - VLOOKUP(Table2[[#This Row],[Salary]],'Tax rates'!A$2:C$8,1))</f>
        <v>11002.9</v>
      </c>
      <c r="K710" s="14">
        <f>Table2[[#This Row],[Salary]]-Table2[[#This Row],[Taxes]]</f>
        <v>57467.1</v>
      </c>
      <c r="L710" s="15">
        <f>Table2[[#This Row],[After tax salary]]+Table2[[#This Row],[Bonus]]</f>
        <v>60890.6</v>
      </c>
    </row>
    <row r="711" spans="1:12" x14ac:dyDescent="0.25">
      <c r="A711" s="5" t="s">
        <v>72</v>
      </c>
      <c r="B711" s="5" t="s">
        <v>1</v>
      </c>
      <c r="C711" s="5" t="s">
        <v>73</v>
      </c>
      <c r="D711" s="5" t="s">
        <v>3</v>
      </c>
      <c r="E711" s="6">
        <v>41018</v>
      </c>
      <c r="F711" s="5" t="s">
        <v>4</v>
      </c>
      <c r="G711" s="10">
        <v>46220</v>
      </c>
      <c r="H711" s="7">
        <v>3</v>
      </c>
      <c r="I711" s="12">
        <f>IF(OR(Table2[[#This Row],[Rating]]=4,Table2[[#This Row],[Rating]]=5), 0.05*Table2[[#This Row],[Salary]],0)</f>
        <v>0</v>
      </c>
      <c r="J711" s="14">
        <f>VLOOKUP(Table2[[#This Row],[Salary]],'Tax rates'!A$2:C$8, 2) + VLOOKUP(Table2[[#This Row],[Salary]],'Tax rates'!A$2:C$8, 3) * (Table2[[#This Row],[Salary]] - VLOOKUP(Table2[[#This Row],[Salary]],'Tax rates'!A$2:C$8,1))</f>
        <v>6107.9</v>
      </c>
      <c r="K711" s="14">
        <f>Table2[[#This Row],[Salary]]-Table2[[#This Row],[Taxes]]</f>
        <v>40112.1</v>
      </c>
      <c r="L711" s="15">
        <f>Table2[[#This Row],[After tax salary]]+Table2[[#This Row],[Bonus]]</f>
        <v>40112.1</v>
      </c>
    </row>
    <row r="712" spans="1:12" x14ac:dyDescent="0.25">
      <c r="A712" s="5" t="s">
        <v>293</v>
      </c>
      <c r="B712" s="5" t="s">
        <v>13</v>
      </c>
      <c r="C712" s="5" t="s">
        <v>18</v>
      </c>
      <c r="D712" s="5" t="s">
        <v>3</v>
      </c>
      <c r="E712" s="6">
        <v>41025</v>
      </c>
      <c r="F712" s="5" t="s">
        <v>11</v>
      </c>
      <c r="G712" s="10">
        <v>58910</v>
      </c>
      <c r="H712" s="7">
        <v>1</v>
      </c>
      <c r="I712" s="12">
        <f>IF(OR(Table2[[#This Row],[Rating]]=4,Table2[[#This Row],[Rating]]=5), 0.05*Table2[[#This Row],[Salary]],0)</f>
        <v>0</v>
      </c>
      <c r="J712" s="14">
        <f>VLOOKUP(Table2[[#This Row],[Salary]],'Tax rates'!A$2:C$8, 2) + VLOOKUP(Table2[[#This Row],[Salary]],'Tax rates'!A$2:C$8, 3) * (Table2[[#This Row],[Salary]] - VLOOKUP(Table2[[#This Row],[Salary]],'Tax rates'!A$2:C$8,1))</f>
        <v>8899.7000000000007</v>
      </c>
      <c r="K712" s="14">
        <f>Table2[[#This Row],[Salary]]-Table2[[#This Row],[Taxes]]</f>
        <v>50010.3</v>
      </c>
      <c r="L712" s="15">
        <f>Table2[[#This Row],[After tax salary]]+Table2[[#This Row],[Bonus]]</f>
        <v>50010.3</v>
      </c>
    </row>
    <row r="713" spans="1:12" x14ac:dyDescent="0.25">
      <c r="A713" s="5" t="s">
        <v>259</v>
      </c>
      <c r="B713" s="5" t="s">
        <v>6</v>
      </c>
      <c r="C713" s="5" t="s">
        <v>18</v>
      </c>
      <c r="D713" s="5" t="s">
        <v>3</v>
      </c>
      <c r="E713" s="6">
        <v>41026</v>
      </c>
      <c r="F713" s="5" t="s">
        <v>11</v>
      </c>
      <c r="G713" s="10">
        <v>26190</v>
      </c>
      <c r="H713" s="7">
        <v>5</v>
      </c>
      <c r="I713" s="12">
        <f>IF(OR(Table2[[#This Row],[Rating]]=4,Table2[[#This Row],[Rating]]=5), 0.05*Table2[[#This Row],[Salary]],0)</f>
        <v>1309.5</v>
      </c>
      <c r="J713" s="14">
        <f>VLOOKUP(Table2[[#This Row],[Salary]],'Tax rates'!A$2:C$8, 2) + VLOOKUP(Table2[[#This Row],[Salary]],'Tax rates'!A$2:C$8, 3) * (Table2[[#This Row],[Salary]] - VLOOKUP(Table2[[#This Row],[Salary]],'Tax rates'!A$2:C$8,1))</f>
        <v>2952.3</v>
      </c>
      <c r="K713" s="14">
        <f>Table2[[#This Row],[Salary]]-Table2[[#This Row],[Taxes]]</f>
        <v>23237.7</v>
      </c>
      <c r="L713" s="15">
        <f>Table2[[#This Row],[After tax salary]]+Table2[[#This Row],[Bonus]]</f>
        <v>24547.200000000001</v>
      </c>
    </row>
    <row r="714" spans="1:12" x14ac:dyDescent="0.25">
      <c r="A714" s="5" t="s">
        <v>463</v>
      </c>
      <c r="B714" s="5" t="s">
        <v>1</v>
      </c>
      <c r="C714" s="5" t="s">
        <v>37</v>
      </c>
      <c r="D714" s="5" t="s">
        <v>3</v>
      </c>
      <c r="E714" s="6">
        <v>41046</v>
      </c>
      <c r="F714" s="5" t="s">
        <v>4</v>
      </c>
      <c r="G714" s="10">
        <v>48550</v>
      </c>
      <c r="H714" s="7">
        <v>5</v>
      </c>
      <c r="I714" s="12">
        <f>IF(OR(Table2[[#This Row],[Rating]]=4,Table2[[#This Row],[Rating]]=5), 0.05*Table2[[#This Row],[Salary]],0)</f>
        <v>2427.5</v>
      </c>
      <c r="J714" s="14">
        <f>VLOOKUP(Table2[[#This Row],[Salary]],'Tax rates'!A$2:C$8, 2) + VLOOKUP(Table2[[#This Row],[Salary]],'Tax rates'!A$2:C$8, 3) * (Table2[[#This Row],[Salary]] - VLOOKUP(Table2[[#This Row],[Salary]],'Tax rates'!A$2:C$8,1))</f>
        <v>6620.5</v>
      </c>
      <c r="K714" s="14">
        <f>Table2[[#This Row],[Salary]]-Table2[[#This Row],[Taxes]]</f>
        <v>41929.5</v>
      </c>
      <c r="L714" s="15">
        <f>Table2[[#This Row],[After tax salary]]+Table2[[#This Row],[Bonus]]</f>
        <v>44357</v>
      </c>
    </row>
    <row r="715" spans="1:12" x14ac:dyDescent="0.25">
      <c r="A715" s="5" t="s">
        <v>600</v>
      </c>
      <c r="B715" s="5" t="s">
        <v>1</v>
      </c>
      <c r="C715" s="5" t="s">
        <v>75</v>
      </c>
      <c r="D715" s="5" t="s">
        <v>3</v>
      </c>
      <c r="E715" s="6">
        <v>41051</v>
      </c>
      <c r="F715" s="5" t="s">
        <v>25</v>
      </c>
      <c r="G715" s="10">
        <v>31830</v>
      </c>
      <c r="H715" s="7">
        <v>3</v>
      </c>
      <c r="I715" s="12">
        <f>IF(OR(Table2[[#This Row],[Rating]]=4,Table2[[#This Row],[Rating]]=5), 0.05*Table2[[#This Row],[Salary]],0)</f>
        <v>0</v>
      </c>
      <c r="J715" s="14">
        <f>VLOOKUP(Table2[[#This Row],[Salary]],'Tax rates'!A$2:C$8, 2) + VLOOKUP(Table2[[#This Row],[Salary]],'Tax rates'!A$2:C$8, 3) * (Table2[[#This Row],[Salary]] - VLOOKUP(Table2[[#This Row],[Salary]],'Tax rates'!A$2:C$8,1))</f>
        <v>3629.1</v>
      </c>
      <c r="K715" s="14">
        <f>Table2[[#This Row],[Salary]]-Table2[[#This Row],[Taxes]]</f>
        <v>28200.9</v>
      </c>
      <c r="L715" s="15">
        <f>Table2[[#This Row],[After tax salary]]+Table2[[#This Row],[Bonus]]</f>
        <v>28200.9</v>
      </c>
    </row>
    <row r="716" spans="1:12" x14ac:dyDescent="0.25">
      <c r="A716" s="5" t="s">
        <v>386</v>
      </c>
      <c r="B716" s="5" t="s">
        <v>51</v>
      </c>
      <c r="C716" s="5" t="s">
        <v>18</v>
      </c>
      <c r="D716" s="5" t="s">
        <v>32</v>
      </c>
      <c r="E716" s="6">
        <v>41056</v>
      </c>
      <c r="F716" s="7"/>
      <c r="G716" s="10">
        <v>22344</v>
      </c>
      <c r="H716" s="7">
        <v>4</v>
      </c>
      <c r="I716" s="12">
        <f>IF(OR(Table2[[#This Row],[Rating]]=4,Table2[[#This Row],[Rating]]=5), 0.05*Table2[[#This Row],[Salary]],0)</f>
        <v>1117.2</v>
      </c>
      <c r="J716" s="14">
        <f>VLOOKUP(Table2[[#This Row],[Salary]],'Tax rates'!A$2:C$8, 2) + VLOOKUP(Table2[[#This Row],[Salary]],'Tax rates'!A$2:C$8, 3) * (Table2[[#This Row],[Salary]] - VLOOKUP(Table2[[#This Row],[Salary]],'Tax rates'!A$2:C$8,1))</f>
        <v>2490.7799999999997</v>
      </c>
      <c r="K716" s="14">
        <f>Table2[[#This Row],[Salary]]-Table2[[#This Row],[Taxes]]</f>
        <v>19853.22</v>
      </c>
      <c r="L716" s="15">
        <f>Table2[[#This Row],[After tax salary]]+Table2[[#This Row],[Bonus]]</f>
        <v>20970.420000000002</v>
      </c>
    </row>
    <row r="717" spans="1:12" x14ac:dyDescent="0.25">
      <c r="A717" s="5" t="s">
        <v>117</v>
      </c>
      <c r="B717" s="5" t="s">
        <v>27</v>
      </c>
      <c r="C717" s="5" t="s">
        <v>59</v>
      </c>
      <c r="D717" s="5" t="s">
        <v>3</v>
      </c>
      <c r="E717" s="6">
        <v>41070</v>
      </c>
      <c r="F717" s="5" t="s">
        <v>25</v>
      </c>
      <c r="G717" s="10">
        <v>73930</v>
      </c>
      <c r="H717" s="7">
        <v>1</v>
      </c>
      <c r="I717" s="12">
        <f>IF(OR(Table2[[#This Row],[Rating]]=4,Table2[[#This Row],[Rating]]=5), 0.05*Table2[[#This Row],[Salary]],0)</f>
        <v>0</v>
      </c>
      <c r="J717" s="14">
        <f>VLOOKUP(Table2[[#This Row],[Salary]],'Tax rates'!A$2:C$8, 2) + VLOOKUP(Table2[[#This Row],[Salary]],'Tax rates'!A$2:C$8, 3) * (Table2[[#This Row],[Salary]] - VLOOKUP(Table2[[#This Row],[Salary]],'Tax rates'!A$2:C$8,1))</f>
        <v>12204.1</v>
      </c>
      <c r="K717" s="14">
        <f>Table2[[#This Row],[Salary]]-Table2[[#This Row],[Taxes]]</f>
        <v>61725.9</v>
      </c>
      <c r="L717" s="15">
        <f>Table2[[#This Row],[After tax salary]]+Table2[[#This Row],[Bonus]]</f>
        <v>61725.9</v>
      </c>
    </row>
    <row r="718" spans="1:12" x14ac:dyDescent="0.25">
      <c r="A718" s="5" t="s">
        <v>224</v>
      </c>
      <c r="B718" s="5" t="s">
        <v>1</v>
      </c>
      <c r="C718" s="5" t="s">
        <v>18</v>
      </c>
      <c r="D718" s="5" t="s">
        <v>16</v>
      </c>
      <c r="E718" s="6">
        <v>41079</v>
      </c>
      <c r="F718" s="7"/>
      <c r="G718" s="10">
        <v>32190</v>
      </c>
      <c r="H718" s="7">
        <v>3</v>
      </c>
      <c r="I718" s="12">
        <f>IF(OR(Table2[[#This Row],[Rating]]=4,Table2[[#This Row],[Rating]]=5), 0.05*Table2[[#This Row],[Salary]],0)</f>
        <v>0</v>
      </c>
      <c r="J718" s="14">
        <f>VLOOKUP(Table2[[#This Row],[Salary]],'Tax rates'!A$2:C$8, 2) + VLOOKUP(Table2[[#This Row],[Salary]],'Tax rates'!A$2:C$8, 3) * (Table2[[#This Row],[Salary]] - VLOOKUP(Table2[[#This Row],[Salary]],'Tax rates'!A$2:C$8,1))</f>
        <v>3672.2999999999997</v>
      </c>
      <c r="K718" s="14">
        <f>Table2[[#This Row],[Salary]]-Table2[[#This Row],[Taxes]]</f>
        <v>28517.7</v>
      </c>
      <c r="L718" s="15">
        <f>Table2[[#This Row],[After tax salary]]+Table2[[#This Row],[Bonus]]</f>
        <v>28517.7</v>
      </c>
    </row>
    <row r="719" spans="1:12" x14ac:dyDescent="0.25">
      <c r="A719" s="5" t="s">
        <v>338</v>
      </c>
      <c r="B719" s="5" t="s">
        <v>13</v>
      </c>
      <c r="C719" s="5" t="s">
        <v>75</v>
      </c>
      <c r="D719" s="5" t="s">
        <v>3</v>
      </c>
      <c r="E719" s="6">
        <v>41091</v>
      </c>
      <c r="F719" s="5" t="s">
        <v>4</v>
      </c>
      <c r="G719" s="10">
        <v>71150</v>
      </c>
      <c r="H719" s="7">
        <v>2</v>
      </c>
      <c r="I719" s="12">
        <f>IF(OR(Table2[[#This Row],[Rating]]=4,Table2[[#This Row],[Rating]]=5), 0.05*Table2[[#This Row],[Salary]],0)</f>
        <v>0</v>
      </c>
      <c r="J719" s="14">
        <f>VLOOKUP(Table2[[#This Row],[Salary]],'Tax rates'!A$2:C$8, 2) + VLOOKUP(Table2[[#This Row],[Salary]],'Tax rates'!A$2:C$8, 3) * (Table2[[#This Row],[Salary]] - VLOOKUP(Table2[[#This Row],[Salary]],'Tax rates'!A$2:C$8,1))</f>
        <v>11592.5</v>
      </c>
      <c r="K719" s="14">
        <f>Table2[[#This Row],[Salary]]-Table2[[#This Row],[Taxes]]</f>
        <v>59557.5</v>
      </c>
      <c r="L719" s="15">
        <f>Table2[[#This Row],[After tax salary]]+Table2[[#This Row],[Bonus]]</f>
        <v>59557.5</v>
      </c>
    </row>
    <row r="720" spans="1:12" x14ac:dyDescent="0.25">
      <c r="A720" s="5" t="s">
        <v>94</v>
      </c>
      <c r="B720" s="5" t="s">
        <v>13</v>
      </c>
      <c r="C720" s="5" t="s">
        <v>35</v>
      </c>
      <c r="D720" s="5" t="s">
        <v>16</v>
      </c>
      <c r="E720" s="6">
        <v>41094</v>
      </c>
      <c r="F720" s="7"/>
      <c r="G720" s="10">
        <v>59128</v>
      </c>
      <c r="H720" s="7">
        <v>4</v>
      </c>
      <c r="I720" s="12">
        <f>IF(OR(Table2[[#This Row],[Rating]]=4,Table2[[#This Row],[Rating]]=5), 0.05*Table2[[#This Row],[Salary]],0)</f>
        <v>2956.4</v>
      </c>
      <c r="J720" s="14">
        <f>VLOOKUP(Table2[[#This Row],[Salary]],'Tax rates'!A$2:C$8, 2) + VLOOKUP(Table2[[#This Row],[Salary]],'Tax rates'!A$2:C$8, 3) * (Table2[[#This Row],[Salary]] - VLOOKUP(Table2[[#This Row],[Salary]],'Tax rates'!A$2:C$8,1))</f>
        <v>8947.66</v>
      </c>
      <c r="K720" s="14">
        <f>Table2[[#This Row],[Salary]]-Table2[[#This Row],[Taxes]]</f>
        <v>50180.34</v>
      </c>
      <c r="L720" s="15">
        <f>Table2[[#This Row],[After tax salary]]+Table2[[#This Row],[Bonus]]</f>
        <v>53136.74</v>
      </c>
    </row>
    <row r="721" spans="1:12" x14ac:dyDescent="0.25">
      <c r="A721" s="5" t="s">
        <v>195</v>
      </c>
      <c r="B721" s="5" t="s">
        <v>6</v>
      </c>
      <c r="C721" s="5" t="s">
        <v>35</v>
      </c>
      <c r="D721" s="5" t="s">
        <v>3</v>
      </c>
      <c r="E721" s="6">
        <v>41111</v>
      </c>
      <c r="F721" s="5" t="s">
        <v>25</v>
      </c>
      <c r="G721" s="10">
        <v>62780</v>
      </c>
      <c r="H721" s="7">
        <v>3</v>
      </c>
      <c r="I721" s="12">
        <f>IF(OR(Table2[[#This Row],[Rating]]=4,Table2[[#This Row],[Rating]]=5), 0.05*Table2[[#This Row],[Salary]],0)</f>
        <v>0</v>
      </c>
      <c r="J721" s="14">
        <f>VLOOKUP(Table2[[#This Row],[Salary]],'Tax rates'!A$2:C$8, 2) + VLOOKUP(Table2[[#This Row],[Salary]],'Tax rates'!A$2:C$8, 3) * (Table2[[#This Row],[Salary]] - VLOOKUP(Table2[[#This Row],[Salary]],'Tax rates'!A$2:C$8,1))</f>
        <v>9751.1</v>
      </c>
      <c r="K721" s="14">
        <f>Table2[[#This Row],[Salary]]-Table2[[#This Row],[Taxes]]</f>
        <v>53028.9</v>
      </c>
      <c r="L721" s="15">
        <f>Table2[[#This Row],[After tax salary]]+Table2[[#This Row],[Bonus]]</f>
        <v>53028.9</v>
      </c>
    </row>
    <row r="722" spans="1:12" x14ac:dyDescent="0.25">
      <c r="A722" s="5" t="s">
        <v>726</v>
      </c>
      <c r="B722" s="5" t="s">
        <v>1</v>
      </c>
      <c r="C722" s="5" t="s">
        <v>23</v>
      </c>
      <c r="D722" s="5" t="s">
        <v>16</v>
      </c>
      <c r="E722" s="6">
        <v>41116</v>
      </c>
      <c r="F722" s="7"/>
      <c r="G722" s="10">
        <v>32650</v>
      </c>
      <c r="H722" s="7">
        <v>1</v>
      </c>
      <c r="I722" s="12">
        <f>IF(OR(Table2[[#This Row],[Rating]]=4,Table2[[#This Row],[Rating]]=5), 0.05*Table2[[#This Row],[Salary]],0)</f>
        <v>0</v>
      </c>
      <c r="J722" s="14">
        <f>VLOOKUP(Table2[[#This Row],[Salary]],'Tax rates'!A$2:C$8, 2) + VLOOKUP(Table2[[#This Row],[Salary]],'Tax rates'!A$2:C$8, 3) * (Table2[[#This Row],[Salary]] - VLOOKUP(Table2[[#This Row],[Salary]],'Tax rates'!A$2:C$8,1))</f>
        <v>3727.5</v>
      </c>
      <c r="K722" s="14">
        <f>Table2[[#This Row],[Salary]]-Table2[[#This Row],[Taxes]]</f>
        <v>28922.5</v>
      </c>
      <c r="L722" s="15">
        <f>Table2[[#This Row],[After tax salary]]+Table2[[#This Row],[Bonus]]</f>
        <v>28922.5</v>
      </c>
    </row>
    <row r="723" spans="1:12" x14ac:dyDescent="0.25">
      <c r="A723" s="5" t="s">
        <v>488</v>
      </c>
      <c r="B723" s="5" t="s">
        <v>6</v>
      </c>
      <c r="C723" s="5" t="s">
        <v>18</v>
      </c>
      <c r="D723" s="5" t="s">
        <v>16</v>
      </c>
      <c r="E723" s="6">
        <v>41124</v>
      </c>
      <c r="F723" s="7"/>
      <c r="G723" s="10">
        <v>49530</v>
      </c>
      <c r="H723" s="7">
        <v>2</v>
      </c>
      <c r="I723" s="12">
        <f>IF(OR(Table2[[#This Row],[Rating]]=4,Table2[[#This Row],[Rating]]=5), 0.05*Table2[[#This Row],[Salary]],0)</f>
        <v>0</v>
      </c>
      <c r="J723" s="14">
        <f>VLOOKUP(Table2[[#This Row],[Salary]],'Tax rates'!A$2:C$8, 2) + VLOOKUP(Table2[[#This Row],[Salary]],'Tax rates'!A$2:C$8, 3) * (Table2[[#This Row],[Salary]] - VLOOKUP(Table2[[#This Row],[Salary]],'Tax rates'!A$2:C$8,1))</f>
        <v>6836.1</v>
      </c>
      <c r="K723" s="14">
        <f>Table2[[#This Row],[Salary]]-Table2[[#This Row],[Taxes]]</f>
        <v>42693.9</v>
      </c>
      <c r="L723" s="15">
        <f>Table2[[#This Row],[After tax salary]]+Table2[[#This Row],[Bonus]]</f>
        <v>42693.9</v>
      </c>
    </row>
    <row r="724" spans="1:12" x14ac:dyDescent="0.25">
      <c r="A724" s="5" t="s">
        <v>668</v>
      </c>
      <c r="B724" s="5" t="s">
        <v>13</v>
      </c>
      <c r="C724" s="5" t="s">
        <v>35</v>
      </c>
      <c r="D724" s="5" t="s">
        <v>16</v>
      </c>
      <c r="E724" s="6">
        <v>41125</v>
      </c>
      <c r="F724" s="7"/>
      <c r="G724" s="10">
        <v>70300</v>
      </c>
      <c r="H724" s="7">
        <v>3</v>
      </c>
      <c r="I724" s="12">
        <f>IF(OR(Table2[[#This Row],[Rating]]=4,Table2[[#This Row],[Rating]]=5), 0.05*Table2[[#This Row],[Salary]],0)</f>
        <v>0</v>
      </c>
      <c r="J724" s="14">
        <f>VLOOKUP(Table2[[#This Row],[Salary]],'Tax rates'!A$2:C$8, 2) + VLOOKUP(Table2[[#This Row],[Salary]],'Tax rates'!A$2:C$8, 3) * (Table2[[#This Row],[Salary]] - VLOOKUP(Table2[[#This Row],[Salary]],'Tax rates'!A$2:C$8,1))</f>
        <v>11405.5</v>
      </c>
      <c r="K724" s="14">
        <f>Table2[[#This Row],[Salary]]-Table2[[#This Row],[Taxes]]</f>
        <v>58894.5</v>
      </c>
      <c r="L724" s="15">
        <f>Table2[[#This Row],[After tax salary]]+Table2[[#This Row],[Bonus]]</f>
        <v>58894.5</v>
      </c>
    </row>
    <row r="725" spans="1:12" x14ac:dyDescent="0.25">
      <c r="A725" s="5" t="s">
        <v>425</v>
      </c>
      <c r="B725" s="5" t="s">
        <v>1</v>
      </c>
      <c r="C725" s="5" t="s">
        <v>20</v>
      </c>
      <c r="D725" s="5" t="s">
        <v>3</v>
      </c>
      <c r="E725" s="6">
        <v>41128</v>
      </c>
      <c r="F725" s="5" t="s">
        <v>11</v>
      </c>
      <c r="G725" s="10">
        <v>82760</v>
      </c>
      <c r="H725" s="7">
        <v>4</v>
      </c>
      <c r="I725" s="12">
        <f>IF(OR(Table2[[#This Row],[Rating]]=4,Table2[[#This Row],[Rating]]=5), 0.05*Table2[[#This Row],[Salary]],0)</f>
        <v>4138</v>
      </c>
      <c r="J725" s="14">
        <f>VLOOKUP(Table2[[#This Row],[Salary]],'Tax rates'!A$2:C$8, 2) + VLOOKUP(Table2[[#This Row],[Salary]],'Tax rates'!A$2:C$8, 3) * (Table2[[#This Row],[Salary]] - VLOOKUP(Table2[[#This Row],[Salary]],'Tax rates'!A$2:C$8,1))</f>
        <v>14151.9</v>
      </c>
      <c r="K725" s="14">
        <f>Table2[[#This Row],[Salary]]-Table2[[#This Row],[Taxes]]</f>
        <v>68608.100000000006</v>
      </c>
      <c r="L725" s="15">
        <f>Table2[[#This Row],[After tax salary]]+Table2[[#This Row],[Bonus]]</f>
        <v>72746.100000000006</v>
      </c>
    </row>
    <row r="726" spans="1:12" x14ac:dyDescent="0.25">
      <c r="A726" s="5" t="s">
        <v>756</v>
      </c>
      <c r="B726" s="5" t="s">
        <v>1</v>
      </c>
      <c r="C726" s="5" t="s">
        <v>106</v>
      </c>
      <c r="D726" s="5" t="s">
        <v>3</v>
      </c>
      <c r="E726" s="6">
        <v>41136</v>
      </c>
      <c r="F726" s="5" t="s">
        <v>4</v>
      </c>
      <c r="G726" s="10">
        <v>79760</v>
      </c>
      <c r="H726" s="7">
        <v>5</v>
      </c>
      <c r="I726" s="12">
        <f>IF(OR(Table2[[#This Row],[Rating]]=4,Table2[[#This Row],[Rating]]=5), 0.05*Table2[[#This Row],[Salary]],0)</f>
        <v>3988</v>
      </c>
      <c r="J726" s="14">
        <f>VLOOKUP(Table2[[#This Row],[Salary]],'Tax rates'!A$2:C$8, 2) + VLOOKUP(Table2[[#This Row],[Salary]],'Tax rates'!A$2:C$8, 3) * (Table2[[#This Row],[Salary]] - VLOOKUP(Table2[[#This Row],[Salary]],'Tax rates'!A$2:C$8,1))</f>
        <v>13486.7</v>
      </c>
      <c r="K726" s="14">
        <f>Table2[[#This Row],[Salary]]-Table2[[#This Row],[Taxes]]</f>
        <v>66273.3</v>
      </c>
      <c r="L726" s="15">
        <f>Table2[[#This Row],[After tax salary]]+Table2[[#This Row],[Bonus]]</f>
        <v>70261.3</v>
      </c>
    </row>
    <row r="727" spans="1:12" x14ac:dyDescent="0.25">
      <c r="A727" s="5" t="s">
        <v>140</v>
      </c>
      <c r="B727" s="5" t="s">
        <v>51</v>
      </c>
      <c r="C727" s="5" t="s">
        <v>15</v>
      </c>
      <c r="D727" s="5" t="s">
        <v>3</v>
      </c>
      <c r="E727" s="6">
        <v>41137</v>
      </c>
      <c r="F727" s="5" t="s">
        <v>4</v>
      </c>
      <c r="G727" s="10">
        <v>39160</v>
      </c>
      <c r="H727" s="7">
        <v>3</v>
      </c>
      <c r="I727" s="12">
        <f>IF(OR(Table2[[#This Row],[Rating]]=4,Table2[[#This Row],[Rating]]=5), 0.05*Table2[[#This Row],[Salary]],0)</f>
        <v>0</v>
      </c>
      <c r="J727" s="14">
        <f>VLOOKUP(Table2[[#This Row],[Salary]],'Tax rates'!A$2:C$8, 2) + VLOOKUP(Table2[[#This Row],[Salary]],'Tax rates'!A$2:C$8, 3) * (Table2[[#This Row],[Salary]] - VLOOKUP(Table2[[#This Row],[Salary]],'Tax rates'!A$2:C$8,1))</f>
        <v>4554.7</v>
      </c>
      <c r="K727" s="14">
        <f>Table2[[#This Row],[Salary]]-Table2[[#This Row],[Taxes]]</f>
        <v>34605.300000000003</v>
      </c>
      <c r="L727" s="15">
        <f>Table2[[#This Row],[After tax salary]]+Table2[[#This Row],[Bonus]]</f>
        <v>34605.300000000003</v>
      </c>
    </row>
    <row r="728" spans="1:12" x14ac:dyDescent="0.25">
      <c r="A728" s="5" t="s">
        <v>216</v>
      </c>
      <c r="B728" s="5" t="s">
        <v>27</v>
      </c>
      <c r="C728" s="5" t="s">
        <v>197</v>
      </c>
      <c r="D728" s="5" t="s">
        <v>32</v>
      </c>
      <c r="E728" s="6">
        <v>41151</v>
      </c>
      <c r="F728" s="7"/>
      <c r="G728" s="10">
        <v>35680</v>
      </c>
      <c r="H728" s="7">
        <v>2</v>
      </c>
      <c r="I728" s="12">
        <f>IF(OR(Table2[[#This Row],[Rating]]=4,Table2[[#This Row],[Rating]]=5), 0.05*Table2[[#This Row],[Salary]],0)</f>
        <v>0</v>
      </c>
      <c r="J728" s="14">
        <f>VLOOKUP(Table2[[#This Row],[Salary]],'Tax rates'!A$2:C$8, 2) + VLOOKUP(Table2[[#This Row],[Salary]],'Tax rates'!A$2:C$8, 3) * (Table2[[#This Row],[Salary]] - VLOOKUP(Table2[[#This Row],[Salary]],'Tax rates'!A$2:C$8,1))</f>
        <v>4091.1</v>
      </c>
      <c r="K728" s="14">
        <f>Table2[[#This Row],[Salary]]-Table2[[#This Row],[Taxes]]</f>
        <v>31588.9</v>
      </c>
      <c r="L728" s="15">
        <f>Table2[[#This Row],[After tax salary]]+Table2[[#This Row],[Bonus]]</f>
        <v>31588.9</v>
      </c>
    </row>
    <row r="729" spans="1:12" x14ac:dyDescent="0.25">
      <c r="A729" s="5" t="s">
        <v>727</v>
      </c>
      <c r="B729" s="5" t="s">
        <v>6</v>
      </c>
      <c r="C729" s="5" t="s">
        <v>2</v>
      </c>
      <c r="D729" s="5" t="s">
        <v>3</v>
      </c>
      <c r="E729" s="6">
        <v>41157</v>
      </c>
      <c r="F729" s="5" t="s">
        <v>9</v>
      </c>
      <c r="G729" s="10">
        <v>86240</v>
      </c>
      <c r="H729" s="7">
        <v>1</v>
      </c>
      <c r="I729" s="12">
        <f>IF(OR(Table2[[#This Row],[Rating]]=4,Table2[[#This Row],[Rating]]=5), 0.05*Table2[[#This Row],[Salary]],0)</f>
        <v>0</v>
      </c>
      <c r="J729" s="14">
        <f>VLOOKUP(Table2[[#This Row],[Salary]],'Tax rates'!A$2:C$8, 2) + VLOOKUP(Table2[[#This Row],[Salary]],'Tax rates'!A$2:C$8, 3) * (Table2[[#This Row],[Salary]] - VLOOKUP(Table2[[#This Row],[Salary]],'Tax rates'!A$2:C$8,1))</f>
        <v>14987.1</v>
      </c>
      <c r="K729" s="14">
        <f>Table2[[#This Row],[Salary]]-Table2[[#This Row],[Taxes]]</f>
        <v>71252.899999999994</v>
      </c>
      <c r="L729" s="15">
        <f>Table2[[#This Row],[After tax salary]]+Table2[[#This Row],[Bonus]]</f>
        <v>71252.899999999994</v>
      </c>
    </row>
    <row r="730" spans="1:12" x14ac:dyDescent="0.25">
      <c r="A730" s="5" t="s">
        <v>159</v>
      </c>
      <c r="B730" s="5" t="s">
        <v>51</v>
      </c>
      <c r="C730" s="5" t="s">
        <v>8</v>
      </c>
      <c r="D730" s="5" t="s">
        <v>3</v>
      </c>
      <c r="E730" s="6">
        <v>41177</v>
      </c>
      <c r="F730" s="5" t="s">
        <v>4</v>
      </c>
      <c r="G730" s="10">
        <v>64510</v>
      </c>
      <c r="H730" s="7">
        <v>3</v>
      </c>
      <c r="I730" s="12">
        <f>IF(OR(Table2[[#This Row],[Rating]]=4,Table2[[#This Row],[Rating]]=5), 0.05*Table2[[#This Row],[Salary]],0)</f>
        <v>0</v>
      </c>
      <c r="J730" s="14">
        <f>VLOOKUP(Table2[[#This Row],[Salary]],'Tax rates'!A$2:C$8, 2) + VLOOKUP(Table2[[#This Row],[Salary]],'Tax rates'!A$2:C$8, 3) * (Table2[[#This Row],[Salary]] - VLOOKUP(Table2[[#This Row],[Salary]],'Tax rates'!A$2:C$8,1))</f>
        <v>10131.700000000001</v>
      </c>
      <c r="K730" s="14">
        <f>Table2[[#This Row],[Salary]]-Table2[[#This Row],[Taxes]]</f>
        <v>54378.3</v>
      </c>
      <c r="L730" s="15">
        <f>Table2[[#This Row],[After tax salary]]+Table2[[#This Row],[Bonus]]</f>
        <v>54378.3</v>
      </c>
    </row>
    <row r="731" spans="1:12" x14ac:dyDescent="0.25">
      <c r="A731" s="5" t="s">
        <v>532</v>
      </c>
      <c r="B731" s="5" t="s">
        <v>1</v>
      </c>
      <c r="C731" s="5" t="s">
        <v>23</v>
      </c>
      <c r="D731" s="5" t="s">
        <v>3</v>
      </c>
      <c r="E731" s="6">
        <v>41183</v>
      </c>
      <c r="F731" s="5" t="s">
        <v>9</v>
      </c>
      <c r="G731" s="10">
        <v>75370</v>
      </c>
      <c r="H731" s="7">
        <v>2</v>
      </c>
      <c r="I731" s="12">
        <f>IF(OR(Table2[[#This Row],[Rating]]=4,Table2[[#This Row],[Rating]]=5), 0.05*Table2[[#This Row],[Salary]],0)</f>
        <v>0</v>
      </c>
      <c r="J731" s="14">
        <f>VLOOKUP(Table2[[#This Row],[Salary]],'Tax rates'!A$2:C$8, 2) + VLOOKUP(Table2[[#This Row],[Salary]],'Tax rates'!A$2:C$8, 3) * (Table2[[#This Row],[Salary]] - VLOOKUP(Table2[[#This Row],[Salary]],'Tax rates'!A$2:C$8,1))</f>
        <v>12520.9</v>
      </c>
      <c r="K731" s="14">
        <f>Table2[[#This Row],[Salary]]-Table2[[#This Row],[Taxes]]</f>
        <v>62849.1</v>
      </c>
      <c r="L731" s="15">
        <f>Table2[[#This Row],[After tax salary]]+Table2[[#This Row],[Bonus]]</f>
        <v>62849.1</v>
      </c>
    </row>
    <row r="732" spans="1:12" x14ac:dyDescent="0.25">
      <c r="A732" s="5" t="s">
        <v>564</v>
      </c>
      <c r="B732" s="5" t="s">
        <v>6</v>
      </c>
      <c r="C732" s="5" t="s">
        <v>23</v>
      </c>
      <c r="D732" s="5" t="s">
        <v>3</v>
      </c>
      <c r="E732" s="6">
        <v>41186</v>
      </c>
      <c r="F732" s="5" t="s">
        <v>9</v>
      </c>
      <c r="G732" s="10">
        <v>46910</v>
      </c>
      <c r="H732" s="7">
        <v>3</v>
      </c>
      <c r="I732" s="12">
        <f>IF(OR(Table2[[#This Row],[Rating]]=4,Table2[[#This Row],[Rating]]=5), 0.05*Table2[[#This Row],[Salary]],0)</f>
        <v>0</v>
      </c>
      <c r="J732" s="14">
        <f>VLOOKUP(Table2[[#This Row],[Salary]],'Tax rates'!A$2:C$8, 2) + VLOOKUP(Table2[[#This Row],[Salary]],'Tax rates'!A$2:C$8, 3) * (Table2[[#This Row],[Salary]] - VLOOKUP(Table2[[#This Row],[Salary]],'Tax rates'!A$2:C$8,1))</f>
        <v>6259.7</v>
      </c>
      <c r="K732" s="14">
        <f>Table2[[#This Row],[Salary]]-Table2[[#This Row],[Taxes]]</f>
        <v>40650.300000000003</v>
      </c>
      <c r="L732" s="15">
        <f>Table2[[#This Row],[After tax salary]]+Table2[[#This Row],[Bonus]]</f>
        <v>40650.300000000003</v>
      </c>
    </row>
    <row r="733" spans="1:12" x14ac:dyDescent="0.25">
      <c r="A733" s="5" t="s">
        <v>318</v>
      </c>
      <c r="B733" s="5" t="s">
        <v>29</v>
      </c>
      <c r="C733" s="5" t="s">
        <v>2</v>
      </c>
      <c r="D733" s="5" t="s">
        <v>24</v>
      </c>
      <c r="E733" s="6">
        <v>41195</v>
      </c>
      <c r="F733" s="5" t="s">
        <v>11</v>
      </c>
      <c r="G733" s="10">
        <v>25885</v>
      </c>
      <c r="H733" s="7">
        <v>5</v>
      </c>
      <c r="I733" s="12">
        <f>IF(OR(Table2[[#This Row],[Rating]]=4,Table2[[#This Row],[Rating]]=5), 0.05*Table2[[#This Row],[Salary]],0)</f>
        <v>1294.25</v>
      </c>
      <c r="J733" s="14">
        <f>VLOOKUP(Table2[[#This Row],[Salary]],'Tax rates'!A$2:C$8, 2) + VLOOKUP(Table2[[#This Row],[Salary]],'Tax rates'!A$2:C$8, 3) * (Table2[[#This Row],[Salary]] - VLOOKUP(Table2[[#This Row],[Salary]],'Tax rates'!A$2:C$8,1))</f>
        <v>2915.7</v>
      </c>
      <c r="K733" s="14">
        <f>Table2[[#This Row],[Salary]]-Table2[[#This Row],[Taxes]]</f>
        <v>22969.3</v>
      </c>
      <c r="L733" s="15">
        <f>Table2[[#This Row],[After tax salary]]+Table2[[#This Row],[Bonus]]</f>
        <v>24263.55</v>
      </c>
    </row>
    <row r="734" spans="1:12" x14ac:dyDescent="0.25">
      <c r="A734" s="5" t="s">
        <v>570</v>
      </c>
      <c r="B734" s="5" t="s">
        <v>1</v>
      </c>
      <c r="C734" s="5" t="s">
        <v>75</v>
      </c>
      <c r="D734" s="5" t="s">
        <v>3</v>
      </c>
      <c r="E734" s="6">
        <v>41200</v>
      </c>
      <c r="F734" s="5" t="s">
        <v>11</v>
      </c>
      <c r="G734" s="10">
        <v>71670</v>
      </c>
      <c r="H734" s="7">
        <v>4</v>
      </c>
      <c r="I734" s="12">
        <f>IF(OR(Table2[[#This Row],[Rating]]=4,Table2[[#This Row],[Rating]]=5), 0.05*Table2[[#This Row],[Salary]],0)</f>
        <v>3583.5</v>
      </c>
      <c r="J734" s="14">
        <f>VLOOKUP(Table2[[#This Row],[Salary]],'Tax rates'!A$2:C$8, 2) + VLOOKUP(Table2[[#This Row],[Salary]],'Tax rates'!A$2:C$8, 3) * (Table2[[#This Row],[Salary]] - VLOOKUP(Table2[[#This Row],[Salary]],'Tax rates'!A$2:C$8,1))</f>
        <v>11706.9</v>
      </c>
      <c r="K734" s="14">
        <f>Table2[[#This Row],[Salary]]-Table2[[#This Row],[Taxes]]</f>
        <v>59963.1</v>
      </c>
      <c r="L734" s="15">
        <f>Table2[[#This Row],[After tax salary]]+Table2[[#This Row],[Bonus]]</f>
        <v>63546.6</v>
      </c>
    </row>
    <row r="735" spans="1:12" x14ac:dyDescent="0.25">
      <c r="A735" s="5" t="s">
        <v>49</v>
      </c>
      <c r="B735" s="5" t="s">
        <v>1</v>
      </c>
      <c r="C735" s="5" t="s">
        <v>37</v>
      </c>
      <c r="D735" s="5" t="s">
        <v>3</v>
      </c>
      <c r="E735" s="6">
        <v>41209</v>
      </c>
      <c r="F735" s="5" t="s">
        <v>25</v>
      </c>
      <c r="G735" s="10">
        <v>87980</v>
      </c>
      <c r="H735" s="7">
        <v>1</v>
      </c>
      <c r="I735" s="12">
        <f>IF(OR(Table2[[#This Row],[Rating]]=4,Table2[[#This Row],[Rating]]=5), 0.05*Table2[[#This Row],[Salary]],0)</f>
        <v>0</v>
      </c>
      <c r="J735" s="14">
        <f>VLOOKUP(Table2[[#This Row],[Salary]],'Tax rates'!A$2:C$8, 2) + VLOOKUP(Table2[[#This Row],[Salary]],'Tax rates'!A$2:C$8, 3) * (Table2[[#This Row],[Salary]] - VLOOKUP(Table2[[#This Row],[Salary]],'Tax rates'!A$2:C$8,1))</f>
        <v>15404.7</v>
      </c>
      <c r="K735" s="14">
        <f>Table2[[#This Row],[Salary]]-Table2[[#This Row],[Taxes]]</f>
        <v>72575.3</v>
      </c>
      <c r="L735" s="15">
        <f>Table2[[#This Row],[After tax salary]]+Table2[[#This Row],[Bonus]]</f>
        <v>72575.3</v>
      </c>
    </row>
    <row r="736" spans="1:12" x14ac:dyDescent="0.25">
      <c r="A736" s="5" t="s">
        <v>528</v>
      </c>
      <c r="B736" s="5" t="s">
        <v>1</v>
      </c>
      <c r="C736" s="5" t="s">
        <v>2</v>
      </c>
      <c r="D736" s="5" t="s">
        <v>16</v>
      </c>
      <c r="E736" s="6">
        <v>41219</v>
      </c>
      <c r="F736" s="7"/>
      <c r="G736" s="10">
        <v>55690</v>
      </c>
      <c r="H736" s="7">
        <v>2</v>
      </c>
      <c r="I736" s="12">
        <f>IF(OR(Table2[[#This Row],[Rating]]=4,Table2[[#This Row],[Rating]]=5), 0.05*Table2[[#This Row],[Salary]],0)</f>
        <v>0</v>
      </c>
      <c r="J736" s="14">
        <f>VLOOKUP(Table2[[#This Row],[Salary]],'Tax rates'!A$2:C$8, 2) + VLOOKUP(Table2[[#This Row],[Salary]],'Tax rates'!A$2:C$8, 3) * (Table2[[#This Row],[Salary]] - VLOOKUP(Table2[[#This Row],[Salary]],'Tax rates'!A$2:C$8,1))</f>
        <v>8191.3</v>
      </c>
      <c r="K736" s="14">
        <f>Table2[[#This Row],[Salary]]-Table2[[#This Row],[Taxes]]</f>
        <v>47498.7</v>
      </c>
      <c r="L736" s="15">
        <f>Table2[[#This Row],[After tax salary]]+Table2[[#This Row],[Bonus]]</f>
        <v>47498.7</v>
      </c>
    </row>
    <row r="737" spans="1:12" x14ac:dyDescent="0.25">
      <c r="A737" s="5" t="s">
        <v>619</v>
      </c>
      <c r="B737" s="5" t="s">
        <v>29</v>
      </c>
      <c r="C737" s="5" t="s">
        <v>35</v>
      </c>
      <c r="D737" s="5" t="s">
        <v>3</v>
      </c>
      <c r="E737" s="6">
        <v>41226</v>
      </c>
      <c r="F737" s="5" t="s">
        <v>21</v>
      </c>
      <c r="G737" s="10">
        <v>32160</v>
      </c>
      <c r="H737" s="7">
        <v>3</v>
      </c>
      <c r="I737" s="12">
        <f>IF(OR(Table2[[#This Row],[Rating]]=4,Table2[[#This Row],[Rating]]=5), 0.05*Table2[[#This Row],[Salary]],0)</f>
        <v>0</v>
      </c>
      <c r="J737" s="14">
        <f>VLOOKUP(Table2[[#This Row],[Salary]],'Tax rates'!A$2:C$8, 2) + VLOOKUP(Table2[[#This Row],[Salary]],'Tax rates'!A$2:C$8, 3) * (Table2[[#This Row],[Salary]] - VLOOKUP(Table2[[#This Row],[Salary]],'Tax rates'!A$2:C$8,1))</f>
        <v>3668.7</v>
      </c>
      <c r="K737" s="14">
        <f>Table2[[#This Row],[Salary]]-Table2[[#This Row],[Taxes]]</f>
        <v>28491.3</v>
      </c>
      <c r="L737" s="15">
        <f>Table2[[#This Row],[After tax salary]]+Table2[[#This Row],[Bonus]]</f>
        <v>28491.3</v>
      </c>
    </row>
    <row r="738" spans="1:12" x14ac:dyDescent="0.25">
      <c r="A738" s="5" t="s">
        <v>430</v>
      </c>
      <c r="B738" s="5" t="s">
        <v>27</v>
      </c>
      <c r="C738" s="5" t="s">
        <v>8</v>
      </c>
      <c r="D738" s="5" t="s">
        <v>3</v>
      </c>
      <c r="E738" s="6">
        <v>41228</v>
      </c>
      <c r="F738" s="5" t="s">
        <v>11</v>
      </c>
      <c r="G738" s="10">
        <v>46340</v>
      </c>
      <c r="H738" s="7">
        <v>5</v>
      </c>
      <c r="I738" s="12">
        <f>IF(OR(Table2[[#This Row],[Rating]]=4,Table2[[#This Row],[Rating]]=5), 0.05*Table2[[#This Row],[Salary]],0)</f>
        <v>2317</v>
      </c>
      <c r="J738" s="14">
        <f>VLOOKUP(Table2[[#This Row],[Salary]],'Tax rates'!A$2:C$8, 2) + VLOOKUP(Table2[[#This Row],[Salary]],'Tax rates'!A$2:C$8, 3) * (Table2[[#This Row],[Salary]] - VLOOKUP(Table2[[#This Row],[Salary]],'Tax rates'!A$2:C$8,1))</f>
        <v>6134.3</v>
      </c>
      <c r="K738" s="14">
        <f>Table2[[#This Row],[Salary]]-Table2[[#This Row],[Taxes]]</f>
        <v>40205.699999999997</v>
      </c>
      <c r="L738" s="15">
        <f>Table2[[#This Row],[After tax salary]]+Table2[[#This Row],[Bonus]]</f>
        <v>42522.7</v>
      </c>
    </row>
    <row r="739" spans="1:12" x14ac:dyDescent="0.25">
      <c r="A739" s="5" t="s">
        <v>695</v>
      </c>
      <c r="B739" s="5" t="s">
        <v>1</v>
      </c>
      <c r="C739" s="5" t="s">
        <v>23</v>
      </c>
      <c r="D739" s="5" t="s">
        <v>3</v>
      </c>
      <c r="E739" s="6">
        <v>41233</v>
      </c>
      <c r="F739" s="5" t="s">
        <v>25</v>
      </c>
      <c r="G739" s="10">
        <v>68010</v>
      </c>
      <c r="H739" s="7">
        <v>1</v>
      </c>
      <c r="I739" s="12">
        <f>IF(OR(Table2[[#This Row],[Rating]]=4,Table2[[#This Row],[Rating]]=5), 0.05*Table2[[#This Row],[Salary]],0)</f>
        <v>0</v>
      </c>
      <c r="J739" s="14">
        <f>VLOOKUP(Table2[[#This Row],[Salary]],'Tax rates'!A$2:C$8, 2) + VLOOKUP(Table2[[#This Row],[Salary]],'Tax rates'!A$2:C$8, 3) * (Table2[[#This Row],[Salary]] - VLOOKUP(Table2[[#This Row],[Salary]],'Tax rates'!A$2:C$8,1))</f>
        <v>10901.7</v>
      </c>
      <c r="K739" s="14">
        <f>Table2[[#This Row],[Salary]]-Table2[[#This Row],[Taxes]]</f>
        <v>57108.3</v>
      </c>
      <c r="L739" s="15">
        <f>Table2[[#This Row],[After tax salary]]+Table2[[#This Row],[Bonus]]</f>
        <v>57108.3</v>
      </c>
    </row>
    <row r="740" spans="1:12" x14ac:dyDescent="0.25">
      <c r="A740" s="5" t="s">
        <v>669</v>
      </c>
      <c r="B740" s="5" t="s">
        <v>6</v>
      </c>
      <c r="C740" s="5" t="s">
        <v>30</v>
      </c>
      <c r="D740" s="5" t="s">
        <v>16</v>
      </c>
      <c r="E740" s="6">
        <v>41254</v>
      </c>
      <c r="F740" s="7"/>
      <c r="G740" s="10">
        <v>44720</v>
      </c>
      <c r="H740" s="7">
        <v>2</v>
      </c>
      <c r="I740" s="12">
        <f>IF(OR(Table2[[#This Row],[Rating]]=4,Table2[[#This Row],[Rating]]=5), 0.05*Table2[[#This Row],[Salary]],0)</f>
        <v>0</v>
      </c>
      <c r="J740" s="14">
        <f>VLOOKUP(Table2[[#This Row],[Salary]],'Tax rates'!A$2:C$8, 2) + VLOOKUP(Table2[[#This Row],[Salary]],'Tax rates'!A$2:C$8, 3) * (Table2[[#This Row],[Salary]] - VLOOKUP(Table2[[#This Row],[Salary]],'Tax rates'!A$2:C$8,1))</f>
        <v>5777.9</v>
      </c>
      <c r="K740" s="14">
        <f>Table2[[#This Row],[Salary]]-Table2[[#This Row],[Taxes]]</f>
        <v>38942.1</v>
      </c>
      <c r="L740" s="15">
        <f>Table2[[#This Row],[After tax salary]]+Table2[[#This Row],[Bonus]]</f>
        <v>38942.1</v>
      </c>
    </row>
    <row r="741" spans="1:12" x14ac:dyDescent="0.25">
      <c r="A741" s="5" t="s">
        <v>542</v>
      </c>
      <c r="B741" s="5" t="s">
        <v>6</v>
      </c>
      <c r="C741" s="5" t="s">
        <v>8</v>
      </c>
      <c r="D741" s="5" t="s">
        <v>16</v>
      </c>
      <c r="E741" s="6">
        <v>41254</v>
      </c>
      <c r="F741" s="7"/>
      <c r="G741" s="10">
        <v>81070</v>
      </c>
      <c r="H741" s="7">
        <v>5</v>
      </c>
      <c r="I741" s="12">
        <f>IF(OR(Table2[[#This Row],[Rating]]=4,Table2[[#This Row],[Rating]]=5), 0.05*Table2[[#This Row],[Salary]],0)</f>
        <v>4053.5</v>
      </c>
      <c r="J741" s="14">
        <f>VLOOKUP(Table2[[#This Row],[Salary]],'Tax rates'!A$2:C$8, 2) + VLOOKUP(Table2[[#This Row],[Salary]],'Tax rates'!A$2:C$8, 3) * (Table2[[#This Row],[Salary]] - VLOOKUP(Table2[[#This Row],[Salary]],'Tax rates'!A$2:C$8,1))</f>
        <v>13774.9</v>
      </c>
      <c r="K741" s="14">
        <f>Table2[[#This Row],[Salary]]-Table2[[#This Row],[Taxes]]</f>
        <v>67295.100000000006</v>
      </c>
      <c r="L741" s="15">
        <f>Table2[[#This Row],[After tax salary]]+Table2[[#This Row],[Bonus]]</f>
        <v>71348.600000000006</v>
      </c>
    </row>
    <row r="742" spans="1:12" x14ac:dyDescent="0.25">
      <c r="A742" s="5" t="s">
        <v>263</v>
      </c>
      <c r="B742" s="5" t="s">
        <v>6</v>
      </c>
      <c r="C742" s="5" t="s">
        <v>35</v>
      </c>
      <c r="D742" s="5" t="s">
        <v>3</v>
      </c>
      <c r="E742" s="6">
        <v>41262</v>
      </c>
      <c r="F742" s="5" t="s">
        <v>25</v>
      </c>
      <c r="G742" s="10">
        <v>59490</v>
      </c>
      <c r="H742" s="7">
        <v>3</v>
      </c>
      <c r="I742" s="12">
        <f>IF(OR(Table2[[#This Row],[Rating]]=4,Table2[[#This Row],[Rating]]=5), 0.05*Table2[[#This Row],[Salary]],0)</f>
        <v>0</v>
      </c>
      <c r="J742" s="14">
        <f>VLOOKUP(Table2[[#This Row],[Salary]],'Tax rates'!A$2:C$8, 2) + VLOOKUP(Table2[[#This Row],[Salary]],'Tax rates'!A$2:C$8, 3) * (Table2[[#This Row],[Salary]] - VLOOKUP(Table2[[#This Row],[Salary]],'Tax rates'!A$2:C$8,1))</f>
        <v>9027.2999999999993</v>
      </c>
      <c r="K742" s="14">
        <f>Table2[[#This Row],[Salary]]-Table2[[#This Row],[Taxes]]</f>
        <v>50462.7</v>
      </c>
      <c r="L742" s="15">
        <f>Table2[[#This Row],[After tax salary]]+Table2[[#This Row],[Bonus]]</f>
        <v>50462.7</v>
      </c>
    </row>
    <row r="743" spans="1:12" x14ac:dyDescent="0.25">
      <c r="A743" s="8" t="s">
        <v>788</v>
      </c>
      <c r="B743" s="8">
        <f>SUBTOTAL(103,Table2[Building])</f>
        <v>741</v>
      </c>
      <c r="C743" s="8"/>
      <c r="D743" s="8"/>
      <c r="E743" s="8"/>
      <c r="F743" s="8"/>
      <c r="G743" s="16">
        <f>SUBTOTAL(101,Table2[Salary])</f>
        <v>51102.708502024288</v>
      </c>
      <c r="H743" s="8"/>
      <c r="I743" s="15">
        <f>SUBTOTAL(109,Table2[Bonus])</f>
        <v>868532.19999999984</v>
      </c>
      <c r="J743" s="15">
        <f>SUBTOTAL(109,Table2[Taxes])</f>
        <v>5610052.7399999965</v>
      </c>
    </row>
  </sheetData>
  <dataValidations disablePrompts="1" count="1">
    <dataValidation type="whole" allowBlank="1" showInputMessage="1" showErrorMessage="1" sqref="H2:H742" xr:uid="{00000000-0002-0000-0100-000000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zoomScale="140" zoomScaleNormal="140" zoomScalePageLayoutView="140" workbookViewId="0">
      <selection activeCell="C19" sqref="C19"/>
    </sheetView>
  </sheetViews>
  <sheetFormatPr defaultColWidth="8.85546875" defaultRowHeight="15" x14ac:dyDescent="0.25"/>
  <cols>
    <col min="1" max="1" width="25.85546875" customWidth="1"/>
    <col min="2" max="2" width="15.42578125" customWidth="1"/>
    <col min="3" max="3" width="13.5703125" customWidth="1"/>
    <col min="4" max="4" width="24.7109375" customWidth="1"/>
  </cols>
  <sheetData>
    <row r="1" spans="1:4" ht="17.100000000000001" customHeight="1" x14ac:dyDescent="0.25">
      <c r="A1" s="27" t="s">
        <v>797</v>
      </c>
      <c r="B1" s="28" t="s">
        <v>793</v>
      </c>
      <c r="C1" s="28" t="s">
        <v>794</v>
      </c>
      <c r="D1" s="28" t="s">
        <v>796</v>
      </c>
    </row>
    <row r="2" spans="1:4" x14ac:dyDescent="0.25">
      <c r="A2" s="29">
        <v>0</v>
      </c>
      <c r="B2" s="30">
        <v>0</v>
      </c>
      <c r="C2" s="31">
        <v>0.1</v>
      </c>
      <c r="D2" s="32">
        <v>0</v>
      </c>
    </row>
    <row r="3" spans="1:4" x14ac:dyDescent="0.25">
      <c r="A3" s="33">
        <v>9525</v>
      </c>
      <c r="B3" s="30">
        <v>952.5</v>
      </c>
      <c r="C3" s="31">
        <v>0.12</v>
      </c>
      <c r="D3" s="32">
        <f t="shared" ref="D3:D8" si="0">A3</f>
        <v>9525</v>
      </c>
    </row>
    <row r="4" spans="1:4" x14ac:dyDescent="0.25">
      <c r="A4" s="33">
        <v>38700</v>
      </c>
      <c r="B4" s="30">
        <v>4453.5</v>
      </c>
      <c r="C4" s="31">
        <v>0.22</v>
      </c>
      <c r="D4" s="32">
        <f t="shared" si="0"/>
        <v>38700</v>
      </c>
    </row>
    <row r="5" spans="1:4" x14ac:dyDescent="0.25">
      <c r="A5" s="33">
        <v>82500</v>
      </c>
      <c r="B5" s="30">
        <v>14089.5</v>
      </c>
      <c r="C5" s="31">
        <v>0.24</v>
      </c>
      <c r="D5" s="32">
        <f t="shared" si="0"/>
        <v>82500</v>
      </c>
    </row>
    <row r="6" spans="1:4" x14ac:dyDescent="0.25">
      <c r="A6" s="33">
        <v>157500</v>
      </c>
      <c r="B6" s="30">
        <v>32089.5</v>
      </c>
      <c r="C6" s="31">
        <v>0.32</v>
      </c>
      <c r="D6" s="32">
        <f t="shared" si="0"/>
        <v>157500</v>
      </c>
    </row>
    <row r="7" spans="1:4" x14ac:dyDescent="0.25">
      <c r="A7" s="33">
        <v>200000</v>
      </c>
      <c r="B7" s="30">
        <v>45689.5</v>
      </c>
      <c r="C7" s="31">
        <v>0.35</v>
      </c>
      <c r="D7" s="32">
        <f t="shared" si="0"/>
        <v>200000</v>
      </c>
    </row>
    <row r="8" spans="1:4" x14ac:dyDescent="0.25">
      <c r="A8" s="33">
        <v>500000</v>
      </c>
      <c r="B8" s="30">
        <v>150689.5</v>
      </c>
      <c r="C8" s="31">
        <v>0.37</v>
      </c>
      <c r="D8" s="32">
        <f t="shared" si="0"/>
        <v>500000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44"/>
  <sheetViews>
    <sheetView zoomScale="110" zoomScaleNormal="110" zoomScalePageLayoutView="110" workbookViewId="0">
      <selection activeCell="H2" sqref="H2"/>
    </sheetView>
  </sheetViews>
  <sheetFormatPr defaultColWidth="8.85546875" defaultRowHeight="15" x14ac:dyDescent="0.25"/>
  <cols>
    <col min="1" max="1" width="19.42578125" style="13" bestFit="1" customWidth="1"/>
    <col min="2" max="2" width="13.28515625" style="13" customWidth="1"/>
    <col min="3" max="3" width="27.28515625" style="13" bestFit="1" customWidth="1"/>
    <col min="4" max="4" width="9.7109375" style="13" bestFit="1" customWidth="1"/>
    <col min="5" max="5" width="12.85546875" style="13" customWidth="1"/>
    <col min="6" max="6" width="10.42578125" style="13" customWidth="1"/>
    <col min="7" max="7" width="12" style="13" customWidth="1"/>
    <col min="8" max="8" width="8.7109375" style="13" customWidth="1"/>
    <col min="9" max="9" width="13.140625" style="13" customWidth="1"/>
    <col min="10" max="10" width="16.7109375" style="13" bestFit="1" customWidth="1"/>
    <col min="11" max="11" width="16.7109375" style="13" customWidth="1"/>
    <col min="12" max="12" width="11.7109375" style="13" customWidth="1"/>
    <col min="13" max="16384" width="8.85546875" style="13"/>
  </cols>
  <sheetData>
    <row r="1" spans="1:12" x14ac:dyDescent="0.25">
      <c r="A1" s="9" t="s">
        <v>778</v>
      </c>
      <c r="B1" s="9" t="s">
        <v>779</v>
      </c>
      <c r="C1" s="9" t="s">
        <v>780</v>
      </c>
      <c r="D1" s="9" t="s">
        <v>781</v>
      </c>
      <c r="E1" s="9" t="s">
        <v>782</v>
      </c>
      <c r="F1" s="9" t="s">
        <v>783</v>
      </c>
      <c r="G1" s="9" t="s">
        <v>784</v>
      </c>
      <c r="H1" s="9" t="s">
        <v>785</v>
      </c>
      <c r="I1" s="11" t="s">
        <v>786</v>
      </c>
      <c r="J1" s="11" t="s">
        <v>792</v>
      </c>
      <c r="K1" s="11" t="s">
        <v>787</v>
      </c>
    </row>
    <row r="2" spans="1:12" x14ac:dyDescent="0.25">
      <c r="A2" s="17" t="s">
        <v>805</v>
      </c>
      <c r="B2" s="17" t="s">
        <v>29</v>
      </c>
      <c r="C2" s="17" t="s">
        <v>23</v>
      </c>
      <c r="D2" s="17"/>
      <c r="E2" s="18"/>
      <c r="F2" s="17"/>
      <c r="G2" s="19"/>
      <c r="H2" s="20"/>
      <c r="I2" s="21"/>
      <c r="J2" s="22"/>
      <c r="K2" s="34"/>
      <c r="L2" s="25" t="s">
        <v>795</v>
      </c>
    </row>
    <row r="3" spans="1:12" x14ac:dyDescent="0.25">
      <c r="A3" s="5" t="s">
        <v>121</v>
      </c>
      <c r="B3" s="5" t="s">
        <v>6</v>
      </c>
      <c r="C3" s="5" t="s">
        <v>30</v>
      </c>
      <c r="D3" s="5" t="s">
        <v>3</v>
      </c>
      <c r="E3" s="6">
        <v>40624</v>
      </c>
      <c r="F3" s="5" t="s">
        <v>9</v>
      </c>
      <c r="G3" s="10">
        <v>86500</v>
      </c>
      <c r="H3" s="7">
        <v>1</v>
      </c>
      <c r="I3" s="12">
        <f>IF(OR(Table24[[#This Row],[Rating]]=4,Table24[[#This Row],[Rating]]=5), 0.05*Table24[[#This Row],[Salary]],0)</f>
        <v>0</v>
      </c>
      <c r="J3" s="14">
        <f>VLOOKUP(Table24[[#This Row],[Salary]],'Tax rates'!A$2:C$8, 2) + VLOOKUP(Table24[[#This Row],[Salary]],'Tax rates'!A$2:C$8, 3) * (Table24[[#This Row],[Salary]] - VLOOKUP(Table24[[#This Row],[Salary]],'Tax rates'!A$2:C$8,1))</f>
        <v>15049.5</v>
      </c>
      <c r="K3" s="35">
        <f>Table24[[#This Row],[Salary]]-Table24[[#This Row],[Taxes]]</f>
        <v>71450.5</v>
      </c>
    </row>
    <row r="4" spans="1:12" x14ac:dyDescent="0.25">
      <c r="A4" s="5" t="s">
        <v>335</v>
      </c>
      <c r="B4" s="5" t="s">
        <v>6</v>
      </c>
      <c r="C4" s="5" t="s">
        <v>30</v>
      </c>
      <c r="D4" s="5" t="s">
        <v>3</v>
      </c>
      <c r="E4" s="6">
        <v>40831</v>
      </c>
      <c r="F4" s="5" t="s">
        <v>21</v>
      </c>
      <c r="G4" s="10">
        <v>79400</v>
      </c>
      <c r="H4" s="7">
        <v>4</v>
      </c>
      <c r="I4" s="12">
        <f>IF(OR(Table24[[#This Row],[Rating]]=4,Table24[[#This Row],[Rating]]=5), 0.05*Table24[[#This Row],[Salary]],0)</f>
        <v>3970</v>
      </c>
      <c r="J4" s="14">
        <f>VLOOKUP(Table24[[#This Row],[Salary]],'Tax rates'!A$2:C$8, 2) + VLOOKUP(Table24[[#This Row],[Salary]],'Tax rates'!A$2:C$8, 3) * (Table24[[#This Row],[Salary]] - VLOOKUP(Table24[[#This Row],[Salary]],'Tax rates'!A$2:C$8,1))</f>
        <v>13407.5</v>
      </c>
      <c r="K4" s="35">
        <f>Table24[[#This Row],[Salary]]-Table24[[#This Row],[Taxes]]</f>
        <v>65992.5</v>
      </c>
    </row>
    <row r="5" spans="1:12" x14ac:dyDescent="0.25">
      <c r="A5" s="5" t="s">
        <v>617</v>
      </c>
      <c r="B5" s="5" t="s">
        <v>6</v>
      </c>
      <c r="C5" s="5" t="s">
        <v>30</v>
      </c>
      <c r="D5" s="5" t="s">
        <v>16</v>
      </c>
      <c r="E5" s="6">
        <v>40707</v>
      </c>
      <c r="F5" s="7"/>
      <c r="G5" s="10">
        <v>79380</v>
      </c>
      <c r="H5" s="7">
        <v>1</v>
      </c>
      <c r="I5" s="12">
        <f>IF(OR(Table24[[#This Row],[Rating]]=4,Table24[[#This Row],[Rating]]=5), 0.05*Table24[[#This Row],[Salary]],0)</f>
        <v>0</v>
      </c>
      <c r="J5" s="14">
        <f>VLOOKUP(Table24[[#This Row],[Salary]],'Tax rates'!A$2:C$8, 2) + VLOOKUP(Table24[[#This Row],[Salary]],'Tax rates'!A$2:C$8, 3) * (Table24[[#This Row],[Salary]] - VLOOKUP(Table24[[#This Row],[Salary]],'Tax rates'!A$2:C$8,1))</f>
        <v>13403.1</v>
      </c>
      <c r="K5" s="35">
        <f>Table24[[#This Row],[Salary]]-Table24[[#This Row],[Taxes]]</f>
        <v>65976.899999999994</v>
      </c>
    </row>
    <row r="6" spans="1:12" x14ac:dyDescent="0.25">
      <c r="A6" s="5" t="s">
        <v>758</v>
      </c>
      <c r="B6" s="5" t="s">
        <v>6</v>
      </c>
      <c r="C6" s="5" t="s">
        <v>30</v>
      </c>
      <c r="D6" s="5" t="s">
        <v>3</v>
      </c>
      <c r="E6" s="6">
        <v>40765</v>
      </c>
      <c r="F6" s="5" t="s">
        <v>21</v>
      </c>
      <c r="G6" s="10">
        <v>77740</v>
      </c>
      <c r="H6" s="7">
        <v>1</v>
      </c>
      <c r="I6" s="12">
        <f>IF(OR(Table24[[#This Row],[Rating]]=4,Table24[[#This Row],[Rating]]=5), 0.05*Table24[[#This Row],[Salary]],0)</f>
        <v>0</v>
      </c>
      <c r="J6" s="14">
        <f>VLOOKUP(Table24[[#This Row],[Salary]],'Tax rates'!A$2:C$8, 2) + VLOOKUP(Table24[[#This Row],[Salary]],'Tax rates'!A$2:C$8, 3) * (Table24[[#This Row],[Salary]] - VLOOKUP(Table24[[#This Row],[Salary]],'Tax rates'!A$2:C$8,1))</f>
        <v>13042.3</v>
      </c>
      <c r="K6" s="35">
        <f>Table24[[#This Row],[Salary]]-Table24[[#This Row],[Taxes]]</f>
        <v>64697.7</v>
      </c>
    </row>
    <row r="7" spans="1:12" x14ac:dyDescent="0.25">
      <c r="A7" s="5" t="s">
        <v>414</v>
      </c>
      <c r="B7" s="5" t="s">
        <v>6</v>
      </c>
      <c r="C7" s="5" t="s">
        <v>30</v>
      </c>
      <c r="D7" s="5" t="s">
        <v>3</v>
      </c>
      <c r="E7" s="6">
        <v>39282</v>
      </c>
      <c r="F7" s="5" t="s">
        <v>21</v>
      </c>
      <c r="G7" s="10">
        <v>69420</v>
      </c>
      <c r="H7" s="7">
        <v>2</v>
      </c>
      <c r="I7" s="12">
        <f>IF(OR(Table24[[#This Row],[Rating]]=4,Table24[[#This Row],[Rating]]=5), 0.05*Table24[[#This Row],[Salary]],0)</f>
        <v>0</v>
      </c>
      <c r="J7" s="14">
        <f>VLOOKUP(Table24[[#This Row],[Salary]],'Tax rates'!A$2:C$8, 2) + VLOOKUP(Table24[[#This Row],[Salary]],'Tax rates'!A$2:C$8, 3) * (Table24[[#This Row],[Salary]] - VLOOKUP(Table24[[#This Row],[Salary]],'Tax rates'!A$2:C$8,1))</f>
        <v>11211.9</v>
      </c>
      <c r="K7" s="35">
        <f>Table24[[#This Row],[Salary]]-Table24[[#This Row],[Taxes]]</f>
        <v>58208.1</v>
      </c>
    </row>
    <row r="8" spans="1:12" x14ac:dyDescent="0.25">
      <c r="A8" s="5" t="s">
        <v>711</v>
      </c>
      <c r="B8" s="5" t="s">
        <v>6</v>
      </c>
      <c r="C8" s="5" t="s">
        <v>30</v>
      </c>
      <c r="D8" s="5" t="s">
        <v>3</v>
      </c>
      <c r="E8" s="6">
        <v>36393</v>
      </c>
      <c r="F8" s="5" t="s">
        <v>11</v>
      </c>
      <c r="G8" s="10">
        <v>65910</v>
      </c>
      <c r="H8" s="7">
        <v>5</v>
      </c>
      <c r="I8" s="12">
        <f>IF(OR(Table24[[#This Row],[Rating]]=4,Table24[[#This Row],[Rating]]=5), 0.05*Table24[[#This Row],[Salary]],0)</f>
        <v>3295.5</v>
      </c>
      <c r="J8" s="14">
        <f>VLOOKUP(Table24[[#This Row],[Salary]],'Tax rates'!A$2:C$8, 2) + VLOOKUP(Table24[[#This Row],[Salary]],'Tax rates'!A$2:C$8, 3) * (Table24[[#This Row],[Salary]] - VLOOKUP(Table24[[#This Row],[Salary]],'Tax rates'!A$2:C$8,1))</f>
        <v>10439.700000000001</v>
      </c>
      <c r="K8" s="35">
        <f>Table24[[#This Row],[Salary]]-Table24[[#This Row],[Taxes]]</f>
        <v>55470.3</v>
      </c>
    </row>
    <row r="9" spans="1:12" x14ac:dyDescent="0.25">
      <c r="A9" s="5" t="s">
        <v>592</v>
      </c>
      <c r="B9" s="5" t="s">
        <v>6</v>
      </c>
      <c r="C9" s="5" t="s">
        <v>30</v>
      </c>
      <c r="D9" s="5" t="s">
        <v>3</v>
      </c>
      <c r="E9" s="6">
        <v>39047</v>
      </c>
      <c r="F9" s="5" t="s">
        <v>11</v>
      </c>
      <c r="G9" s="10">
        <v>65880</v>
      </c>
      <c r="H9" s="7">
        <v>5</v>
      </c>
      <c r="I9" s="12">
        <f>IF(OR(Table24[[#This Row],[Rating]]=4,Table24[[#This Row],[Rating]]=5), 0.05*Table24[[#This Row],[Salary]],0)</f>
        <v>3294</v>
      </c>
      <c r="J9" s="14">
        <f>VLOOKUP(Table24[[#This Row],[Salary]],'Tax rates'!A$2:C$8, 2) + VLOOKUP(Table24[[#This Row],[Salary]],'Tax rates'!A$2:C$8, 3) * (Table24[[#This Row],[Salary]] - VLOOKUP(Table24[[#This Row],[Salary]],'Tax rates'!A$2:C$8,1))</f>
        <v>10433.1</v>
      </c>
      <c r="K9" s="35">
        <f>Table24[[#This Row],[Salary]]-Table24[[#This Row],[Taxes]]</f>
        <v>55446.9</v>
      </c>
    </row>
    <row r="10" spans="1:12" x14ac:dyDescent="0.25">
      <c r="A10" s="5" t="s">
        <v>41</v>
      </c>
      <c r="B10" s="5" t="s">
        <v>6</v>
      </c>
      <c r="C10" s="5" t="s">
        <v>30</v>
      </c>
      <c r="D10" s="5" t="s">
        <v>3</v>
      </c>
      <c r="E10" s="6">
        <v>39335</v>
      </c>
      <c r="F10" s="5" t="s">
        <v>4</v>
      </c>
      <c r="G10" s="10">
        <v>62688</v>
      </c>
      <c r="H10" s="7">
        <v>2</v>
      </c>
      <c r="I10" s="12">
        <f>IF(OR(Table24[[#This Row],[Rating]]=4,Table24[[#This Row],[Rating]]=5), 0.05*Table24[[#This Row],[Salary]],0)</f>
        <v>0</v>
      </c>
      <c r="J10" s="14">
        <f>VLOOKUP(Table24[[#This Row],[Salary]],'Tax rates'!A$2:C$8, 2) + VLOOKUP(Table24[[#This Row],[Salary]],'Tax rates'!A$2:C$8, 3) * (Table24[[#This Row],[Salary]] - VLOOKUP(Table24[[#This Row],[Salary]],'Tax rates'!A$2:C$8,1))</f>
        <v>9730.86</v>
      </c>
      <c r="K10" s="35">
        <f>Table24[[#This Row],[Salary]]-Table24[[#This Row],[Taxes]]</f>
        <v>52957.14</v>
      </c>
    </row>
    <row r="11" spans="1:12" x14ac:dyDescent="0.25">
      <c r="A11" s="5" t="s">
        <v>326</v>
      </c>
      <c r="B11" s="5" t="s">
        <v>6</v>
      </c>
      <c r="C11" s="5" t="s">
        <v>30</v>
      </c>
      <c r="D11" s="5" t="s">
        <v>3</v>
      </c>
      <c r="E11" s="6">
        <v>36536</v>
      </c>
      <c r="F11" s="5" t="s">
        <v>4</v>
      </c>
      <c r="G11" s="10">
        <v>62400</v>
      </c>
      <c r="H11" s="7">
        <v>4</v>
      </c>
      <c r="I11" s="12">
        <f>IF(OR(Table24[[#This Row],[Rating]]=4,Table24[[#This Row],[Rating]]=5), 0.05*Table24[[#This Row],[Salary]],0)</f>
        <v>3120</v>
      </c>
      <c r="J11" s="14">
        <f>VLOOKUP(Table24[[#This Row],[Salary]],'Tax rates'!A$2:C$8, 2) + VLOOKUP(Table24[[#This Row],[Salary]],'Tax rates'!A$2:C$8, 3) * (Table24[[#This Row],[Salary]] - VLOOKUP(Table24[[#This Row],[Salary]],'Tax rates'!A$2:C$8,1))</f>
        <v>9667.5</v>
      </c>
      <c r="K11" s="35">
        <f>Table24[[#This Row],[Salary]]-Table24[[#This Row],[Taxes]]</f>
        <v>52732.5</v>
      </c>
    </row>
    <row r="12" spans="1:12" x14ac:dyDescent="0.25">
      <c r="A12" s="5" t="s">
        <v>712</v>
      </c>
      <c r="B12" s="5" t="s">
        <v>6</v>
      </c>
      <c r="C12" s="5" t="s">
        <v>30</v>
      </c>
      <c r="D12" s="5" t="s">
        <v>16</v>
      </c>
      <c r="E12" s="6">
        <v>37404</v>
      </c>
      <c r="F12" s="7"/>
      <c r="G12" s="10">
        <v>60070</v>
      </c>
      <c r="H12" s="7">
        <v>3</v>
      </c>
      <c r="I12" s="12">
        <f>IF(OR(Table24[[#This Row],[Rating]]=4,Table24[[#This Row],[Rating]]=5), 0.05*Table24[[#This Row],[Salary]],0)</f>
        <v>0</v>
      </c>
      <c r="J12" s="14">
        <f>VLOOKUP(Table24[[#This Row],[Salary]],'Tax rates'!A$2:C$8, 2) + VLOOKUP(Table24[[#This Row],[Salary]],'Tax rates'!A$2:C$8, 3) * (Table24[[#This Row],[Salary]] - VLOOKUP(Table24[[#This Row],[Salary]],'Tax rates'!A$2:C$8,1))</f>
        <v>9154.9</v>
      </c>
      <c r="K12" s="35">
        <f>Table24[[#This Row],[Salary]]-Table24[[#This Row],[Taxes]]</f>
        <v>50915.1</v>
      </c>
    </row>
    <row r="13" spans="1:12" x14ac:dyDescent="0.25">
      <c r="A13" s="5" t="s">
        <v>278</v>
      </c>
      <c r="B13" s="5" t="s">
        <v>6</v>
      </c>
      <c r="C13" s="5" t="s">
        <v>30</v>
      </c>
      <c r="D13" s="5" t="s">
        <v>16</v>
      </c>
      <c r="E13" s="6">
        <v>39809</v>
      </c>
      <c r="F13" s="7"/>
      <c r="G13" s="10">
        <v>58650</v>
      </c>
      <c r="H13" s="7">
        <v>4</v>
      </c>
      <c r="I13" s="12">
        <f>IF(OR(Table24[[#This Row],[Rating]]=4,Table24[[#This Row],[Rating]]=5), 0.05*Table24[[#This Row],[Salary]],0)</f>
        <v>2932.5</v>
      </c>
      <c r="J13" s="14">
        <f>VLOOKUP(Table24[[#This Row],[Salary]],'Tax rates'!A$2:C$8, 2) + VLOOKUP(Table24[[#This Row],[Salary]],'Tax rates'!A$2:C$8, 3) * (Table24[[#This Row],[Salary]] - VLOOKUP(Table24[[#This Row],[Salary]],'Tax rates'!A$2:C$8,1))</f>
        <v>8842.5</v>
      </c>
      <c r="K13" s="35">
        <f>Table24[[#This Row],[Salary]]-Table24[[#This Row],[Taxes]]</f>
        <v>49807.5</v>
      </c>
    </row>
    <row r="14" spans="1:12" x14ac:dyDescent="0.25">
      <c r="A14" s="5" t="s">
        <v>671</v>
      </c>
      <c r="B14" s="5" t="s">
        <v>6</v>
      </c>
      <c r="C14" s="5" t="s">
        <v>30</v>
      </c>
      <c r="D14" s="5" t="s">
        <v>16</v>
      </c>
      <c r="E14" s="6">
        <v>36297</v>
      </c>
      <c r="F14" s="7"/>
      <c r="G14" s="10">
        <v>57990</v>
      </c>
      <c r="H14" s="7">
        <v>5</v>
      </c>
      <c r="I14" s="12">
        <f>IF(OR(Table24[[#This Row],[Rating]]=4,Table24[[#This Row],[Rating]]=5), 0.05*Table24[[#This Row],[Salary]],0)</f>
        <v>2899.5</v>
      </c>
      <c r="J14" s="14">
        <f>VLOOKUP(Table24[[#This Row],[Salary]],'Tax rates'!A$2:C$8, 2) + VLOOKUP(Table24[[#This Row],[Salary]],'Tax rates'!A$2:C$8, 3) * (Table24[[#This Row],[Salary]] - VLOOKUP(Table24[[#This Row],[Salary]],'Tax rates'!A$2:C$8,1))</f>
        <v>8697.2999999999993</v>
      </c>
      <c r="K14" s="35">
        <f>Table24[[#This Row],[Salary]]-Table24[[#This Row],[Taxes]]</f>
        <v>49292.7</v>
      </c>
    </row>
    <row r="15" spans="1:12" x14ac:dyDescent="0.25">
      <c r="A15" s="5" t="s">
        <v>650</v>
      </c>
      <c r="B15" s="5" t="s">
        <v>6</v>
      </c>
      <c r="C15" s="5" t="s">
        <v>30</v>
      </c>
      <c r="D15" s="5" t="s">
        <v>16</v>
      </c>
      <c r="E15" s="6">
        <v>39592</v>
      </c>
      <c r="F15" s="7"/>
      <c r="G15" s="10">
        <v>56650</v>
      </c>
      <c r="H15" s="7">
        <v>1</v>
      </c>
      <c r="I15" s="12">
        <f>IF(OR(Table24[[#This Row],[Rating]]=4,Table24[[#This Row],[Rating]]=5), 0.05*Table24[[#This Row],[Salary]],0)</f>
        <v>0</v>
      </c>
      <c r="J15" s="14">
        <f>VLOOKUP(Table24[[#This Row],[Salary]],'Tax rates'!A$2:C$8, 2) + VLOOKUP(Table24[[#This Row],[Salary]],'Tax rates'!A$2:C$8, 3) * (Table24[[#This Row],[Salary]] - VLOOKUP(Table24[[#This Row],[Salary]],'Tax rates'!A$2:C$8,1))</f>
        <v>8402.5</v>
      </c>
      <c r="K15" s="35">
        <f>Table24[[#This Row],[Salary]]-Table24[[#This Row],[Taxes]]</f>
        <v>48247.5</v>
      </c>
    </row>
    <row r="16" spans="1:12" x14ac:dyDescent="0.25">
      <c r="A16" s="5" t="s">
        <v>504</v>
      </c>
      <c r="B16" s="5" t="s">
        <v>6</v>
      </c>
      <c r="C16" s="5" t="s">
        <v>30</v>
      </c>
      <c r="D16" s="5" t="s">
        <v>3</v>
      </c>
      <c r="E16" s="6">
        <v>36088</v>
      </c>
      <c r="F16" s="5" t="s">
        <v>21</v>
      </c>
      <c r="G16" s="10">
        <v>54580</v>
      </c>
      <c r="H16" s="7">
        <v>4</v>
      </c>
      <c r="I16" s="12">
        <f>IF(OR(Table24[[#This Row],[Rating]]=4,Table24[[#This Row],[Rating]]=5), 0.05*Table24[[#This Row],[Salary]],0)</f>
        <v>2729</v>
      </c>
      <c r="J16" s="14">
        <f>VLOOKUP(Table24[[#This Row],[Salary]],'Tax rates'!A$2:C$8, 2) + VLOOKUP(Table24[[#This Row],[Salary]],'Tax rates'!A$2:C$8, 3) * (Table24[[#This Row],[Salary]] - VLOOKUP(Table24[[#This Row],[Salary]],'Tax rates'!A$2:C$8,1))</f>
        <v>7947.1</v>
      </c>
      <c r="K16" s="35">
        <f>Table24[[#This Row],[Salary]]-Table24[[#This Row],[Taxes]]</f>
        <v>46632.9</v>
      </c>
    </row>
    <row r="17" spans="1:11" x14ac:dyDescent="0.25">
      <c r="A17" s="5" t="s">
        <v>253</v>
      </c>
      <c r="B17" s="5" t="s">
        <v>6</v>
      </c>
      <c r="C17" s="5" t="s">
        <v>30</v>
      </c>
      <c r="D17" s="5" t="s">
        <v>3</v>
      </c>
      <c r="E17" s="6">
        <v>40815</v>
      </c>
      <c r="F17" s="5" t="s">
        <v>25</v>
      </c>
      <c r="G17" s="10">
        <v>54500</v>
      </c>
      <c r="H17" s="7">
        <v>5</v>
      </c>
      <c r="I17" s="12">
        <f>IF(OR(Table24[[#This Row],[Rating]]=4,Table24[[#This Row],[Rating]]=5), 0.05*Table24[[#This Row],[Salary]],0)</f>
        <v>2725</v>
      </c>
      <c r="J17" s="14">
        <f>VLOOKUP(Table24[[#This Row],[Salary]],'Tax rates'!A$2:C$8, 2) + VLOOKUP(Table24[[#This Row],[Salary]],'Tax rates'!A$2:C$8, 3) * (Table24[[#This Row],[Salary]] - VLOOKUP(Table24[[#This Row],[Salary]],'Tax rates'!A$2:C$8,1))</f>
        <v>7929.5</v>
      </c>
      <c r="K17" s="35">
        <f>Table24[[#This Row],[Salary]]-Table24[[#This Row],[Taxes]]</f>
        <v>46570.5</v>
      </c>
    </row>
    <row r="18" spans="1:11" x14ac:dyDescent="0.25">
      <c r="A18" s="5" t="s">
        <v>377</v>
      </c>
      <c r="B18" s="5" t="s">
        <v>6</v>
      </c>
      <c r="C18" s="5" t="s">
        <v>30</v>
      </c>
      <c r="D18" s="5" t="s">
        <v>3</v>
      </c>
      <c r="E18" s="6">
        <v>40137</v>
      </c>
      <c r="F18" s="5" t="s">
        <v>4</v>
      </c>
      <c r="G18" s="10">
        <v>54190</v>
      </c>
      <c r="H18" s="7">
        <v>4</v>
      </c>
      <c r="I18" s="12">
        <f>IF(OR(Table24[[#This Row],[Rating]]=4,Table24[[#This Row],[Rating]]=5), 0.05*Table24[[#This Row],[Salary]],0)</f>
        <v>2709.5</v>
      </c>
      <c r="J18" s="14">
        <f>VLOOKUP(Table24[[#This Row],[Salary]],'Tax rates'!A$2:C$8, 2) + VLOOKUP(Table24[[#This Row],[Salary]],'Tax rates'!A$2:C$8, 3) * (Table24[[#This Row],[Salary]] - VLOOKUP(Table24[[#This Row],[Salary]],'Tax rates'!A$2:C$8,1))</f>
        <v>7861.3</v>
      </c>
      <c r="K18" s="35">
        <f>Table24[[#This Row],[Salary]]-Table24[[#This Row],[Taxes]]</f>
        <v>46328.7</v>
      </c>
    </row>
    <row r="19" spans="1:11" x14ac:dyDescent="0.25">
      <c r="A19" s="5" t="s">
        <v>439</v>
      </c>
      <c r="B19" s="5" t="s">
        <v>6</v>
      </c>
      <c r="C19" s="5" t="s">
        <v>30</v>
      </c>
      <c r="D19" s="5" t="s">
        <v>16</v>
      </c>
      <c r="E19" s="6">
        <v>40820</v>
      </c>
      <c r="F19" s="7"/>
      <c r="G19" s="10">
        <v>52750</v>
      </c>
      <c r="H19" s="7">
        <v>1</v>
      </c>
      <c r="I19" s="12">
        <f>IF(OR(Table24[[#This Row],[Rating]]=4,Table24[[#This Row],[Rating]]=5), 0.05*Table24[[#This Row],[Salary]],0)</f>
        <v>0</v>
      </c>
      <c r="J19" s="14">
        <f>VLOOKUP(Table24[[#This Row],[Salary]],'Tax rates'!A$2:C$8, 2) + VLOOKUP(Table24[[#This Row],[Salary]],'Tax rates'!A$2:C$8, 3) * (Table24[[#This Row],[Salary]] - VLOOKUP(Table24[[#This Row],[Salary]],'Tax rates'!A$2:C$8,1))</f>
        <v>7544.5</v>
      </c>
      <c r="K19" s="35">
        <f>Table24[[#This Row],[Salary]]-Table24[[#This Row],[Taxes]]</f>
        <v>45205.5</v>
      </c>
    </row>
    <row r="20" spans="1:11" x14ac:dyDescent="0.25">
      <c r="A20" s="5" t="s">
        <v>645</v>
      </c>
      <c r="B20" s="5" t="s">
        <v>6</v>
      </c>
      <c r="C20" s="5" t="s">
        <v>30</v>
      </c>
      <c r="D20" s="5" t="s">
        <v>3</v>
      </c>
      <c r="E20" s="6">
        <v>36673</v>
      </c>
      <c r="F20" s="5" t="s">
        <v>9</v>
      </c>
      <c r="G20" s="10">
        <v>48330</v>
      </c>
      <c r="H20" s="7">
        <v>1</v>
      </c>
      <c r="I20" s="12">
        <f>IF(OR(Table24[[#This Row],[Rating]]=4,Table24[[#This Row],[Rating]]=5), 0.05*Table24[[#This Row],[Salary]],0)</f>
        <v>0</v>
      </c>
      <c r="J20" s="14">
        <f>VLOOKUP(Table24[[#This Row],[Salary]],'Tax rates'!A$2:C$8, 2) + VLOOKUP(Table24[[#This Row],[Salary]],'Tax rates'!A$2:C$8, 3) * (Table24[[#This Row],[Salary]] - VLOOKUP(Table24[[#This Row],[Salary]],'Tax rates'!A$2:C$8,1))</f>
        <v>6572.1</v>
      </c>
      <c r="K20" s="35">
        <f>Table24[[#This Row],[Salary]]-Table24[[#This Row],[Taxes]]</f>
        <v>41757.9</v>
      </c>
    </row>
    <row r="21" spans="1:11" x14ac:dyDescent="0.25">
      <c r="A21" s="5" t="s">
        <v>730</v>
      </c>
      <c r="B21" s="5" t="s">
        <v>6</v>
      </c>
      <c r="C21" s="5" t="s">
        <v>30</v>
      </c>
      <c r="D21" s="5" t="s">
        <v>3</v>
      </c>
      <c r="E21" s="6">
        <v>39673</v>
      </c>
      <c r="F21" s="5" t="s">
        <v>4</v>
      </c>
      <c r="G21" s="10">
        <v>48080</v>
      </c>
      <c r="H21" s="7">
        <v>2</v>
      </c>
      <c r="I21" s="12">
        <f>IF(OR(Table24[[#This Row],[Rating]]=4,Table24[[#This Row],[Rating]]=5), 0.05*Table24[[#This Row],[Salary]],0)</f>
        <v>0</v>
      </c>
      <c r="J21" s="14">
        <f>VLOOKUP(Table24[[#This Row],[Salary]],'Tax rates'!A$2:C$8, 2) + VLOOKUP(Table24[[#This Row],[Salary]],'Tax rates'!A$2:C$8, 3) * (Table24[[#This Row],[Salary]] - VLOOKUP(Table24[[#This Row],[Salary]],'Tax rates'!A$2:C$8,1))</f>
        <v>6517.1</v>
      </c>
      <c r="K21" s="35">
        <f>Table24[[#This Row],[Salary]]-Table24[[#This Row],[Taxes]]</f>
        <v>41562.9</v>
      </c>
    </row>
    <row r="22" spans="1:11" x14ac:dyDescent="0.25">
      <c r="A22" s="5" t="s">
        <v>69</v>
      </c>
      <c r="B22" s="5" t="s">
        <v>6</v>
      </c>
      <c r="C22" s="5" t="s">
        <v>30</v>
      </c>
      <c r="D22" s="5" t="s">
        <v>3</v>
      </c>
      <c r="E22" s="6">
        <v>40332</v>
      </c>
      <c r="F22" s="5" t="s">
        <v>4</v>
      </c>
      <c r="G22" s="10">
        <v>47340</v>
      </c>
      <c r="H22" s="7">
        <v>2</v>
      </c>
      <c r="I22" s="12">
        <f>IF(OR(Table24[[#This Row],[Rating]]=4,Table24[[#This Row],[Rating]]=5), 0.05*Table24[[#This Row],[Salary]],0)</f>
        <v>0</v>
      </c>
      <c r="J22" s="14">
        <f>VLOOKUP(Table24[[#This Row],[Salary]],'Tax rates'!A$2:C$8, 2) + VLOOKUP(Table24[[#This Row],[Salary]],'Tax rates'!A$2:C$8, 3) * (Table24[[#This Row],[Salary]] - VLOOKUP(Table24[[#This Row],[Salary]],'Tax rates'!A$2:C$8,1))</f>
        <v>6354.3</v>
      </c>
      <c r="K22" s="35">
        <f>Table24[[#This Row],[Salary]]-Table24[[#This Row],[Taxes]]</f>
        <v>40985.699999999997</v>
      </c>
    </row>
    <row r="23" spans="1:11" x14ac:dyDescent="0.25">
      <c r="A23" s="5" t="s">
        <v>144</v>
      </c>
      <c r="B23" s="5" t="s">
        <v>6</v>
      </c>
      <c r="C23" s="5" t="s">
        <v>30</v>
      </c>
      <c r="D23" s="5" t="s">
        <v>3</v>
      </c>
      <c r="E23" s="6">
        <v>36195</v>
      </c>
      <c r="F23" s="5" t="s">
        <v>21</v>
      </c>
      <c r="G23" s="10">
        <v>46360</v>
      </c>
      <c r="H23" s="7">
        <v>5</v>
      </c>
      <c r="I23" s="12">
        <f>IF(OR(Table24[[#This Row],[Rating]]=4,Table24[[#This Row],[Rating]]=5), 0.05*Table24[[#This Row],[Salary]],0)</f>
        <v>2318</v>
      </c>
      <c r="J23" s="14">
        <f>VLOOKUP(Table24[[#This Row],[Salary]],'Tax rates'!A$2:C$8, 2) + VLOOKUP(Table24[[#This Row],[Salary]],'Tax rates'!A$2:C$8, 3) * (Table24[[#This Row],[Salary]] - VLOOKUP(Table24[[#This Row],[Salary]],'Tax rates'!A$2:C$8,1))</f>
        <v>6138.7</v>
      </c>
      <c r="K23" s="35">
        <f>Table24[[#This Row],[Salary]]-Table24[[#This Row],[Taxes]]</f>
        <v>40221.300000000003</v>
      </c>
    </row>
    <row r="24" spans="1:11" x14ac:dyDescent="0.25">
      <c r="A24" s="5" t="s">
        <v>669</v>
      </c>
      <c r="B24" s="5" t="s">
        <v>6</v>
      </c>
      <c r="C24" s="5" t="s">
        <v>30</v>
      </c>
      <c r="D24" s="5" t="s">
        <v>16</v>
      </c>
      <c r="E24" s="6">
        <v>41254</v>
      </c>
      <c r="F24" s="7"/>
      <c r="G24" s="10">
        <v>44720</v>
      </c>
      <c r="H24" s="7">
        <v>2</v>
      </c>
      <c r="I24" s="12">
        <f>IF(OR(Table24[[#This Row],[Rating]]=4,Table24[[#This Row],[Rating]]=5), 0.05*Table24[[#This Row],[Salary]],0)</f>
        <v>0</v>
      </c>
      <c r="J24" s="14">
        <f>VLOOKUP(Table24[[#This Row],[Salary]],'Tax rates'!A$2:C$8, 2) + VLOOKUP(Table24[[#This Row],[Salary]],'Tax rates'!A$2:C$8, 3) * (Table24[[#This Row],[Salary]] - VLOOKUP(Table24[[#This Row],[Salary]],'Tax rates'!A$2:C$8,1))</f>
        <v>5777.9</v>
      </c>
      <c r="K24" s="35">
        <f>Table24[[#This Row],[Salary]]-Table24[[#This Row],[Taxes]]</f>
        <v>38942.1</v>
      </c>
    </row>
    <row r="25" spans="1:11" x14ac:dyDescent="0.25">
      <c r="A25" s="5" t="s">
        <v>754</v>
      </c>
      <c r="B25" s="5" t="s">
        <v>6</v>
      </c>
      <c r="C25" s="5" t="s">
        <v>30</v>
      </c>
      <c r="D25" s="5" t="s">
        <v>16</v>
      </c>
      <c r="E25" s="6">
        <v>40404</v>
      </c>
      <c r="F25" s="7"/>
      <c r="G25" s="10">
        <v>39550</v>
      </c>
      <c r="H25" s="7">
        <v>5</v>
      </c>
      <c r="I25" s="12">
        <f>IF(OR(Table24[[#This Row],[Rating]]=4,Table24[[#This Row],[Rating]]=5), 0.05*Table24[[#This Row],[Salary]],0)</f>
        <v>1977.5</v>
      </c>
      <c r="J25" s="14">
        <f>VLOOKUP(Table24[[#This Row],[Salary]],'Tax rates'!A$2:C$8, 2) + VLOOKUP(Table24[[#This Row],[Salary]],'Tax rates'!A$2:C$8, 3) * (Table24[[#This Row],[Salary]] - VLOOKUP(Table24[[#This Row],[Salary]],'Tax rates'!A$2:C$8,1))</f>
        <v>4640.5</v>
      </c>
      <c r="K25" s="35">
        <f>Table24[[#This Row],[Salary]]-Table24[[#This Row],[Taxes]]</f>
        <v>34909.5</v>
      </c>
    </row>
    <row r="26" spans="1:11" x14ac:dyDescent="0.25">
      <c r="A26" s="5" t="s">
        <v>577</v>
      </c>
      <c r="B26" s="5" t="s">
        <v>6</v>
      </c>
      <c r="C26" s="5" t="s">
        <v>30</v>
      </c>
      <c r="D26" s="5" t="s">
        <v>3</v>
      </c>
      <c r="E26" s="6">
        <v>35990</v>
      </c>
      <c r="F26" s="5" t="s">
        <v>9</v>
      </c>
      <c r="G26" s="10">
        <v>36890</v>
      </c>
      <c r="H26" s="7">
        <v>1</v>
      </c>
      <c r="I26" s="12">
        <f>IF(OR(Table24[[#This Row],[Rating]]=4,Table24[[#This Row],[Rating]]=5), 0.05*Table24[[#This Row],[Salary]],0)</f>
        <v>0</v>
      </c>
      <c r="J26" s="14">
        <f>VLOOKUP(Table24[[#This Row],[Salary]],'Tax rates'!A$2:C$8, 2) + VLOOKUP(Table24[[#This Row],[Salary]],'Tax rates'!A$2:C$8, 3) * (Table24[[#This Row],[Salary]] - VLOOKUP(Table24[[#This Row],[Salary]],'Tax rates'!A$2:C$8,1))</f>
        <v>4236.2999999999993</v>
      </c>
      <c r="K26" s="35">
        <f>Table24[[#This Row],[Salary]]-Table24[[#This Row],[Taxes]]</f>
        <v>32653.7</v>
      </c>
    </row>
    <row r="27" spans="1:11" x14ac:dyDescent="0.25">
      <c r="A27" s="5" t="s">
        <v>360</v>
      </c>
      <c r="B27" s="5" t="s">
        <v>6</v>
      </c>
      <c r="C27" s="5" t="s">
        <v>30</v>
      </c>
      <c r="D27" s="5" t="s">
        <v>32</v>
      </c>
      <c r="E27" s="6">
        <v>36380</v>
      </c>
      <c r="F27" s="7"/>
      <c r="G27" s="10">
        <v>36052</v>
      </c>
      <c r="H27" s="7">
        <v>5</v>
      </c>
      <c r="I27" s="12">
        <f>IF(OR(Table24[[#This Row],[Rating]]=4,Table24[[#This Row],[Rating]]=5), 0.05*Table24[[#This Row],[Salary]],0)</f>
        <v>1802.6000000000001</v>
      </c>
      <c r="J27" s="14">
        <f>VLOOKUP(Table24[[#This Row],[Salary]],'Tax rates'!A$2:C$8, 2) + VLOOKUP(Table24[[#This Row],[Salary]],'Tax rates'!A$2:C$8, 3) * (Table24[[#This Row],[Salary]] - VLOOKUP(Table24[[#This Row],[Salary]],'Tax rates'!A$2:C$8,1))</f>
        <v>4135.74</v>
      </c>
      <c r="K27" s="35">
        <f>Table24[[#This Row],[Salary]]-Table24[[#This Row],[Taxes]]</f>
        <v>31916.260000000002</v>
      </c>
    </row>
    <row r="28" spans="1:11" x14ac:dyDescent="0.25">
      <c r="A28" s="5" t="s">
        <v>302</v>
      </c>
      <c r="B28" s="5" t="s">
        <v>6</v>
      </c>
      <c r="C28" s="5" t="s">
        <v>30</v>
      </c>
      <c r="D28" s="5" t="s">
        <v>16</v>
      </c>
      <c r="E28" s="6">
        <v>39109</v>
      </c>
      <c r="F28" s="7"/>
      <c r="G28" s="10">
        <v>33120</v>
      </c>
      <c r="H28" s="7">
        <v>2</v>
      </c>
      <c r="I28" s="12">
        <f>IF(OR(Table24[[#This Row],[Rating]]=4,Table24[[#This Row],[Rating]]=5), 0.05*Table24[[#This Row],[Salary]],0)</f>
        <v>0</v>
      </c>
      <c r="J28" s="14">
        <f>VLOOKUP(Table24[[#This Row],[Salary]],'Tax rates'!A$2:C$8, 2) + VLOOKUP(Table24[[#This Row],[Salary]],'Tax rates'!A$2:C$8, 3) * (Table24[[#This Row],[Salary]] - VLOOKUP(Table24[[#This Row],[Salary]],'Tax rates'!A$2:C$8,1))</f>
        <v>3783.9</v>
      </c>
      <c r="K28" s="35">
        <f>Table24[[#This Row],[Salary]]-Table24[[#This Row],[Taxes]]</f>
        <v>29336.1</v>
      </c>
    </row>
    <row r="29" spans="1:11" x14ac:dyDescent="0.25">
      <c r="A29" s="5" t="s">
        <v>762</v>
      </c>
      <c r="B29" s="5" t="s">
        <v>6</v>
      </c>
      <c r="C29" s="5" t="s">
        <v>30</v>
      </c>
      <c r="D29" s="5" t="s">
        <v>3</v>
      </c>
      <c r="E29" s="6">
        <v>37138</v>
      </c>
      <c r="F29" s="5" t="s">
        <v>4</v>
      </c>
      <c r="G29" s="10">
        <v>29130</v>
      </c>
      <c r="H29" s="7">
        <v>1</v>
      </c>
      <c r="I29" s="12">
        <f>IF(OR(Table24[[#This Row],[Rating]]=4,Table24[[#This Row],[Rating]]=5), 0.05*Table24[[#This Row],[Salary]],0)</f>
        <v>0</v>
      </c>
      <c r="J29" s="14">
        <f>VLOOKUP(Table24[[#This Row],[Salary]],'Tax rates'!A$2:C$8, 2) + VLOOKUP(Table24[[#This Row],[Salary]],'Tax rates'!A$2:C$8, 3) * (Table24[[#This Row],[Salary]] - VLOOKUP(Table24[[#This Row],[Salary]],'Tax rates'!A$2:C$8,1))</f>
        <v>3305.1</v>
      </c>
      <c r="K29" s="35">
        <f>Table24[[#This Row],[Salary]]-Table24[[#This Row],[Taxes]]</f>
        <v>25824.9</v>
      </c>
    </row>
    <row r="30" spans="1:11" x14ac:dyDescent="0.25">
      <c r="A30" s="5" t="s">
        <v>127</v>
      </c>
      <c r="B30" s="5" t="s">
        <v>6</v>
      </c>
      <c r="C30" s="5" t="s">
        <v>30</v>
      </c>
      <c r="D30" s="5" t="s">
        <v>24</v>
      </c>
      <c r="E30" s="6">
        <v>40166</v>
      </c>
      <c r="F30" s="5" t="s">
        <v>9</v>
      </c>
      <c r="G30" s="10">
        <v>25245</v>
      </c>
      <c r="H30" s="7">
        <v>5</v>
      </c>
      <c r="I30" s="12">
        <f>IF(OR(Table24[[#This Row],[Rating]]=4,Table24[[#This Row],[Rating]]=5), 0.05*Table24[[#This Row],[Salary]],0)</f>
        <v>1262.25</v>
      </c>
      <c r="J30" s="14">
        <f>VLOOKUP(Table24[[#This Row],[Salary]],'Tax rates'!A$2:C$8, 2) + VLOOKUP(Table24[[#This Row],[Salary]],'Tax rates'!A$2:C$8, 3) * (Table24[[#This Row],[Salary]] - VLOOKUP(Table24[[#This Row],[Salary]],'Tax rates'!A$2:C$8,1))</f>
        <v>2838.8999999999996</v>
      </c>
      <c r="K30" s="35">
        <f>Table24[[#This Row],[Salary]]-Table24[[#This Row],[Taxes]]</f>
        <v>22406.1</v>
      </c>
    </row>
    <row r="31" spans="1:11" x14ac:dyDescent="0.25">
      <c r="A31" s="5" t="s">
        <v>434</v>
      </c>
      <c r="B31" s="5" t="s">
        <v>6</v>
      </c>
      <c r="C31" s="5" t="s">
        <v>30</v>
      </c>
      <c r="D31" s="5" t="s">
        <v>3</v>
      </c>
      <c r="E31" s="6">
        <v>40666</v>
      </c>
      <c r="F31" s="5" t="s">
        <v>4</v>
      </c>
      <c r="G31" s="10">
        <v>24090</v>
      </c>
      <c r="H31" s="7">
        <v>4</v>
      </c>
      <c r="I31" s="12">
        <f>IF(OR(Table24[[#This Row],[Rating]]=4,Table24[[#This Row],[Rating]]=5), 0.05*Table24[[#This Row],[Salary]],0)</f>
        <v>1204.5</v>
      </c>
      <c r="J31" s="14">
        <f>VLOOKUP(Table24[[#This Row],[Salary]],'Tax rates'!A$2:C$8, 2) + VLOOKUP(Table24[[#This Row],[Salary]],'Tax rates'!A$2:C$8, 3) * (Table24[[#This Row],[Salary]] - VLOOKUP(Table24[[#This Row],[Salary]],'Tax rates'!A$2:C$8,1))</f>
        <v>2700.3</v>
      </c>
      <c r="K31" s="35">
        <f>Table24[[#This Row],[Salary]]-Table24[[#This Row],[Taxes]]</f>
        <v>21389.7</v>
      </c>
    </row>
    <row r="32" spans="1:11" x14ac:dyDescent="0.25">
      <c r="A32" s="5" t="s">
        <v>43</v>
      </c>
      <c r="B32" s="5" t="s">
        <v>6</v>
      </c>
      <c r="C32" s="5" t="s">
        <v>30</v>
      </c>
      <c r="D32" s="5" t="s">
        <v>3</v>
      </c>
      <c r="E32" s="6">
        <v>39174</v>
      </c>
      <c r="F32" s="5" t="s">
        <v>4</v>
      </c>
      <c r="G32" s="10">
        <v>23320</v>
      </c>
      <c r="H32" s="7">
        <v>4</v>
      </c>
      <c r="I32" s="12">
        <f>IF(OR(Table24[[#This Row],[Rating]]=4,Table24[[#This Row],[Rating]]=5), 0.05*Table24[[#This Row],[Salary]],0)</f>
        <v>1166</v>
      </c>
      <c r="J32" s="14">
        <f>VLOOKUP(Table24[[#This Row],[Salary]],'Tax rates'!A$2:C$8, 2) + VLOOKUP(Table24[[#This Row],[Salary]],'Tax rates'!A$2:C$8, 3) * (Table24[[#This Row],[Salary]] - VLOOKUP(Table24[[#This Row],[Salary]],'Tax rates'!A$2:C$8,1))</f>
        <v>2607.8999999999996</v>
      </c>
      <c r="K32" s="35">
        <f>Table24[[#This Row],[Salary]]-Table24[[#This Row],[Taxes]]</f>
        <v>20712.099999999999</v>
      </c>
    </row>
    <row r="33" spans="1:11" x14ac:dyDescent="0.25">
      <c r="A33" s="5" t="s">
        <v>188</v>
      </c>
      <c r="B33" s="5" t="s">
        <v>6</v>
      </c>
      <c r="C33" s="5" t="s">
        <v>30</v>
      </c>
      <c r="D33" s="5" t="s">
        <v>24</v>
      </c>
      <c r="E33" s="6">
        <v>37249</v>
      </c>
      <c r="F33" s="5" t="s">
        <v>9</v>
      </c>
      <c r="G33" s="10">
        <v>12545</v>
      </c>
      <c r="H33" s="7">
        <v>4</v>
      </c>
      <c r="I33" s="12">
        <f>IF(OR(Table24[[#This Row],[Rating]]=4,Table24[[#This Row],[Rating]]=5), 0.05*Table24[[#This Row],[Salary]],0)</f>
        <v>627.25</v>
      </c>
      <c r="J33" s="14">
        <f>VLOOKUP(Table24[[#This Row],[Salary]],'Tax rates'!A$2:C$8, 2) + VLOOKUP(Table24[[#This Row],[Salary]],'Tax rates'!A$2:C$8, 3) * (Table24[[#This Row],[Salary]] - VLOOKUP(Table24[[#This Row],[Salary]],'Tax rates'!A$2:C$8,1))</f>
        <v>1314.9</v>
      </c>
      <c r="K33" s="35">
        <f>Table24[[#This Row],[Salary]]-Table24[[#This Row],[Taxes]]</f>
        <v>11230.1</v>
      </c>
    </row>
    <row r="34" spans="1:11" x14ac:dyDescent="0.25">
      <c r="A34" s="5" t="s">
        <v>19</v>
      </c>
      <c r="B34" s="5" t="s">
        <v>6</v>
      </c>
      <c r="C34" s="5" t="s">
        <v>20</v>
      </c>
      <c r="D34" s="5" t="s">
        <v>3</v>
      </c>
      <c r="E34" s="6">
        <v>40918</v>
      </c>
      <c r="F34" s="5" t="s">
        <v>21</v>
      </c>
      <c r="G34" s="10">
        <v>82500</v>
      </c>
      <c r="H34" s="7">
        <v>5</v>
      </c>
      <c r="I34" s="12">
        <f>IF(OR(Table24[[#This Row],[Rating]]=4,Table24[[#This Row],[Rating]]=5), 0.05*Table24[[#This Row],[Salary]],0)</f>
        <v>4125</v>
      </c>
      <c r="J34" s="14">
        <f>VLOOKUP(Table24[[#This Row],[Salary]],'Tax rates'!A$2:C$8, 2) + VLOOKUP(Table24[[#This Row],[Salary]],'Tax rates'!A$2:C$8, 3) * (Table24[[#This Row],[Salary]] - VLOOKUP(Table24[[#This Row],[Salary]],'Tax rates'!A$2:C$8,1))</f>
        <v>14089.5</v>
      </c>
      <c r="K34" s="35">
        <f>Table24[[#This Row],[Salary]]-Table24[[#This Row],[Taxes]]</f>
        <v>68410.5</v>
      </c>
    </row>
    <row r="35" spans="1:11" x14ac:dyDescent="0.25">
      <c r="A35" s="5" t="s">
        <v>236</v>
      </c>
      <c r="B35" s="5" t="s">
        <v>6</v>
      </c>
      <c r="C35" s="5" t="s">
        <v>20</v>
      </c>
      <c r="D35" s="5" t="s">
        <v>16</v>
      </c>
      <c r="E35" s="6">
        <v>39024</v>
      </c>
      <c r="F35" s="7"/>
      <c r="G35" s="10">
        <v>76020</v>
      </c>
      <c r="H35" s="7">
        <v>1</v>
      </c>
      <c r="I35" s="12">
        <f>IF(OR(Table24[[#This Row],[Rating]]=4,Table24[[#This Row],[Rating]]=5), 0.05*Table24[[#This Row],[Salary]],0)</f>
        <v>0</v>
      </c>
      <c r="J35" s="14">
        <f>VLOOKUP(Table24[[#This Row],[Salary]],'Tax rates'!A$2:C$8, 2) + VLOOKUP(Table24[[#This Row],[Salary]],'Tax rates'!A$2:C$8, 3) * (Table24[[#This Row],[Salary]] - VLOOKUP(Table24[[#This Row],[Salary]],'Tax rates'!A$2:C$8,1))</f>
        <v>12663.9</v>
      </c>
      <c r="K35" s="35">
        <f>Table24[[#This Row],[Salary]]-Table24[[#This Row],[Taxes]]</f>
        <v>63356.1</v>
      </c>
    </row>
    <row r="36" spans="1:11" x14ac:dyDescent="0.25">
      <c r="A36" s="5" t="s">
        <v>607</v>
      </c>
      <c r="B36" s="5" t="s">
        <v>6</v>
      </c>
      <c r="C36" s="5" t="s">
        <v>20</v>
      </c>
      <c r="D36" s="5" t="s">
        <v>16</v>
      </c>
      <c r="E36" s="6">
        <v>35959</v>
      </c>
      <c r="F36" s="7"/>
      <c r="G36" s="10">
        <v>64470</v>
      </c>
      <c r="H36" s="7">
        <v>3</v>
      </c>
      <c r="I36" s="12">
        <f>IF(OR(Table24[[#This Row],[Rating]]=4,Table24[[#This Row],[Rating]]=5), 0.05*Table24[[#This Row],[Salary]],0)</f>
        <v>0</v>
      </c>
      <c r="J36" s="14">
        <f>VLOOKUP(Table24[[#This Row],[Salary]],'Tax rates'!A$2:C$8, 2) + VLOOKUP(Table24[[#This Row],[Salary]],'Tax rates'!A$2:C$8, 3) * (Table24[[#This Row],[Salary]] - VLOOKUP(Table24[[#This Row],[Salary]],'Tax rates'!A$2:C$8,1))</f>
        <v>10122.9</v>
      </c>
      <c r="K36" s="35">
        <f>Table24[[#This Row],[Salary]]-Table24[[#This Row],[Taxes]]</f>
        <v>54347.1</v>
      </c>
    </row>
    <row r="37" spans="1:11" x14ac:dyDescent="0.25">
      <c r="A37" s="5" t="s">
        <v>489</v>
      </c>
      <c r="B37" s="5" t="s">
        <v>6</v>
      </c>
      <c r="C37" s="5" t="s">
        <v>20</v>
      </c>
      <c r="D37" s="5" t="s">
        <v>3</v>
      </c>
      <c r="E37" s="6">
        <v>37113</v>
      </c>
      <c r="F37" s="5" t="s">
        <v>21</v>
      </c>
      <c r="G37" s="10">
        <v>61150</v>
      </c>
      <c r="H37" s="7">
        <v>4</v>
      </c>
      <c r="I37" s="12">
        <f>IF(OR(Table24[[#This Row],[Rating]]=4,Table24[[#This Row],[Rating]]=5), 0.05*Table24[[#This Row],[Salary]],0)</f>
        <v>3057.5</v>
      </c>
      <c r="J37" s="14">
        <f>VLOOKUP(Table24[[#This Row],[Salary]],'Tax rates'!A$2:C$8, 2) + VLOOKUP(Table24[[#This Row],[Salary]],'Tax rates'!A$2:C$8, 3) * (Table24[[#This Row],[Salary]] - VLOOKUP(Table24[[#This Row],[Salary]],'Tax rates'!A$2:C$8,1))</f>
        <v>9392.5</v>
      </c>
      <c r="K37" s="35">
        <f>Table24[[#This Row],[Salary]]-Table24[[#This Row],[Taxes]]</f>
        <v>51757.5</v>
      </c>
    </row>
    <row r="38" spans="1:11" x14ac:dyDescent="0.25">
      <c r="A38" s="5" t="s">
        <v>466</v>
      </c>
      <c r="B38" s="5" t="s">
        <v>6</v>
      </c>
      <c r="C38" s="5" t="s">
        <v>20</v>
      </c>
      <c r="D38" s="5" t="s">
        <v>3</v>
      </c>
      <c r="E38" s="6">
        <v>36077</v>
      </c>
      <c r="F38" s="5" t="s">
        <v>11</v>
      </c>
      <c r="G38" s="10">
        <v>50110</v>
      </c>
      <c r="H38" s="7">
        <v>1</v>
      </c>
      <c r="I38" s="12">
        <f>IF(OR(Table24[[#This Row],[Rating]]=4,Table24[[#This Row],[Rating]]=5), 0.05*Table24[[#This Row],[Salary]],0)</f>
        <v>0</v>
      </c>
      <c r="J38" s="14">
        <f>VLOOKUP(Table24[[#This Row],[Salary]],'Tax rates'!A$2:C$8, 2) + VLOOKUP(Table24[[#This Row],[Salary]],'Tax rates'!A$2:C$8, 3) * (Table24[[#This Row],[Salary]] - VLOOKUP(Table24[[#This Row],[Salary]],'Tax rates'!A$2:C$8,1))</f>
        <v>6963.7</v>
      </c>
      <c r="K38" s="35">
        <f>Table24[[#This Row],[Salary]]-Table24[[#This Row],[Taxes]]</f>
        <v>43146.3</v>
      </c>
    </row>
    <row r="39" spans="1:11" x14ac:dyDescent="0.25">
      <c r="A39" s="5" t="s">
        <v>657</v>
      </c>
      <c r="B39" s="5" t="s">
        <v>6</v>
      </c>
      <c r="C39" s="5" t="s">
        <v>20</v>
      </c>
      <c r="D39" s="5" t="s">
        <v>24</v>
      </c>
      <c r="E39" s="6">
        <v>36357</v>
      </c>
      <c r="F39" s="5" t="s">
        <v>9</v>
      </c>
      <c r="G39" s="10">
        <v>42905</v>
      </c>
      <c r="H39" s="7">
        <v>1</v>
      </c>
      <c r="I39" s="12">
        <f>IF(OR(Table24[[#This Row],[Rating]]=4,Table24[[#This Row],[Rating]]=5), 0.05*Table24[[#This Row],[Salary]],0)</f>
        <v>0</v>
      </c>
      <c r="J39" s="14">
        <f>VLOOKUP(Table24[[#This Row],[Salary]],'Tax rates'!A$2:C$8, 2) + VLOOKUP(Table24[[#This Row],[Salary]],'Tax rates'!A$2:C$8, 3) * (Table24[[#This Row],[Salary]] - VLOOKUP(Table24[[#This Row],[Salary]],'Tax rates'!A$2:C$8,1))</f>
        <v>5378.6</v>
      </c>
      <c r="K39" s="35">
        <f>Table24[[#This Row],[Salary]]-Table24[[#This Row],[Taxes]]</f>
        <v>37526.400000000001</v>
      </c>
    </row>
    <row r="40" spans="1:11" x14ac:dyDescent="0.25">
      <c r="A40" s="5" t="s">
        <v>471</v>
      </c>
      <c r="B40" s="5" t="s">
        <v>6</v>
      </c>
      <c r="C40" s="5" t="s">
        <v>73</v>
      </c>
      <c r="D40" s="5" t="s">
        <v>3</v>
      </c>
      <c r="E40" s="6">
        <v>38746</v>
      </c>
      <c r="F40" s="5" t="s">
        <v>11</v>
      </c>
      <c r="G40" s="10">
        <v>49360</v>
      </c>
      <c r="H40" s="7">
        <v>2</v>
      </c>
      <c r="I40" s="12">
        <f>IF(OR(Table24[[#This Row],[Rating]]=4,Table24[[#This Row],[Rating]]=5), 0.05*Table24[[#This Row],[Salary]],0)</f>
        <v>0</v>
      </c>
      <c r="J40" s="14">
        <f>VLOOKUP(Table24[[#This Row],[Salary]],'Tax rates'!A$2:C$8, 2) + VLOOKUP(Table24[[#This Row],[Salary]],'Tax rates'!A$2:C$8, 3) * (Table24[[#This Row],[Salary]] - VLOOKUP(Table24[[#This Row],[Salary]],'Tax rates'!A$2:C$8,1))</f>
        <v>6798.7</v>
      </c>
      <c r="K40" s="35">
        <f>Table24[[#This Row],[Salary]]-Table24[[#This Row],[Taxes]]</f>
        <v>42561.3</v>
      </c>
    </row>
    <row r="41" spans="1:11" x14ac:dyDescent="0.25">
      <c r="A41" s="5" t="s">
        <v>150</v>
      </c>
      <c r="B41" s="5" t="s">
        <v>6</v>
      </c>
      <c r="C41" s="5" t="s">
        <v>73</v>
      </c>
      <c r="D41" s="5" t="s">
        <v>24</v>
      </c>
      <c r="E41" s="6">
        <v>40152</v>
      </c>
      <c r="F41" s="5" t="s">
        <v>11</v>
      </c>
      <c r="G41" s="10">
        <v>28680</v>
      </c>
      <c r="H41" s="7">
        <v>1</v>
      </c>
      <c r="I41" s="12">
        <f>IF(OR(Table24[[#This Row],[Rating]]=4,Table24[[#This Row],[Rating]]=5), 0.05*Table24[[#This Row],[Salary]],0)</f>
        <v>0</v>
      </c>
      <c r="J41" s="14">
        <f>VLOOKUP(Table24[[#This Row],[Salary]],'Tax rates'!A$2:C$8, 2) + VLOOKUP(Table24[[#This Row],[Salary]],'Tax rates'!A$2:C$8, 3) * (Table24[[#This Row],[Salary]] - VLOOKUP(Table24[[#This Row],[Salary]],'Tax rates'!A$2:C$8,1))</f>
        <v>3251.1</v>
      </c>
      <c r="K41" s="35">
        <f>Table24[[#This Row],[Salary]]-Table24[[#This Row],[Taxes]]</f>
        <v>25428.9</v>
      </c>
    </row>
    <row r="42" spans="1:11" x14ac:dyDescent="0.25">
      <c r="A42" s="5" t="s">
        <v>519</v>
      </c>
      <c r="B42" s="5" t="s">
        <v>6</v>
      </c>
      <c r="C42" s="5" t="s">
        <v>73</v>
      </c>
      <c r="D42" s="5" t="s">
        <v>32</v>
      </c>
      <c r="E42" s="6">
        <v>38961</v>
      </c>
      <c r="F42" s="7"/>
      <c r="G42" s="10">
        <v>20028</v>
      </c>
      <c r="H42" s="7">
        <v>4</v>
      </c>
      <c r="I42" s="12">
        <f>IF(OR(Table24[[#This Row],[Rating]]=4,Table24[[#This Row],[Rating]]=5), 0.05*Table24[[#This Row],[Salary]],0)</f>
        <v>1001.4000000000001</v>
      </c>
      <c r="J42" s="14">
        <f>VLOOKUP(Table24[[#This Row],[Salary]],'Tax rates'!A$2:C$8, 2) + VLOOKUP(Table24[[#This Row],[Salary]],'Tax rates'!A$2:C$8, 3) * (Table24[[#This Row],[Salary]] - VLOOKUP(Table24[[#This Row],[Salary]],'Tax rates'!A$2:C$8,1))</f>
        <v>2212.8599999999997</v>
      </c>
      <c r="K42" s="35">
        <f>Table24[[#This Row],[Salary]]-Table24[[#This Row],[Taxes]]</f>
        <v>17815.14</v>
      </c>
    </row>
    <row r="43" spans="1:11" x14ac:dyDescent="0.25">
      <c r="A43" s="5" t="s">
        <v>247</v>
      </c>
      <c r="B43" s="5" t="s">
        <v>6</v>
      </c>
      <c r="C43" s="5" t="s">
        <v>138</v>
      </c>
      <c r="D43" s="5" t="s">
        <v>3</v>
      </c>
      <c r="E43" s="6">
        <v>36249</v>
      </c>
      <c r="F43" s="5" t="s">
        <v>4</v>
      </c>
      <c r="G43" s="10">
        <v>49860</v>
      </c>
      <c r="H43" s="7">
        <v>2</v>
      </c>
      <c r="I43" s="12">
        <f>IF(OR(Table24[[#This Row],[Rating]]=4,Table24[[#This Row],[Rating]]=5), 0.05*Table24[[#This Row],[Salary]],0)</f>
        <v>0</v>
      </c>
      <c r="J43" s="14">
        <f>VLOOKUP(Table24[[#This Row],[Salary]],'Tax rates'!A$2:C$8, 2) + VLOOKUP(Table24[[#This Row],[Salary]],'Tax rates'!A$2:C$8, 3) * (Table24[[#This Row],[Salary]] - VLOOKUP(Table24[[#This Row],[Salary]],'Tax rates'!A$2:C$8,1))</f>
        <v>6908.7</v>
      </c>
      <c r="K43" s="35">
        <f>Table24[[#This Row],[Salary]]-Table24[[#This Row],[Taxes]]</f>
        <v>42951.3</v>
      </c>
    </row>
    <row r="44" spans="1:11" x14ac:dyDescent="0.25">
      <c r="A44" s="5" t="s">
        <v>325</v>
      </c>
      <c r="B44" s="5" t="s">
        <v>6</v>
      </c>
      <c r="C44" s="5" t="s">
        <v>138</v>
      </c>
      <c r="D44" s="5" t="s">
        <v>24</v>
      </c>
      <c r="E44" s="6">
        <v>40516</v>
      </c>
      <c r="F44" s="5" t="s">
        <v>11</v>
      </c>
      <c r="G44" s="10">
        <v>28625</v>
      </c>
      <c r="H44" s="7">
        <v>1</v>
      </c>
      <c r="I44" s="12">
        <f>IF(OR(Table24[[#This Row],[Rating]]=4,Table24[[#This Row],[Rating]]=5), 0.05*Table24[[#This Row],[Salary]],0)</f>
        <v>0</v>
      </c>
      <c r="J44" s="14">
        <f>VLOOKUP(Table24[[#This Row],[Salary]],'Tax rates'!A$2:C$8, 2) + VLOOKUP(Table24[[#This Row],[Salary]],'Tax rates'!A$2:C$8, 3) * (Table24[[#This Row],[Salary]] - VLOOKUP(Table24[[#This Row],[Salary]],'Tax rates'!A$2:C$8,1))</f>
        <v>3244.5</v>
      </c>
      <c r="K44" s="35">
        <f>Table24[[#This Row],[Salary]]-Table24[[#This Row],[Taxes]]</f>
        <v>25380.5</v>
      </c>
    </row>
    <row r="45" spans="1:11" x14ac:dyDescent="0.25">
      <c r="A45" s="5" t="s">
        <v>341</v>
      </c>
      <c r="B45" s="5" t="s">
        <v>6</v>
      </c>
      <c r="C45" s="5" t="s">
        <v>138</v>
      </c>
      <c r="D45" s="5" t="s">
        <v>32</v>
      </c>
      <c r="E45" s="6">
        <v>40313</v>
      </c>
      <c r="F45" s="7"/>
      <c r="G45" s="10">
        <v>27484</v>
      </c>
      <c r="H45" s="7">
        <v>4</v>
      </c>
      <c r="I45" s="12">
        <f>IF(OR(Table24[[#This Row],[Rating]]=4,Table24[[#This Row],[Rating]]=5), 0.05*Table24[[#This Row],[Salary]],0)</f>
        <v>1374.2</v>
      </c>
      <c r="J45" s="14">
        <f>VLOOKUP(Table24[[#This Row],[Salary]],'Tax rates'!A$2:C$8, 2) + VLOOKUP(Table24[[#This Row],[Salary]],'Tax rates'!A$2:C$8, 3) * (Table24[[#This Row],[Salary]] - VLOOKUP(Table24[[#This Row],[Salary]],'Tax rates'!A$2:C$8,1))</f>
        <v>3107.58</v>
      </c>
      <c r="K45" s="35">
        <f>Table24[[#This Row],[Salary]]-Table24[[#This Row],[Taxes]]</f>
        <v>24376.42</v>
      </c>
    </row>
    <row r="46" spans="1:11" x14ac:dyDescent="0.25">
      <c r="A46" s="5" t="s">
        <v>526</v>
      </c>
      <c r="B46" s="5" t="s">
        <v>6</v>
      </c>
      <c r="C46" s="5" t="s">
        <v>138</v>
      </c>
      <c r="D46" s="5" t="s">
        <v>3</v>
      </c>
      <c r="E46" s="6">
        <v>38736</v>
      </c>
      <c r="F46" s="5" t="s">
        <v>11</v>
      </c>
      <c r="G46" s="10">
        <v>22920</v>
      </c>
      <c r="H46" s="7">
        <v>3</v>
      </c>
      <c r="I46" s="12">
        <f>IF(OR(Table24[[#This Row],[Rating]]=4,Table24[[#This Row],[Rating]]=5), 0.05*Table24[[#This Row],[Salary]],0)</f>
        <v>0</v>
      </c>
      <c r="J46" s="14">
        <f>VLOOKUP(Table24[[#This Row],[Salary]],'Tax rates'!A$2:C$8, 2) + VLOOKUP(Table24[[#This Row],[Salary]],'Tax rates'!A$2:C$8, 3) * (Table24[[#This Row],[Salary]] - VLOOKUP(Table24[[#This Row],[Salary]],'Tax rates'!A$2:C$8,1))</f>
        <v>2559.8999999999996</v>
      </c>
      <c r="K46" s="35">
        <f>Table24[[#This Row],[Salary]]-Table24[[#This Row],[Taxes]]</f>
        <v>20360.099999999999</v>
      </c>
    </row>
    <row r="47" spans="1:11" x14ac:dyDescent="0.25">
      <c r="A47" s="5" t="s">
        <v>508</v>
      </c>
      <c r="B47" s="5" t="s">
        <v>6</v>
      </c>
      <c r="C47" s="5" t="s">
        <v>75</v>
      </c>
      <c r="D47" s="5" t="s">
        <v>3</v>
      </c>
      <c r="E47" s="6">
        <v>40832</v>
      </c>
      <c r="F47" s="5" t="s">
        <v>11</v>
      </c>
      <c r="G47" s="10">
        <v>85920</v>
      </c>
      <c r="H47" s="7">
        <v>4</v>
      </c>
      <c r="I47" s="12">
        <f>IF(OR(Table24[[#This Row],[Rating]]=4,Table24[[#This Row],[Rating]]=5), 0.05*Table24[[#This Row],[Salary]],0)</f>
        <v>4296</v>
      </c>
      <c r="J47" s="14">
        <f>VLOOKUP(Table24[[#This Row],[Salary]],'Tax rates'!A$2:C$8, 2) + VLOOKUP(Table24[[#This Row],[Salary]],'Tax rates'!A$2:C$8, 3) * (Table24[[#This Row],[Salary]] - VLOOKUP(Table24[[#This Row],[Salary]],'Tax rates'!A$2:C$8,1))</f>
        <v>14910.3</v>
      </c>
      <c r="K47" s="35">
        <f>Table24[[#This Row],[Salary]]-Table24[[#This Row],[Taxes]]</f>
        <v>71009.7</v>
      </c>
    </row>
    <row r="48" spans="1:11" x14ac:dyDescent="0.25">
      <c r="A48" s="5" t="s">
        <v>108</v>
      </c>
      <c r="B48" s="5" t="s">
        <v>6</v>
      </c>
      <c r="C48" s="5" t="s">
        <v>75</v>
      </c>
      <c r="D48" s="5" t="s">
        <v>16</v>
      </c>
      <c r="E48" s="6">
        <v>35848</v>
      </c>
      <c r="F48" s="7"/>
      <c r="G48" s="10">
        <v>85480</v>
      </c>
      <c r="H48" s="7">
        <v>5</v>
      </c>
      <c r="I48" s="12">
        <f>IF(OR(Table24[[#This Row],[Rating]]=4,Table24[[#This Row],[Rating]]=5), 0.05*Table24[[#This Row],[Salary]],0)</f>
        <v>4274</v>
      </c>
      <c r="J48" s="14">
        <f>VLOOKUP(Table24[[#This Row],[Salary]],'Tax rates'!A$2:C$8, 2) + VLOOKUP(Table24[[#This Row],[Salary]],'Tax rates'!A$2:C$8, 3) * (Table24[[#This Row],[Salary]] - VLOOKUP(Table24[[#This Row],[Salary]],'Tax rates'!A$2:C$8,1))</f>
        <v>14804.7</v>
      </c>
      <c r="K48" s="35">
        <f>Table24[[#This Row],[Salary]]-Table24[[#This Row],[Taxes]]</f>
        <v>70675.3</v>
      </c>
    </row>
    <row r="49" spans="1:11" x14ac:dyDescent="0.25">
      <c r="A49" s="5" t="s">
        <v>209</v>
      </c>
      <c r="B49" s="5" t="s">
        <v>6</v>
      </c>
      <c r="C49" s="5" t="s">
        <v>75</v>
      </c>
      <c r="D49" s="5" t="s">
        <v>3</v>
      </c>
      <c r="E49" s="6">
        <v>40501</v>
      </c>
      <c r="F49" s="5" t="s">
        <v>21</v>
      </c>
      <c r="G49" s="10">
        <v>77820</v>
      </c>
      <c r="H49" s="7">
        <v>3</v>
      </c>
      <c r="I49" s="12">
        <f>IF(OR(Table24[[#This Row],[Rating]]=4,Table24[[#This Row],[Rating]]=5), 0.05*Table24[[#This Row],[Salary]],0)</f>
        <v>0</v>
      </c>
      <c r="J49" s="14">
        <f>VLOOKUP(Table24[[#This Row],[Salary]],'Tax rates'!A$2:C$8, 2) + VLOOKUP(Table24[[#This Row],[Salary]],'Tax rates'!A$2:C$8, 3) * (Table24[[#This Row],[Salary]] - VLOOKUP(Table24[[#This Row],[Salary]],'Tax rates'!A$2:C$8,1))</f>
        <v>13059.9</v>
      </c>
      <c r="K49" s="35">
        <f>Table24[[#This Row],[Salary]]-Table24[[#This Row],[Taxes]]</f>
        <v>64760.1</v>
      </c>
    </row>
    <row r="50" spans="1:11" x14ac:dyDescent="0.25">
      <c r="A50" s="5" t="s">
        <v>187</v>
      </c>
      <c r="B50" s="5" t="s">
        <v>6</v>
      </c>
      <c r="C50" s="5" t="s">
        <v>75</v>
      </c>
      <c r="D50" s="5" t="s">
        <v>3</v>
      </c>
      <c r="E50" s="6">
        <v>40200</v>
      </c>
      <c r="F50" s="5" t="s">
        <v>21</v>
      </c>
      <c r="G50" s="10">
        <v>77350</v>
      </c>
      <c r="H50" s="7">
        <v>5</v>
      </c>
      <c r="I50" s="12">
        <f>IF(OR(Table24[[#This Row],[Rating]]=4,Table24[[#This Row],[Rating]]=5), 0.05*Table24[[#This Row],[Salary]],0)</f>
        <v>3867.5</v>
      </c>
      <c r="J50" s="14">
        <f>VLOOKUP(Table24[[#This Row],[Salary]],'Tax rates'!A$2:C$8, 2) + VLOOKUP(Table24[[#This Row],[Salary]],'Tax rates'!A$2:C$8, 3) * (Table24[[#This Row],[Salary]] - VLOOKUP(Table24[[#This Row],[Salary]],'Tax rates'!A$2:C$8,1))</f>
        <v>12956.5</v>
      </c>
      <c r="K50" s="35">
        <f>Table24[[#This Row],[Salary]]-Table24[[#This Row],[Taxes]]</f>
        <v>64393.5</v>
      </c>
    </row>
    <row r="51" spans="1:11" x14ac:dyDescent="0.25">
      <c r="A51" s="5" t="s">
        <v>580</v>
      </c>
      <c r="B51" s="5" t="s">
        <v>6</v>
      </c>
      <c r="C51" s="5" t="s">
        <v>75</v>
      </c>
      <c r="D51" s="5" t="s">
        <v>16</v>
      </c>
      <c r="E51" s="6">
        <v>38792</v>
      </c>
      <c r="F51" s="7"/>
      <c r="G51" s="10">
        <v>74740</v>
      </c>
      <c r="H51" s="7">
        <v>5</v>
      </c>
      <c r="I51" s="12">
        <f>IF(OR(Table24[[#This Row],[Rating]]=4,Table24[[#This Row],[Rating]]=5), 0.05*Table24[[#This Row],[Salary]],0)</f>
        <v>3737</v>
      </c>
      <c r="J51" s="14">
        <f>VLOOKUP(Table24[[#This Row],[Salary]],'Tax rates'!A$2:C$8, 2) + VLOOKUP(Table24[[#This Row],[Salary]],'Tax rates'!A$2:C$8, 3) * (Table24[[#This Row],[Salary]] - VLOOKUP(Table24[[#This Row],[Salary]],'Tax rates'!A$2:C$8,1))</f>
        <v>12382.3</v>
      </c>
      <c r="K51" s="35">
        <f>Table24[[#This Row],[Salary]]-Table24[[#This Row],[Taxes]]</f>
        <v>62357.7</v>
      </c>
    </row>
    <row r="52" spans="1:11" x14ac:dyDescent="0.25">
      <c r="A52" s="5" t="s">
        <v>446</v>
      </c>
      <c r="B52" s="5" t="s">
        <v>6</v>
      </c>
      <c r="C52" s="5" t="s">
        <v>75</v>
      </c>
      <c r="D52" s="5" t="s">
        <v>3</v>
      </c>
      <c r="E52" s="6">
        <v>37241</v>
      </c>
      <c r="F52" s="5" t="s">
        <v>4</v>
      </c>
      <c r="G52" s="10">
        <v>71950</v>
      </c>
      <c r="H52" s="7">
        <v>5</v>
      </c>
      <c r="I52" s="12">
        <f>IF(OR(Table24[[#This Row],[Rating]]=4,Table24[[#This Row],[Rating]]=5), 0.05*Table24[[#This Row],[Salary]],0)</f>
        <v>3597.5</v>
      </c>
      <c r="J52" s="14">
        <f>VLOOKUP(Table24[[#This Row],[Salary]],'Tax rates'!A$2:C$8, 2) + VLOOKUP(Table24[[#This Row],[Salary]],'Tax rates'!A$2:C$8, 3) * (Table24[[#This Row],[Salary]] - VLOOKUP(Table24[[#This Row],[Salary]],'Tax rates'!A$2:C$8,1))</f>
        <v>11768.5</v>
      </c>
      <c r="K52" s="35">
        <f>Table24[[#This Row],[Salary]]-Table24[[#This Row],[Taxes]]</f>
        <v>60181.5</v>
      </c>
    </row>
    <row r="53" spans="1:11" x14ac:dyDescent="0.25">
      <c r="A53" s="5" t="s">
        <v>413</v>
      </c>
      <c r="B53" s="5" t="s">
        <v>6</v>
      </c>
      <c r="C53" s="5" t="s">
        <v>75</v>
      </c>
      <c r="D53" s="5" t="s">
        <v>16</v>
      </c>
      <c r="E53" s="6">
        <v>35902</v>
      </c>
      <c r="F53" s="7"/>
      <c r="G53" s="10">
        <v>63340</v>
      </c>
      <c r="H53" s="7">
        <v>3</v>
      </c>
      <c r="I53" s="12">
        <f>IF(OR(Table24[[#This Row],[Rating]]=4,Table24[[#This Row],[Rating]]=5), 0.05*Table24[[#This Row],[Salary]],0)</f>
        <v>0</v>
      </c>
      <c r="J53" s="14">
        <f>VLOOKUP(Table24[[#This Row],[Salary]],'Tax rates'!A$2:C$8, 2) + VLOOKUP(Table24[[#This Row],[Salary]],'Tax rates'!A$2:C$8, 3) * (Table24[[#This Row],[Salary]] - VLOOKUP(Table24[[#This Row],[Salary]],'Tax rates'!A$2:C$8,1))</f>
        <v>9874.2999999999993</v>
      </c>
      <c r="K53" s="35">
        <f>Table24[[#This Row],[Salary]]-Table24[[#This Row],[Taxes]]</f>
        <v>53465.7</v>
      </c>
    </row>
    <row r="54" spans="1:11" x14ac:dyDescent="0.25">
      <c r="A54" s="5" t="s">
        <v>242</v>
      </c>
      <c r="B54" s="5" t="s">
        <v>6</v>
      </c>
      <c r="C54" s="5" t="s">
        <v>75</v>
      </c>
      <c r="D54" s="5" t="s">
        <v>3</v>
      </c>
      <c r="E54" s="6">
        <v>37176</v>
      </c>
      <c r="F54" s="5" t="s">
        <v>21</v>
      </c>
      <c r="G54" s="10">
        <v>62790</v>
      </c>
      <c r="H54" s="7">
        <v>2</v>
      </c>
      <c r="I54" s="12">
        <f>IF(OR(Table24[[#This Row],[Rating]]=4,Table24[[#This Row],[Rating]]=5), 0.05*Table24[[#This Row],[Salary]],0)</f>
        <v>0</v>
      </c>
      <c r="J54" s="14">
        <f>VLOOKUP(Table24[[#This Row],[Salary]],'Tax rates'!A$2:C$8, 2) + VLOOKUP(Table24[[#This Row],[Salary]],'Tax rates'!A$2:C$8, 3) * (Table24[[#This Row],[Salary]] - VLOOKUP(Table24[[#This Row],[Salary]],'Tax rates'!A$2:C$8,1))</f>
        <v>9753.2999999999993</v>
      </c>
      <c r="K54" s="35">
        <f>Table24[[#This Row],[Salary]]-Table24[[#This Row],[Taxes]]</f>
        <v>53036.7</v>
      </c>
    </row>
    <row r="55" spans="1:11" x14ac:dyDescent="0.25">
      <c r="A55" s="5" t="s">
        <v>307</v>
      </c>
      <c r="B55" s="5" t="s">
        <v>6</v>
      </c>
      <c r="C55" s="5" t="s">
        <v>75</v>
      </c>
      <c r="D55" s="5" t="s">
        <v>3</v>
      </c>
      <c r="E55" s="6">
        <v>40880</v>
      </c>
      <c r="F55" s="5" t="s">
        <v>25</v>
      </c>
      <c r="G55" s="10">
        <v>61400</v>
      </c>
      <c r="H55" s="7">
        <v>5</v>
      </c>
      <c r="I55" s="12">
        <f>IF(OR(Table24[[#This Row],[Rating]]=4,Table24[[#This Row],[Rating]]=5), 0.05*Table24[[#This Row],[Salary]],0)</f>
        <v>3070</v>
      </c>
      <c r="J55" s="14">
        <f>VLOOKUP(Table24[[#This Row],[Salary]],'Tax rates'!A$2:C$8, 2) + VLOOKUP(Table24[[#This Row],[Salary]],'Tax rates'!A$2:C$8, 3) * (Table24[[#This Row],[Salary]] - VLOOKUP(Table24[[#This Row],[Salary]],'Tax rates'!A$2:C$8,1))</f>
        <v>9447.5</v>
      </c>
      <c r="K55" s="35">
        <f>Table24[[#This Row],[Salary]]-Table24[[#This Row],[Taxes]]</f>
        <v>51952.5</v>
      </c>
    </row>
    <row r="56" spans="1:11" x14ac:dyDescent="0.25">
      <c r="A56" s="5" t="s">
        <v>264</v>
      </c>
      <c r="B56" s="5" t="s">
        <v>6</v>
      </c>
      <c r="C56" s="5" t="s">
        <v>75</v>
      </c>
      <c r="D56" s="5" t="s">
        <v>16</v>
      </c>
      <c r="E56" s="6">
        <v>39803</v>
      </c>
      <c r="F56" s="7"/>
      <c r="G56" s="10">
        <v>42940</v>
      </c>
      <c r="H56" s="7">
        <v>1</v>
      </c>
      <c r="I56" s="12">
        <f>IF(OR(Table24[[#This Row],[Rating]]=4,Table24[[#This Row],[Rating]]=5), 0.05*Table24[[#This Row],[Salary]],0)</f>
        <v>0</v>
      </c>
      <c r="J56" s="14">
        <f>VLOOKUP(Table24[[#This Row],[Salary]],'Tax rates'!A$2:C$8, 2) + VLOOKUP(Table24[[#This Row],[Salary]],'Tax rates'!A$2:C$8, 3) * (Table24[[#This Row],[Salary]] - VLOOKUP(Table24[[#This Row],[Salary]],'Tax rates'!A$2:C$8,1))</f>
        <v>5386.3</v>
      </c>
      <c r="K56" s="35">
        <f>Table24[[#This Row],[Salary]]-Table24[[#This Row],[Taxes]]</f>
        <v>37553.699999999997</v>
      </c>
    </row>
    <row r="57" spans="1:11" x14ac:dyDescent="0.25">
      <c r="A57" s="5" t="s">
        <v>572</v>
      </c>
      <c r="B57" s="5" t="s">
        <v>6</v>
      </c>
      <c r="C57" s="5" t="s">
        <v>75</v>
      </c>
      <c r="D57" s="5" t="s">
        <v>3</v>
      </c>
      <c r="E57" s="6">
        <v>40085</v>
      </c>
      <c r="F57" s="5" t="s">
        <v>4</v>
      </c>
      <c r="G57" s="10">
        <v>41490</v>
      </c>
      <c r="H57" s="7">
        <v>5</v>
      </c>
      <c r="I57" s="12">
        <f>IF(OR(Table24[[#This Row],[Rating]]=4,Table24[[#This Row],[Rating]]=5), 0.05*Table24[[#This Row],[Salary]],0)</f>
        <v>2074.5</v>
      </c>
      <c r="J57" s="14">
        <f>VLOOKUP(Table24[[#This Row],[Salary]],'Tax rates'!A$2:C$8, 2) + VLOOKUP(Table24[[#This Row],[Salary]],'Tax rates'!A$2:C$8, 3) * (Table24[[#This Row],[Salary]] - VLOOKUP(Table24[[#This Row],[Salary]],'Tax rates'!A$2:C$8,1))</f>
        <v>5067.3</v>
      </c>
      <c r="K57" s="35">
        <f>Table24[[#This Row],[Salary]]-Table24[[#This Row],[Taxes]]</f>
        <v>36422.699999999997</v>
      </c>
    </row>
    <row r="58" spans="1:11" x14ac:dyDescent="0.25">
      <c r="A58" s="5" t="s">
        <v>690</v>
      </c>
      <c r="B58" s="5" t="s">
        <v>6</v>
      </c>
      <c r="C58" s="5" t="s">
        <v>75</v>
      </c>
      <c r="D58" s="5" t="s">
        <v>3</v>
      </c>
      <c r="E58" s="6">
        <v>40274</v>
      </c>
      <c r="F58" s="5" t="s">
        <v>25</v>
      </c>
      <c r="G58" s="10">
        <v>38730</v>
      </c>
      <c r="H58" s="7">
        <v>1</v>
      </c>
      <c r="I58" s="12">
        <f>IF(OR(Table24[[#This Row],[Rating]]=4,Table24[[#This Row],[Rating]]=5), 0.05*Table24[[#This Row],[Salary]],0)</f>
        <v>0</v>
      </c>
      <c r="J58" s="14">
        <f>VLOOKUP(Table24[[#This Row],[Salary]],'Tax rates'!A$2:C$8, 2) + VLOOKUP(Table24[[#This Row],[Salary]],'Tax rates'!A$2:C$8, 3) * (Table24[[#This Row],[Salary]] - VLOOKUP(Table24[[#This Row],[Salary]],'Tax rates'!A$2:C$8,1))</f>
        <v>4460.1000000000004</v>
      </c>
      <c r="K58" s="35">
        <f>Table24[[#This Row],[Salary]]-Table24[[#This Row],[Taxes]]</f>
        <v>34269.9</v>
      </c>
    </row>
    <row r="59" spans="1:11" x14ac:dyDescent="0.25">
      <c r="A59" s="5" t="s">
        <v>244</v>
      </c>
      <c r="B59" s="5" t="s">
        <v>6</v>
      </c>
      <c r="C59" s="5" t="s">
        <v>75</v>
      </c>
      <c r="D59" s="5" t="s">
        <v>3</v>
      </c>
      <c r="E59" s="6">
        <v>39215</v>
      </c>
      <c r="F59" s="5" t="s">
        <v>4</v>
      </c>
      <c r="G59" s="10">
        <v>31910</v>
      </c>
      <c r="H59" s="7">
        <v>5</v>
      </c>
      <c r="I59" s="12">
        <f>IF(OR(Table24[[#This Row],[Rating]]=4,Table24[[#This Row],[Rating]]=5), 0.05*Table24[[#This Row],[Salary]],0)</f>
        <v>1595.5</v>
      </c>
      <c r="J59" s="14">
        <f>VLOOKUP(Table24[[#This Row],[Salary]],'Tax rates'!A$2:C$8, 2) + VLOOKUP(Table24[[#This Row],[Salary]],'Tax rates'!A$2:C$8, 3) * (Table24[[#This Row],[Salary]] - VLOOKUP(Table24[[#This Row],[Salary]],'Tax rates'!A$2:C$8,1))</f>
        <v>3638.7</v>
      </c>
      <c r="K59" s="35">
        <f>Table24[[#This Row],[Salary]]-Table24[[#This Row],[Taxes]]</f>
        <v>28271.3</v>
      </c>
    </row>
    <row r="60" spans="1:11" x14ac:dyDescent="0.25">
      <c r="A60" s="5" t="s">
        <v>639</v>
      </c>
      <c r="B60" s="5" t="s">
        <v>6</v>
      </c>
      <c r="C60" s="5" t="s">
        <v>75</v>
      </c>
      <c r="D60" s="5" t="s">
        <v>24</v>
      </c>
      <c r="E60" s="6">
        <v>39279</v>
      </c>
      <c r="F60" s="5" t="s">
        <v>4</v>
      </c>
      <c r="G60" s="10">
        <v>26890</v>
      </c>
      <c r="H60" s="7">
        <v>3</v>
      </c>
      <c r="I60" s="12">
        <f>IF(OR(Table24[[#This Row],[Rating]]=4,Table24[[#This Row],[Rating]]=5), 0.05*Table24[[#This Row],[Salary]],0)</f>
        <v>0</v>
      </c>
      <c r="J60" s="14">
        <f>VLOOKUP(Table24[[#This Row],[Salary]],'Tax rates'!A$2:C$8, 2) + VLOOKUP(Table24[[#This Row],[Salary]],'Tax rates'!A$2:C$8, 3) * (Table24[[#This Row],[Salary]] - VLOOKUP(Table24[[#This Row],[Salary]],'Tax rates'!A$2:C$8,1))</f>
        <v>3036.2999999999997</v>
      </c>
      <c r="K60" s="35">
        <f>Table24[[#This Row],[Salary]]-Table24[[#This Row],[Taxes]]</f>
        <v>23853.7</v>
      </c>
    </row>
    <row r="61" spans="1:11" x14ac:dyDescent="0.25">
      <c r="A61" s="5" t="s">
        <v>514</v>
      </c>
      <c r="B61" s="5" t="s">
        <v>6</v>
      </c>
      <c r="C61" s="5" t="s">
        <v>75</v>
      </c>
      <c r="D61" s="5" t="s">
        <v>24</v>
      </c>
      <c r="E61" s="6">
        <v>35842</v>
      </c>
      <c r="F61" s="5" t="s">
        <v>9</v>
      </c>
      <c r="G61" s="10">
        <v>23380</v>
      </c>
      <c r="H61" s="7">
        <v>4</v>
      </c>
      <c r="I61" s="12">
        <f>IF(OR(Table24[[#This Row],[Rating]]=4,Table24[[#This Row],[Rating]]=5), 0.05*Table24[[#This Row],[Salary]],0)</f>
        <v>1169</v>
      </c>
      <c r="J61" s="14">
        <f>VLOOKUP(Table24[[#This Row],[Salary]],'Tax rates'!A$2:C$8, 2) + VLOOKUP(Table24[[#This Row],[Salary]],'Tax rates'!A$2:C$8, 3) * (Table24[[#This Row],[Salary]] - VLOOKUP(Table24[[#This Row],[Salary]],'Tax rates'!A$2:C$8,1))</f>
        <v>2615.1</v>
      </c>
      <c r="K61" s="35">
        <f>Table24[[#This Row],[Salary]]-Table24[[#This Row],[Taxes]]</f>
        <v>20764.900000000001</v>
      </c>
    </row>
    <row r="62" spans="1:11" x14ac:dyDescent="0.25">
      <c r="A62" s="5" t="s">
        <v>180</v>
      </c>
      <c r="B62" s="5" t="s">
        <v>6</v>
      </c>
      <c r="C62" s="5" t="s">
        <v>166</v>
      </c>
      <c r="D62" s="5" t="s">
        <v>3</v>
      </c>
      <c r="E62" s="6">
        <v>39492</v>
      </c>
      <c r="F62" s="5" t="s">
        <v>4</v>
      </c>
      <c r="G62" s="10">
        <v>36630</v>
      </c>
      <c r="H62" s="7">
        <v>4</v>
      </c>
      <c r="I62" s="12">
        <f>IF(OR(Table24[[#This Row],[Rating]]=4,Table24[[#This Row],[Rating]]=5), 0.05*Table24[[#This Row],[Salary]],0)</f>
        <v>1831.5</v>
      </c>
      <c r="J62" s="14">
        <f>VLOOKUP(Table24[[#This Row],[Salary]],'Tax rates'!A$2:C$8, 2) + VLOOKUP(Table24[[#This Row],[Salary]],'Tax rates'!A$2:C$8, 3) * (Table24[[#This Row],[Salary]] - VLOOKUP(Table24[[#This Row],[Salary]],'Tax rates'!A$2:C$8,1))</f>
        <v>4205.1000000000004</v>
      </c>
      <c r="K62" s="35">
        <f>Table24[[#This Row],[Salary]]-Table24[[#This Row],[Taxes]]</f>
        <v>32424.9</v>
      </c>
    </row>
    <row r="63" spans="1:11" x14ac:dyDescent="0.25">
      <c r="A63" s="5" t="s">
        <v>541</v>
      </c>
      <c r="B63" s="5" t="s">
        <v>6</v>
      </c>
      <c r="C63" s="5" t="s">
        <v>166</v>
      </c>
      <c r="D63" s="5" t="s">
        <v>16</v>
      </c>
      <c r="E63" s="6">
        <v>39529</v>
      </c>
      <c r="F63" s="7"/>
      <c r="G63" s="10">
        <v>35620</v>
      </c>
      <c r="H63" s="7">
        <v>4</v>
      </c>
      <c r="I63" s="12">
        <f>IF(OR(Table24[[#This Row],[Rating]]=4,Table24[[#This Row],[Rating]]=5), 0.05*Table24[[#This Row],[Salary]],0)</f>
        <v>1781</v>
      </c>
      <c r="J63" s="14">
        <f>VLOOKUP(Table24[[#This Row],[Salary]],'Tax rates'!A$2:C$8, 2) + VLOOKUP(Table24[[#This Row],[Salary]],'Tax rates'!A$2:C$8, 3) * (Table24[[#This Row],[Salary]] - VLOOKUP(Table24[[#This Row],[Salary]],'Tax rates'!A$2:C$8,1))</f>
        <v>4083.9</v>
      </c>
      <c r="K63" s="35">
        <f>Table24[[#This Row],[Salary]]-Table24[[#This Row],[Taxes]]</f>
        <v>31536.1</v>
      </c>
    </row>
    <row r="64" spans="1:11" x14ac:dyDescent="0.25">
      <c r="A64" s="5" t="s">
        <v>584</v>
      </c>
      <c r="B64" s="5" t="s">
        <v>6</v>
      </c>
      <c r="C64" s="5" t="s">
        <v>57</v>
      </c>
      <c r="D64" s="5" t="s">
        <v>3</v>
      </c>
      <c r="E64" s="6">
        <v>40442</v>
      </c>
      <c r="F64" s="5" t="s">
        <v>4</v>
      </c>
      <c r="G64" s="10">
        <v>66740</v>
      </c>
      <c r="H64" s="7">
        <v>2</v>
      </c>
      <c r="I64" s="12">
        <f>IF(OR(Table24[[#This Row],[Rating]]=4,Table24[[#This Row],[Rating]]=5), 0.05*Table24[[#This Row],[Salary]],0)</f>
        <v>0</v>
      </c>
      <c r="J64" s="14">
        <f>VLOOKUP(Table24[[#This Row],[Salary]],'Tax rates'!A$2:C$8, 2) + VLOOKUP(Table24[[#This Row],[Salary]],'Tax rates'!A$2:C$8, 3) * (Table24[[#This Row],[Salary]] - VLOOKUP(Table24[[#This Row],[Salary]],'Tax rates'!A$2:C$8,1))</f>
        <v>10622.3</v>
      </c>
      <c r="K64" s="35">
        <f>Table24[[#This Row],[Salary]]-Table24[[#This Row],[Taxes]]</f>
        <v>56117.7</v>
      </c>
    </row>
    <row r="65" spans="1:11" x14ac:dyDescent="0.25">
      <c r="A65" s="5" t="s">
        <v>723</v>
      </c>
      <c r="B65" s="5" t="s">
        <v>6</v>
      </c>
      <c r="C65" s="5" t="s">
        <v>57</v>
      </c>
      <c r="D65" s="5" t="s">
        <v>16</v>
      </c>
      <c r="E65" s="6">
        <v>38854</v>
      </c>
      <c r="F65" s="7"/>
      <c r="G65" s="10">
        <v>44820</v>
      </c>
      <c r="H65" s="7">
        <v>4</v>
      </c>
      <c r="I65" s="12">
        <f>IF(OR(Table24[[#This Row],[Rating]]=4,Table24[[#This Row],[Rating]]=5), 0.05*Table24[[#This Row],[Salary]],0)</f>
        <v>2241</v>
      </c>
      <c r="J65" s="14">
        <f>VLOOKUP(Table24[[#This Row],[Salary]],'Tax rates'!A$2:C$8, 2) + VLOOKUP(Table24[[#This Row],[Salary]],'Tax rates'!A$2:C$8, 3) * (Table24[[#This Row],[Salary]] - VLOOKUP(Table24[[#This Row],[Salary]],'Tax rates'!A$2:C$8,1))</f>
        <v>5799.9</v>
      </c>
      <c r="K65" s="35">
        <f>Table24[[#This Row],[Salary]]-Table24[[#This Row],[Taxes]]</f>
        <v>39020.1</v>
      </c>
    </row>
    <row r="66" spans="1:11" x14ac:dyDescent="0.25">
      <c r="A66" s="5" t="s">
        <v>80</v>
      </c>
      <c r="B66" s="5" t="s">
        <v>6</v>
      </c>
      <c r="C66" s="5" t="s">
        <v>23</v>
      </c>
      <c r="D66" s="5" t="s">
        <v>3</v>
      </c>
      <c r="E66" s="6">
        <v>38227</v>
      </c>
      <c r="F66" s="5" t="s">
        <v>11</v>
      </c>
      <c r="G66" s="10">
        <v>86200</v>
      </c>
      <c r="H66" s="7">
        <v>3</v>
      </c>
      <c r="I66" s="12">
        <f>IF(OR(Table24[[#This Row],[Rating]]=4,Table24[[#This Row],[Rating]]=5), 0.05*Table24[[#This Row],[Salary]],0)</f>
        <v>0</v>
      </c>
      <c r="J66" s="14">
        <f>VLOOKUP(Table24[[#This Row],[Salary]],'Tax rates'!A$2:C$8, 2) + VLOOKUP(Table24[[#This Row],[Salary]],'Tax rates'!A$2:C$8, 3) * (Table24[[#This Row],[Salary]] - VLOOKUP(Table24[[#This Row],[Salary]],'Tax rates'!A$2:C$8,1))</f>
        <v>14977.5</v>
      </c>
      <c r="K66" s="35">
        <f>Table24[[#This Row],[Salary]]-Table24[[#This Row],[Taxes]]</f>
        <v>71222.5</v>
      </c>
    </row>
    <row r="67" spans="1:11" x14ac:dyDescent="0.25">
      <c r="A67" s="5" t="s">
        <v>436</v>
      </c>
      <c r="B67" s="5" t="s">
        <v>6</v>
      </c>
      <c r="C67" s="5" t="s">
        <v>23</v>
      </c>
      <c r="D67" s="5" t="s">
        <v>3</v>
      </c>
      <c r="E67" s="6">
        <v>40525</v>
      </c>
      <c r="F67" s="5" t="s">
        <v>25</v>
      </c>
      <c r="G67" s="10">
        <v>77950</v>
      </c>
      <c r="H67" s="7">
        <v>4</v>
      </c>
      <c r="I67" s="12">
        <f>IF(OR(Table24[[#This Row],[Rating]]=4,Table24[[#This Row],[Rating]]=5), 0.05*Table24[[#This Row],[Salary]],0)</f>
        <v>3897.5</v>
      </c>
      <c r="J67" s="14">
        <f>VLOOKUP(Table24[[#This Row],[Salary]],'Tax rates'!A$2:C$8, 2) + VLOOKUP(Table24[[#This Row],[Salary]],'Tax rates'!A$2:C$8, 3) * (Table24[[#This Row],[Salary]] - VLOOKUP(Table24[[#This Row],[Salary]],'Tax rates'!A$2:C$8,1))</f>
        <v>13088.5</v>
      </c>
      <c r="K67" s="35">
        <f>Table24[[#This Row],[Salary]]-Table24[[#This Row],[Taxes]]</f>
        <v>64861.5</v>
      </c>
    </row>
    <row r="68" spans="1:11" x14ac:dyDescent="0.25">
      <c r="A68" s="5" t="s">
        <v>626</v>
      </c>
      <c r="B68" s="5" t="s">
        <v>6</v>
      </c>
      <c r="C68" s="5" t="s">
        <v>23</v>
      </c>
      <c r="D68" s="5" t="s">
        <v>3</v>
      </c>
      <c r="E68" s="6">
        <v>35969</v>
      </c>
      <c r="F68" s="5" t="s">
        <v>4</v>
      </c>
      <c r="G68" s="10">
        <v>74530</v>
      </c>
      <c r="H68" s="7">
        <v>5</v>
      </c>
      <c r="I68" s="12">
        <f>IF(OR(Table24[[#This Row],[Rating]]=4,Table24[[#This Row],[Rating]]=5), 0.05*Table24[[#This Row],[Salary]],0)</f>
        <v>3726.5</v>
      </c>
      <c r="J68" s="14">
        <f>VLOOKUP(Table24[[#This Row],[Salary]],'Tax rates'!A$2:C$8, 2) + VLOOKUP(Table24[[#This Row],[Salary]],'Tax rates'!A$2:C$8, 3) * (Table24[[#This Row],[Salary]] - VLOOKUP(Table24[[#This Row],[Salary]],'Tax rates'!A$2:C$8,1))</f>
        <v>12336.1</v>
      </c>
      <c r="K68" s="35">
        <f>Table24[[#This Row],[Salary]]-Table24[[#This Row],[Taxes]]</f>
        <v>62193.9</v>
      </c>
    </row>
    <row r="69" spans="1:11" x14ac:dyDescent="0.25">
      <c r="A69" s="5" t="s">
        <v>663</v>
      </c>
      <c r="B69" s="5" t="s">
        <v>6</v>
      </c>
      <c r="C69" s="5" t="s">
        <v>23</v>
      </c>
      <c r="D69" s="5" t="s">
        <v>3</v>
      </c>
      <c r="E69" s="6">
        <v>39224</v>
      </c>
      <c r="F69" s="5" t="s">
        <v>11</v>
      </c>
      <c r="G69" s="10">
        <v>73030</v>
      </c>
      <c r="H69" s="7">
        <v>5</v>
      </c>
      <c r="I69" s="12">
        <f>IF(OR(Table24[[#This Row],[Rating]]=4,Table24[[#This Row],[Rating]]=5), 0.05*Table24[[#This Row],[Salary]],0)</f>
        <v>3651.5</v>
      </c>
      <c r="J69" s="14">
        <f>VLOOKUP(Table24[[#This Row],[Salary]],'Tax rates'!A$2:C$8, 2) + VLOOKUP(Table24[[#This Row],[Salary]],'Tax rates'!A$2:C$8, 3) * (Table24[[#This Row],[Salary]] - VLOOKUP(Table24[[#This Row],[Salary]],'Tax rates'!A$2:C$8,1))</f>
        <v>12006.1</v>
      </c>
      <c r="K69" s="35">
        <f>Table24[[#This Row],[Salary]]-Table24[[#This Row],[Taxes]]</f>
        <v>61023.9</v>
      </c>
    </row>
    <row r="70" spans="1:11" x14ac:dyDescent="0.25">
      <c r="A70" s="5" t="s">
        <v>564</v>
      </c>
      <c r="B70" s="5" t="s">
        <v>6</v>
      </c>
      <c r="C70" s="5" t="s">
        <v>23</v>
      </c>
      <c r="D70" s="5" t="s">
        <v>3</v>
      </c>
      <c r="E70" s="6">
        <v>41186</v>
      </c>
      <c r="F70" s="5" t="s">
        <v>9</v>
      </c>
      <c r="G70" s="10">
        <v>46910</v>
      </c>
      <c r="H70" s="7">
        <v>3</v>
      </c>
      <c r="I70" s="12">
        <f>IF(OR(Table24[[#This Row],[Rating]]=4,Table24[[#This Row],[Rating]]=5), 0.05*Table24[[#This Row],[Salary]],0)</f>
        <v>0</v>
      </c>
      <c r="J70" s="14">
        <f>VLOOKUP(Table24[[#This Row],[Salary]],'Tax rates'!A$2:C$8, 2) + VLOOKUP(Table24[[#This Row],[Salary]],'Tax rates'!A$2:C$8, 3) * (Table24[[#This Row],[Salary]] - VLOOKUP(Table24[[#This Row],[Salary]],'Tax rates'!A$2:C$8,1))</f>
        <v>6259.7</v>
      </c>
      <c r="K70" s="35">
        <f>Table24[[#This Row],[Salary]]-Table24[[#This Row],[Taxes]]</f>
        <v>40650.300000000003</v>
      </c>
    </row>
    <row r="71" spans="1:11" x14ac:dyDescent="0.25">
      <c r="A71" s="5" t="s">
        <v>767</v>
      </c>
      <c r="B71" s="5" t="s">
        <v>6</v>
      </c>
      <c r="C71" s="5" t="s">
        <v>23</v>
      </c>
      <c r="D71" s="5" t="s">
        <v>3</v>
      </c>
      <c r="E71" s="6">
        <v>40883</v>
      </c>
      <c r="F71" s="5" t="s">
        <v>4</v>
      </c>
      <c r="G71" s="10">
        <v>43580</v>
      </c>
      <c r="H71" s="7">
        <v>5</v>
      </c>
      <c r="I71" s="12">
        <f>IF(OR(Table24[[#This Row],[Rating]]=4,Table24[[#This Row],[Rating]]=5), 0.05*Table24[[#This Row],[Salary]],0)</f>
        <v>2179</v>
      </c>
      <c r="J71" s="14">
        <f>VLOOKUP(Table24[[#This Row],[Salary]],'Tax rates'!A$2:C$8, 2) + VLOOKUP(Table24[[#This Row],[Salary]],'Tax rates'!A$2:C$8, 3) * (Table24[[#This Row],[Salary]] - VLOOKUP(Table24[[#This Row],[Salary]],'Tax rates'!A$2:C$8,1))</f>
        <v>5527.1</v>
      </c>
      <c r="K71" s="35">
        <f>Table24[[#This Row],[Salary]]-Table24[[#This Row],[Taxes]]</f>
        <v>38052.9</v>
      </c>
    </row>
    <row r="72" spans="1:11" x14ac:dyDescent="0.25">
      <c r="A72" s="5" t="s">
        <v>149</v>
      </c>
      <c r="B72" s="5" t="s">
        <v>6</v>
      </c>
      <c r="C72" s="5" t="s">
        <v>23</v>
      </c>
      <c r="D72" s="5" t="s">
        <v>32</v>
      </c>
      <c r="E72" s="6">
        <v>36329</v>
      </c>
      <c r="F72" s="7"/>
      <c r="G72" s="10">
        <v>39764</v>
      </c>
      <c r="H72" s="7">
        <v>1</v>
      </c>
      <c r="I72" s="12">
        <f>IF(OR(Table24[[#This Row],[Rating]]=4,Table24[[#This Row],[Rating]]=5), 0.05*Table24[[#This Row],[Salary]],0)</f>
        <v>0</v>
      </c>
      <c r="J72" s="14">
        <f>VLOOKUP(Table24[[#This Row],[Salary]],'Tax rates'!A$2:C$8, 2) + VLOOKUP(Table24[[#This Row],[Salary]],'Tax rates'!A$2:C$8, 3) * (Table24[[#This Row],[Salary]] - VLOOKUP(Table24[[#This Row],[Salary]],'Tax rates'!A$2:C$8,1))</f>
        <v>4687.58</v>
      </c>
      <c r="K72" s="35">
        <f>Table24[[#This Row],[Salary]]-Table24[[#This Row],[Taxes]]</f>
        <v>35076.42</v>
      </c>
    </row>
    <row r="73" spans="1:11" x14ac:dyDescent="0.25">
      <c r="A73" s="5" t="s">
        <v>22</v>
      </c>
      <c r="B73" s="5" t="s">
        <v>6</v>
      </c>
      <c r="C73" s="5" t="s">
        <v>23</v>
      </c>
      <c r="D73" s="5" t="s">
        <v>24</v>
      </c>
      <c r="E73" s="6">
        <v>40807</v>
      </c>
      <c r="F73" s="5" t="s">
        <v>25</v>
      </c>
      <c r="G73" s="10">
        <v>35045</v>
      </c>
      <c r="H73" s="7">
        <v>4</v>
      </c>
      <c r="I73" s="12">
        <f>IF(OR(Table24[[#This Row],[Rating]]=4,Table24[[#This Row],[Rating]]=5), 0.05*Table24[[#This Row],[Salary]],0)</f>
        <v>1752.25</v>
      </c>
      <c r="J73" s="14">
        <f>VLOOKUP(Table24[[#This Row],[Salary]],'Tax rates'!A$2:C$8, 2) + VLOOKUP(Table24[[#This Row],[Salary]],'Tax rates'!A$2:C$8, 3) * (Table24[[#This Row],[Salary]] - VLOOKUP(Table24[[#This Row],[Salary]],'Tax rates'!A$2:C$8,1))</f>
        <v>4014.9</v>
      </c>
      <c r="K73" s="35">
        <f>Table24[[#This Row],[Salary]]-Table24[[#This Row],[Taxes]]</f>
        <v>31030.1</v>
      </c>
    </row>
    <row r="74" spans="1:11" x14ac:dyDescent="0.25">
      <c r="A74" s="5" t="s">
        <v>540</v>
      </c>
      <c r="B74" s="5" t="s">
        <v>6</v>
      </c>
      <c r="C74" s="5" t="s">
        <v>23</v>
      </c>
      <c r="D74" s="5" t="s">
        <v>16</v>
      </c>
      <c r="E74" s="6">
        <v>36623</v>
      </c>
      <c r="F74" s="7"/>
      <c r="G74" s="10">
        <v>30300</v>
      </c>
      <c r="H74" s="7">
        <v>1</v>
      </c>
      <c r="I74" s="12">
        <f>IF(OR(Table24[[#This Row],[Rating]]=4,Table24[[#This Row],[Rating]]=5), 0.05*Table24[[#This Row],[Salary]],0)</f>
        <v>0</v>
      </c>
      <c r="J74" s="14">
        <f>VLOOKUP(Table24[[#This Row],[Salary]],'Tax rates'!A$2:C$8, 2) + VLOOKUP(Table24[[#This Row],[Salary]],'Tax rates'!A$2:C$8, 3) * (Table24[[#This Row],[Salary]] - VLOOKUP(Table24[[#This Row],[Salary]],'Tax rates'!A$2:C$8,1))</f>
        <v>3445.5</v>
      </c>
      <c r="K74" s="35">
        <f>Table24[[#This Row],[Salary]]-Table24[[#This Row],[Taxes]]</f>
        <v>26854.5</v>
      </c>
    </row>
    <row r="75" spans="1:11" x14ac:dyDescent="0.25">
      <c r="A75" s="5" t="s">
        <v>499</v>
      </c>
      <c r="B75" s="5" t="s">
        <v>6</v>
      </c>
      <c r="C75" s="5" t="s">
        <v>23</v>
      </c>
      <c r="D75" s="5" t="s">
        <v>3</v>
      </c>
      <c r="E75" s="6">
        <v>39284</v>
      </c>
      <c r="F75" s="5" t="s">
        <v>4</v>
      </c>
      <c r="G75" s="10">
        <v>25830</v>
      </c>
      <c r="H75" s="7">
        <v>5</v>
      </c>
      <c r="I75" s="12">
        <f>IF(OR(Table24[[#This Row],[Rating]]=4,Table24[[#This Row],[Rating]]=5), 0.05*Table24[[#This Row],[Salary]],0)</f>
        <v>1291.5</v>
      </c>
      <c r="J75" s="14">
        <f>VLOOKUP(Table24[[#This Row],[Salary]],'Tax rates'!A$2:C$8, 2) + VLOOKUP(Table24[[#This Row],[Salary]],'Tax rates'!A$2:C$8, 3) * (Table24[[#This Row],[Salary]] - VLOOKUP(Table24[[#This Row],[Salary]],'Tax rates'!A$2:C$8,1))</f>
        <v>2909.1</v>
      </c>
      <c r="K75" s="35">
        <f>Table24[[#This Row],[Salary]]-Table24[[#This Row],[Taxes]]</f>
        <v>22920.9</v>
      </c>
    </row>
    <row r="76" spans="1:11" x14ac:dyDescent="0.25">
      <c r="A76" s="5" t="s">
        <v>52</v>
      </c>
      <c r="B76" s="5" t="s">
        <v>6</v>
      </c>
      <c r="C76" s="5" t="s">
        <v>23</v>
      </c>
      <c r="D76" s="5" t="s">
        <v>32</v>
      </c>
      <c r="E76" s="6">
        <v>37711</v>
      </c>
      <c r="F76" s="7"/>
      <c r="G76" s="10">
        <v>21648</v>
      </c>
      <c r="H76" s="7">
        <v>2</v>
      </c>
      <c r="I76" s="12">
        <f>IF(OR(Table24[[#This Row],[Rating]]=4,Table24[[#This Row],[Rating]]=5), 0.05*Table24[[#This Row],[Salary]],0)</f>
        <v>0</v>
      </c>
      <c r="J76" s="14">
        <f>VLOOKUP(Table24[[#This Row],[Salary]],'Tax rates'!A$2:C$8, 2) + VLOOKUP(Table24[[#This Row],[Salary]],'Tax rates'!A$2:C$8, 3) * (Table24[[#This Row],[Salary]] - VLOOKUP(Table24[[#This Row],[Salary]],'Tax rates'!A$2:C$8,1))</f>
        <v>2407.2600000000002</v>
      </c>
      <c r="K76" s="35">
        <f>Table24[[#This Row],[Salary]]-Table24[[#This Row],[Taxes]]</f>
        <v>19240.739999999998</v>
      </c>
    </row>
    <row r="77" spans="1:11" x14ac:dyDescent="0.25">
      <c r="A77" s="5" t="s">
        <v>342</v>
      </c>
      <c r="B77" s="5" t="s">
        <v>6</v>
      </c>
      <c r="C77" s="5" t="s">
        <v>23</v>
      </c>
      <c r="D77" s="5" t="s">
        <v>32</v>
      </c>
      <c r="E77" s="6">
        <v>40452</v>
      </c>
      <c r="F77" s="7"/>
      <c r="G77" s="10">
        <v>9180</v>
      </c>
      <c r="H77" s="7">
        <v>3</v>
      </c>
      <c r="I77" s="12">
        <f>IF(OR(Table24[[#This Row],[Rating]]=4,Table24[[#This Row],[Rating]]=5), 0.05*Table24[[#This Row],[Salary]],0)</f>
        <v>0</v>
      </c>
      <c r="J77" s="14">
        <f>VLOOKUP(Table24[[#This Row],[Salary]],'Tax rates'!A$2:C$8, 2) + VLOOKUP(Table24[[#This Row],[Salary]],'Tax rates'!A$2:C$8, 3) * (Table24[[#This Row],[Salary]] - VLOOKUP(Table24[[#This Row],[Salary]],'Tax rates'!A$2:C$8,1))</f>
        <v>918</v>
      </c>
      <c r="K77" s="35">
        <f>Table24[[#This Row],[Salary]]-Table24[[#This Row],[Taxes]]</f>
        <v>8262</v>
      </c>
    </row>
    <row r="78" spans="1:11" x14ac:dyDescent="0.25">
      <c r="A78" s="5" t="s">
        <v>702</v>
      </c>
      <c r="B78" s="5" t="s">
        <v>6</v>
      </c>
      <c r="C78" s="5" t="s">
        <v>92</v>
      </c>
      <c r="D78" s="5" t="s">
        <v>24</v>
      </c>
      <c r="E78" s="6">
        <v>39515</v>
      </c>
      <c r="F78" s="5" t="s">
        <v>21</v>
      </c>
      <c r="G78" s="10">
        <v>89780</v>
      </c>
      <c r="H78" s="7">
        <v>4</v>
      </c>
      <c r="I78" s="12">
        <f>IF(OR(Table24[[#This Row],[Rating]]=4,Table24[[#This Row],[Rating]]=5), 0.05*Table24[[#This Row],[Salary]],0)</f>
        <v>4489</v>
      </c>
      <c r="J78" s="14">
        <f>VLOOKUP(Table24[[#This Row],[Salary]],'Tax rates'!A$2:C$8, 2) + VLOOKUP(Table24[[#This Row],[Salary]],'Tax rates'!A$2:C$8, 3) * (Table24[[#This Row],[Salary]] - VLOOKUP(Table24[[#This Row],[Salary]],'Tax rates'!A$2:C$8,1))</f>
        <v>15836.7</v>
      </c>
      <c r="K78" s="35">
        <f>Table24[[#This Row],[Salary]]-Table24[[#This Row],[Taxes]]</f>
        <v>73943.3</v>
      </c>
    </row>
    <row r="79" spans="1:11" x14ac:dyDescent="0.25">
      <c r="A79" s="5" t="s">
        <v>618</v>
      </c>
      <c r="B79" s="5" t="s">
        <v>6</v>
      </c>
      <c r="C79" s="5" t="s">
        <v>92</v>
      </c>
      <c r="D79" s="5" t="s">
        <v>3</v>
      </c>
      <c r="E79" s="6">
        <v>40690</v>
      </c>
      <c r="F79" s="5" t="s">
        <v>4</v>
      </c>
      <c r="G79" s="10">
        <v>89140</v>
      </c>
      <c r="H79" s="7">
        <v>1</v>
      </c>
      <c r="I79" s="12">
        <f>IF(OR(Table24[[#This Row],[Rating]]=4,Table24[[#This Row],[Rating]]=5), 0.05*Table24[[#This Row],[Salary]],0)</f>
        <v>0</v>
      </c>
      <c r="J79" s="14">
        <f>VLOOKUP(Table24[[#This Row],[Salary]],'Tax rates'!A$2:C$8, 2) + VLOOKUP(Table24[[#This Row],[Salary]],'Tax rates'!A$2:C$8, 3) * (Table24[[#This Row],[Salary]] - VLOOKUP(Table24[[#This Row],[Salary]],'Tax rates'!A$2:C$8,1))</f>
        <v>15683.1</v>
      </c>
      <c r="K79" s="35">
        <f>Table24[[#This Row],[Salary]]-Table24[[#This Row],[Taxes]]</f>
        <v>73456.899999999994</v>
      </c>
    </row>
    <row r="80" spans="1:11" x14ac:dyDescent="0.25">
      <c r="A80" s="5" t="s">
        <v>135</v>
      </c>
      <c r="B80" s="5" t="s">
        <v>6</v>
      </c>
      <c r="C80" s="5" t="s">
        <v>92</v>
      </c>
      <c r="D80" s="5" t="s">
        <v>32</v>
      </c>
      <c r="E80" s="6">
        <v>36519</v>
      </c>
      <c r="F80" s="5" t="s">
        <v>11</v>
      </c>
      <c r="G80" s="10">
        <v>61860</v>
      </c>
      <c r="H80" s="7">
        <v>5</v>
      </c>
      <c r="I80" s="12">
        <f>IF(OR(Table24[[#This Row],[Rating]]=4,Table24[[#This Row],[Rating]]=5), 0.05*Table24[[#This Row],[Salary]],0)</f>
        <v>3093</v>
      </c>
      <c r="J80" s="14">
        <f>VLOOKUP(Table24[[#This Row],[Salary]],'Tax rates'!A$2:C$8, 2) + VLOOKUP(Table24[[#This Row],[Salary]],'Tax rates'!A$2:C$8, 3) * (Table24[[#This Row],[Salary]] - VLOOKUP(Table24[[#This Row],[Salary]],'Tax rates'!A$2:C$8,1))</f>
        <v>9548.7000000000007</v>
      </c>
      <c r="K80" s="35">
        <f>Table24[[#This Row],[Salary]]-Table24[[#This Row],[Taxes]]</f>
        <v>52311.3</v>
      </c>
    </row>
    <row r="81" spans="1:11" x14ac:dyDescent="0.25">
      <c r="A81" s="5" t="s">
        <v>548</v>
      </c>
      <c r="B81" s="5" t="s">
        <v>6</v>
      </c>
      <c r="C81" s="5" t="s">
        <v>18</v>
      </c>
      <c r="D81" s="5" t="s">
        <v>3</v>
      </c>
      <c r="E81" s="6">
        <v>36101</v>
      </c>
      <c r="F81" s="5" t="s">
        <v>4</v>
      </c>
      <c r="G81" s="10">
        <v>88240</v>
      </c>
      <c r="H81" s="7">
        <v>5</v>
      </c>
      <c r="I81" s="12">
        <f>IF(OR(Table24[[#This Row],[Rating]]=4,Table24[[#This Row],[Rating]]=5), 0.05*Table24[[#This Row],[Salary]],0)</f>
        <v>4412</v>
      </c>
      <c r="J81" s="14">
        <f>VLOOKUP(Table24[[#This Row],[Salary]],'Tax rates'!A$2:C$8, 2) + VLOOKUP(Table24[[#This Row],[Salary]],'Tax rates'!A$2:C$8, 3) * (Table24[[#This Row],[Salary]] - VLOOKUP(Table24[[#This Row],[Salary]],'Tax rates'!A$2:C$8,1))</f>
        <v>15467.1</v>
      </c>
      <c r="K81" s="35">
        <f>Table24[[#This Row],[Salary]]-Table24[[#This Row],[Taxes]]</f>
        <v>72772.899999999994</v>
      </c>
    </row>
    <row r="82" spans="1:11" x14ac:dyDescent="0.25">
      <c r="A82" s="5" t="s">
        <v>666</v>
      </c>
      <c r="B82" s="5" t="s">
        <v>6</v>
      </c>
      <c r="C82" s="5" t="s">
        <v>18</v>
      </c>
      <c r="D82" s="5" t="s">
        <v>3</v>
      </c>
      <c r="E82" s="6">
        <v>40269</v>
      </c>
      <c r="F82" s="5" t="s">
        <v>11</v>
      </c>
      <c r="G82" s="10">
        <v>86260</v>
      </c>
      <c r="H82" s="7">
        <v>3</v>
      </c>
      <c r="I82" s="12">
        <f>IF(OR(Table24[[#This Row],[Rating]]=4,Table24[[#This Row],[Rating]]=5), 0.05*Table24[[#This Row],[Salary]],0)</f>
        <v>0</v>
      </c>
      <c r="J82" s="14">
        <f>VLOOKUP(Table24[[#This Row],[Salary]],'Tax rates'!A$2:C$8, 2) + VLOOKUP(Table24[[#This Row],[Salary]],'Tax rates'!A$2:C$8, 3) * (Table24[[#This Row],[Salary]] - VLOOKUP(Table24[[#This Row],[Salary]],'Tax rates'!A$2:C$8,1))</f>
        <v>14991.9</v>
      </c>
      <c r="K82" s="35">
        <f>Table24[[#This Row],[Salary]]-Table24[[#This Row],[Taxes]]</f>
        <v>71268.100000000006</v>
      </c>
    </row>
    <row r="83" spans="1:11" x14ac:dyDescent="0.25">
      <c r="A83" s="5" t="s">
        <v>559</v>
      </c>
      <c r="B83" s="5" t="s">
        <v>6</v>
      </c>
      <c r="C83" s="5" t="s">
        <v>18</v>
      </c>
      <c r="D83" s="5" t="s">
        <v>16</v>
      </c>
      <c r="E83" s="6">
        <v>39545</v>
      </c>
      <c r="F83" s="7"/>
      <c r="G83" s="10">
        <v>84170</v>
      </c>
      <c r="H83" s="7">
        <v>2</v>
      </c>
      <c r="I83" s="12">
        <f>IF(OR(Table24[[#This Row],[Rating]]=4,Table24[[#This Row],[Rating]]=5), 0.05*Table24[[#This Row],[Salary]],0)</f>
        <v>0</v>
      </c>
      <c r="J83" s="14">
        <f>VLOOKUP(Table24[[#This Row],[Salary]],'Tax rates'!A$2:C$8, 2) + VLOOKUP(Table24[[#This Row],[Salary]],'Tax rates'!A$2:C$8, 3) * (Table24[[#This Row],[Salary]] - VLOOKUP(Table24[[#This Row],[Salary]],'Tax rates'!A$2:C$8,1))</f>
        <v>14490.3</v>
      </c>
      <c r="K83" s="35">
        <f>Table24[[#This Row],[Salary]]-Table24[[#This Row],[Taxes]]</f>
        <v>69679.7</v>
      </c>
    </row>
    <row r="84" spans="1:11" x14ac:dyDescent="0.25">
      <c r="A84" s="5" t="s">
        <v>308</v>
      </c>
      <c r="B84" s="5" t="s">
        <v>6</v>
      </c>
      <c r="C84" s="5" t="s">
        <v>18</v>
      </c>
      <c r="D84" s="5" t="s">
        <v>3</v>
      </c>
      <c r="E84" s="6">
        <v>39264</v>
      </c>
      <c r="F84" s="5" t="s">
        <v>11</v>
      </c>
      <c r="G84" s="10">
        <v>81980</v>
      </c>
      <c r="H84" s="7">
        <v>2</v>
      </c>
      <c r="I84" s="12">
        <f>IF(OR(Table24[[#This Row],[Rating]]=4,Table24[[#This Row],[Rating]]=5), 0.05*Table24[[#This Row],[Salary]],0)</f>
        <v>0</v>
      </c>
      <c r="J84" s="14">
        <f>VLOOKUP(Table24[[#This Row],[Salary]],'Tax rates'!A$2:C$8, 2) + VLOOKUP(Table24[[#This Row],[Salary]],'Tax rates'!A$2:C$8, 3) * (Table24[[#This Row],[Salary]] - VLOOKUP(Table24[[#This Row],[Salary]],'Tax rates'!A$2:C$8,1))</f>
        <v>13975.1</v>
      </c>
      <c r="K84" s="35">
        <f>Table24[[#This Row],[Salary]]-Table24[[#This Row],[Taxes]]</f>
        <v>68004.899999999994</v>
      </c>
    </row>
    <row r="85" spans="1:11" x14ac:dyDescent="0.25">
      <c r="A85" s="5" t="s">
        <v>17</v>
      </c>
      <c r="B85" s="5" t="s">
        <v>6</v>
      </c>
      <c r="C85" s="5" t="s">
        <v>18</v>
      </c>
      <c r="D85" s="5" t="s">
        <v>3</v>
      </c>
      <c r="E85" s="6">
        <v>38807</v>
      </c>
      <c r="F85" s="5" t="s">
        <v>4</v>
      </c>
      <c r="G85" s="10">
        <v>79730</v>
      </c>
      <c r="H85" s="7">
        <v>2</v>
      </c>
      <c r="I85" s="12">
        <f>IF(OR(Table24[[#This Row],[Rating]]=4,Table24[[#This Row],[Rating]]=5), 0.05*Table24[[#This Row],[Salary]],0)</f>
        <v>0</v>
      </c>
      <c r="J85" s="14">
        <f>VLOOKUP(Table24[[#This Row],[Salary]],'Tax rates'!A$2:C$8, 2) + VLOOKUP(Table24[[#This Row],[Salary]],'Tax rates'!A$2:C$8, 3) * (Table24[[#This Row],[Salary]] - VLOOKUP(Table24[[#This Row],[Salary]],'Tax rates'!A$2:C$8,1))</f>
        <v>13480.1</v>
      </c>
      <c r="K85" s="35">
        <f>Table24[[#This Row],[Salary]]-Table24[[#This Row],[Taxes]]</f>
        <v>66249.899999999994</v>
      </c>
    </row>
    <row r="86" spans="1:11" x14ac:dyDescent="0.25">
      <c r="A86" s="5" t="s">
        <v>550</v>
      </c>
      <c r="B86" s="5" t="s">
        <v>6</v>
      </c>
      <c r="C86" s="5" t="s">
        <v>18</v>
      </c>
      <c r="D86" s="5" t="s">
        <v>3</v>
      </c>
      <c r="E86" s="6">
        <v>36535</v>
      </c>
      <c r="F86" s="5" t="s">
        <v>4</v>
      </c>
      <c r="G86" s="10">
        <v>76192</v>
      </c>
      <c r="H86" s="7">
        <v>4</v>
      </c>
      <c r="I86" s="12">
        <f>IF(OR(Table24[[#This Row],[Rating]]=4,Table24[[#This Row],[Rating]]=5), 0.05*Table24[[#This Row],[Salary]],0)</f>
        <v>3809.6000000000004</v>
      </c>
      <c r="J86" s="14">
        <f>VLOOKUP(Table24[[#This Row],[Salary]],'Tax rates'!A$2:C$8, 2) + VLOOKUP(Table24[[#This Row],[Salary]],'Tax rates'!A$2:C$8, 3) * (Table24[[#This Row],[Salary]] - VLOOKUP(Table24[[#This Row],[Salary]],'Tax rates'!A$2:C$8,1))</f>
        <v>12701.74</v>
      </c>
      <c r="K86" s="35">
        <f>Table24[[#This Row],[Salary]]-Table24[[#This Row],[Taxes]]</f>
        <v>63490.26</v>
      </c>
    </row>
    <row r="87" spans="1:11" x14ac:dyDescent="0.25">
      <c r="A87" s="5" t="s">
        <v>198</v>
      </c>
      <c r="B87" s="5" t="s">
        <v>6</v>
      </c>
      <c r="C87" s="5" t="s">
        <v>18</v>
      </c>
      <c r="D87" s="5" t="s">
        <v>3</v>
      </c>
      <c r="E87" s="6">
        <v>37943</v>
      </c>
      <c r="F87" s="5" t="s">
        <v>4</v>
      </c>
      <c r="G87" s="10">
        <v>75176</v>
      </c>
      <c r="H87" s="7">
        <v>3</v>
      </c>
      <c r="I87" s="12">
        <f>IF(OR(Table24[[#This Row],[Rating]]=4,Table24[[#This Row],[Rating]]=5), 0.05*Table24[[#This Row],[Salary]],0)</f>
        <v>0</v>
      </c>
      <c r="J87" s="14">
        <f>VLOOKUP(Table24[[#This Row],[Salary]],'Tax rates'!A$2:C$8, 2) + VLOOKUP(Table24[[#This Row],[Salary]],'Tax rates'!A$2:C$8, 3) * (Table24[[#This Row],[Salary]] - VLOOKUP(Table24[[#This Row],[Salary]],'Tax rates'!A$2:C$8,1))</f>
        <v>12478.220000000001</v>
      </c>
      <c r="K87" s="35">
        <f>Table24[[#This Row],[Salary]]-Table24[[#This Row],[Taxes]]</f>
        <v>62697.78</v>
      </c>
    </row>
    <row r="88" spans="1:11" x14ac:dyDescent="0.25">
      <c r="A88" s="5" t="s">
        <v>675</v>
      </c>
      <c r="B88" s="5" t="s">
        <v>6</v>
      </c>
      <c r="C88" s="5" t="s">
        <v>18</v>
      </c>
      <c r="D88" s="5" t="s">
        <v>3</v>
      </c>
      <c r="E88" s="6">
        <v>36009</v>
      </c>
      <c r="F88" s="5" t="s">
        <v>4</v>
      </c>
      <c r="G88" s="10">
        <v>75120</v>
      </c>
      <c r="H88" s="7">
        <v>5</v>
      </c>
      <c r="I88" s="12">
        <f>IF(OR(Table24[[#This Row],[Rating]]=4,Table24[[#This Row],[Rating]]=5), 0.05*Table24[[#This Row],[Salary]],0)</f>
        <v>3756</v>
      </c>
      <c r="J88" s="14">
        <f>VLOOKUP(Table24[[#This Row],[Salary]],'Tax rates'!A$2:C$8, 2) + VLOOKUP(Table24[[#This Row],[Salary]],'Tax rates'!A$2:C$8, 3) * (Table24[[#This Row],[Salary]] - VLOOKUP(Table24[[#This Row],[Salary]],'Tax rates'!A$2:C$8,1))</f>
        <v>12465.9</v>
      </c>
      <c r="K88" s="35">
        <f>Table24[[#This Row],[Salary]]-Table24[[#This Row],[Taxes]]</f>
        <v>62654.1</v>
      </c>
    </row>
    <row r="89" spans="1:11" x14ac:dyDescent="0.25">
      <c r="A89" s="5" t="s">
        <v>567</v>
      </c>
      <c r="B89" s="5" t="s">
        <v>6</v>
      </c>
      <c r="C89" s="5" t="s">
        <v>18</v>
      </c>
      <c r="D89" s="5" t="s">
        <v>16</v>
      </c>
      <c r="E89" s="6">
        <v>39092</v>
      </c>
      <c r="F89" s="7"/>
      <c r="G89" s="10">
        <v>73990</v>
      </c>
      <c r="H89" s="7">
        <v>3</v>
      </c>
      <c r="I89" s="12">
        <f>IF(OR(Table24[[#This Row],[Rating]]=4,Table24[[#This Row],[Rating]]=5), 0.05*Table24[[#This Row],[Salary]],0)</f>
        <v>0</v>
      </c>
      <c r="J89" s="14">
        <f>VLOOKUP(Table24[[#This Row],[Salary]],'Tax rates'!A$2:C$8, 2) + VLOOKUP(Table24[[#This Row],[Salary]],'Tax rates'!A$2:C$8, 3) * (Table24[[#This Row],[Salary]] - VLOOKUP(Table24[[#This Row],[Salary]],'Tax rates'!A$2:C$8,1))</f>
        <v>12217.3</v>
      </c>
      <c r="K89" s="35">
        <f>Table24[[#This Row],[Salary]]-Table24[[#This Row],[Taxes]]</f>
        <v>61772.7</v>
      </c>
    </row>
    <row r="90" spans="1:11" x14ac:dyDescent="0.25">
      <c r="A90" s="5" t="s">
        <v>513</v>
      </c>
      <c r="B90" s="5" t="s">
        <v>6</v>
      </c>
      <c r="C90" s="5" t="s">
        <v>18</v>
      </c>
      <c r="D90" s="5" t="s">
        <v>3</v>
      </c>
      <c r="E90" s="6">
        <v>39390</v>
      </c>
      <c r="F90" s="5" t="s">
        <v>21</v>
      </c>
      <c r="G90" s="10">
        <v>71490</v>
      </c>
      <c r="H90" s="7">
        <v>5</v>
      </c>
      <c r="I90" s="12">
        <f>IF(OR(Table24[[#This Row],[Rating]]=4,Table24[[#This Row],[Rating]]=5), 0.05*Table24[[#This Row],[Salary]],0)</f>
        <v>3574.5</v>
      </c>
      <c r="J90" s="14">
        <f>VLOOKUP(Table24[[#This Row],[Salary]],'Tax rates'!A$2:C$8, 2) + VLOOKUP(Table24[[#This Row],[Salary]],'Tax rates'!A$2:C$8, 3) * (Table24[[#This Row],[Salary]] - VLOOKUP(Table24[[#This Row],[Salary]],'Tax rates'!A$2:C$8,1))</f>
        <v>11667.3</v>
      </c>
      <c r="K90" s="35">
        <f>Table24[[#This Row],[Salary]]-Table24[[#This Row],[Taxes]]</f>
        <v>59822.7</v>
      </c>
    </row>
    <row r="91" spans="1:11" x14ac:dyDescent="0.25">
      <c r="A91" s="5" t="s">
        <v>100</v>
      </c>
      <c r="B91" s="5" t="s">
        <v>6</v>
      </c>
      <c r="C91" s="5" t="s">
        <v>18</v>
      </c>
      <c r="D91" s="5" t="s">
        <v>3</v>
      </c>
      <c r="E91" s="6">
        <v>39696</v>
      </c>
      <c r="F91" s="5" t="s">
        <v>4</v>
      </c>
      <c r="G91" s="10">
        <v>69320</v>
      </c>
      <c r="H91" s="7">
        <v>3</v>
      </c>
      <c r="I91" s="12">
        <f>IF(OR(Table24[[#This Row],[Rating]]=4,Table24[[#This Row],[Rating]]=5), 0.05*Table24[[#This Row],[Salary]],0)</f>
        <v>0</v>
      </c>
      <c r="J91" s="14">
        <f>VLOOKUP(Table24[[#This Row],[Salary]],'Tax rates'!A$2:C$8, 2) + VLOOKUP(Table24[[#This Row],[Salary]],'Tax rates'!A$2:C$8, 3) * (Table24[[#This Row],[Salary]] - VLOOKUP(Table24[[#This Row],[Salary]],'Tax rates'!A$2:C$8,1))</f>
        <v>11189.9</v>
      </c>
      <c r="K91" s="35">
        <f>Table24[[#This Row],[Salary]]-Table24[[#This Row],[Taxes]]</f>
        <v>58130.1</v>
      </c>
    </row>
    <row r="92" spans="1:11" x14ac:dyDescent="0.25">
      <c r="A92" s="5" t="s">
        <v>667</v>
      </c>
      <c r="B92" s="5" t="s">
        <v>6</v>
      </c>
      <c r="C92" s="5" t="s">
        <v>18</v>
      </c>
      <c r="D92" s="5" t="s">
        <v>3</v>
      </c>
      <c r="E92" s="6">
        <v>37509</v>
      </c>
      <c r="F92" s="5" t="s">
        <v>11</v>
      </c>
      <c r="G92" s="10">
        <v>69080</v>
      </c>
      <c r="H92" s="7">
        <v>3</v>
      </c>
      <c r="I92" s="12">
        <f>IF(OR(Table24[[#This Row],[Rating]]=4,Table24[[#This Row],[Rating]]=5), 0.05*Table24[[#This Row],[Salary]],0)</f>
        <v>0</v>
      </c>
      <c r="J92" s="14">
        <f>VLOOKUP(Table24[[#This Row],[Salary]],'Tax rates'!A$2:C$8, 2) + VLOOKUP(Table24[[#This Row],[Salary]],'Tax rates'!A$2:C$8, 3) * (Table24[[#This Row],[Salary]] - VLOOKUP(Table24[[#This Row],[Salary]],'Tax rates'!A$2:C$8,1))</f>
        <v>11137.1</v>
      </c>
      <c r="K92" s="35">
        <f>Table24[[#This Row],[Salary]]-Table24[[#This Row],[Taxes]]</f>
        <v>57942.9</v>
      </c>
    </row>
    <row r="93" spans="1:11" x14ac:dyDescent="0.25">
      <c r="A93" s="5" t="s">
        <v>148</v>
      </c>
      <c r="B93" s="5" t="s">
        <v>6</v>
      </c>
      <c r="C93" s="5" t="s">
        <v>18</v>
      </c>
      <c r="D93" s="5" t="s">
        <v>16</v>
      </c>
      <c r="E93" s="6">
        <v>35992</v>
      </c>
      <c r="F93" s="7"/>
      <c r="G93" s="10">
        <v>68260</v>
      </c>
      <c r="H93" s="7">
        <v>5</v>
      </c>
      <c r="I93" s="12">
        <f>IF(OR(Table24[[#This Row],[Rating]]=4,Table24[[#This Row],[Rating]]=5), 0.05*Table24[[#This Row],[Salary]],0)</f>
        <v>3413</v>
      </c>
      <c r="J93" s="14">
        <f>VLOOKUP(Table24[[#This Row],[Salary]],'Tax rates'!A$2:C$8, 2) + VLOOKUP(Table24[[#This Row],[Salary]],'Tax rates'!A$2:C$8, 3) * (Table24[[#This Row],[Salary]] - VLOOKUP(Table24[[#This Row],[Salary]],'Tax rates'!A$2:C$8,1))</f>
        <v>10956.7</v>
      </c>
      <c r="K93" s="35">
        <f>Table24[[#This Row],[Salary]]-Table24[[#This Row],[Taxes]]</f>
        <v>57303.3</v>
      </c>
    </row>
    <row r="94" spans="1:11" x14ac:dyDescent="0.25">
      <c r="A94" s="5" t="s">
        <v>551</v>
      </c>
      <c r="B94" s="5" t="s">
        <v>6</v>
      </c>
      <c r="C94" s="5" t="s">
        <v>18</v>
      </c>
      <c r="D94" s="5" t="s">
        <v>16</v>
      </c>
      <c r="E94" s="6">
        <v>40492</v>
      </c>
      <c r="F94" s="7"/>
      <c r="G94" s="10">
        <v>66010</v>
      </c>
      <c r="H94" s="7">
        <v>2</v>
      </c>
      <c r="I94" s="12">
        <f>IF(OR(Table24[[#This Row],[Rating]]=4,Table24[[#This Row],[Rating]]=5), 0.05*Table24[[#This Row],[Salary]],0)</f>
        <v>0</v>
      </c>
      <c r="J94" s="14">
        <f>VLOOKUP(Table24[[#This Row],[Salary]],'Tax rates'!A$2:C$8, 2) + VLOOKUP(Table24[[#This Row],[Salary]],'Tax rates'!A$2:C$8, 3) * (Table24[[#This Row],[Salary]] - VLOOKUP(Table24[[#This Row],[Salary]],'Tax rates'!A$2:C$8,1))</f>
        <v>10461.700000000001</v>
      </c>
      <c r="K94" s="35">
        <f>Table24[[#This Row],[Salary]]-Table24[[#This Row],[Taxes]]</f>
        <v>55548.3</v>
      </c>
    </row>
    <row r="95" spans="1:11" x14ac:dyDescent="0.25">
      <c r="A95" s="5" t="s">
        <v>423</v>
      </c>
      <c r="B95" s="5" t="s">
        <v>6</v>
      </c>
      <c r="C95" s="5" t="s">
        <v>18</v>
      </c>
      <c r="D95" s="5" t="s">
        <v>3</v>
      </c>
      <c r="E95" s="6">
        <v>37436</v>
      </c>
      <c r="F95" s="5" t="s">
        <v>21</v>
      </c>
      <c r="G95" s="10">
        <v>64130</v>
      </c>
      <c r="H95" s="7">
        <v>1</v>
      </c>
      <c r="I95" s="12">
        <f>IF(OR(Table24[[#This Row],[Rating]]=4,Table24[[#This Row],[Rating]]=5), 0.05*Table24[[#This Row],[Salary]],0)</f>
        <v>0</v>
      </c>
      <c r="J95" s="14">
        <f>VLOOKUP(Table24[[#This Row],[Salary]],'Tax rates'!A$2:C$8, 2) + VLOOKUP(Table24[[#This Row],[Salary]],'Tax rates'!A$2:C$8, 3) * (Table24[[#This Row],[Salary]] - VLOOKUP(Table24[[#This Row],[Salary]],'Tax rates'!A$2:C$8,1))</f>
        <v>10048.1</v>
      </c>
      <c r="K95" s="35">
        <f>Table24[[#This Row],[Salary]]-Table24[[#This Row],[Taxes]]</f>
        <v>54081.9</v>
      </c>
    </row>
    <row r="96" spans="1:11" x14ac:dyDescent="0.25">
      <c r="A96" s="5" t="s">
        <v>460</v>
      </c>
      <c r="B96" s="5" t="s">
        <v>6</v>
      </c>
      <c r="C96" s="5" t="s">
        <v>18</v>
      </c>
      <c r="D96" s="5" t="s">
        <v>16</v>
      </c>
      <c r="E96" s="6">
        <v>39539</v>
      </c>
      <c r="F96" s="7"/>
      <c r="G96" s="10">
        <v>63310</v>
      </c>
      <c r="H96" s="7">
        <v>3</v>
      </c>
      <c r="I96" s="12">
        <f>IF(OR(Table24[[#This Row],[Rating]]=4,Table24[[#This Row],[Rating]]=5), 0.05*Table24[[#This Row],[Salary]],0)</f>
        <v>0</v>
      </c>
      <c r="J96" s="14">
        <f>VLOOKUP(Table24[[#This Row],[Salary]],'Tax rates'!A$2:C$8, 2) + VLOOKUP(Table24[[#This Row],[Salary]],'Tax rates'!A$2:C$8, 3) * (Table24[[#This Row],[Salary]] - VLOOKUP(Table24[[#This Row],[Salary]],'Tax rates'!A$2:C$8,1))</f>
        <v>9867.7000000000007</v>
      </c>
      <c r="K96" s="35">
        <f>Table24[[#This Row],[Salary]]-Table24[[#This Row],[Taxes]]</f>
        <v>53442.3</v>
      </c>
    </row>
    <row r="97" spans="1:11" x14ac:dyDescent="0.25">
      <c r="A97" s="5" t="s">
        <v>682</v>
      </c>
      <c r="B97" s="5" t="s">
        <v>6</v>
      </c>
      <c r="C97" s="5" t="s">
        <v>18</v>
      </c>
      <c r="D97" s="5" t="s">
        <v>3</v>
      </c>
      <c r="E97" s="6">
        <v>37331</v>
      </c>
      <c r="F97" s="5" t="s">
        <v>11</v>
      </c>
      <c r="G97" s="10">
        <v>62750</v>
      </c>
      <c r="H97" s="7">
        <v>3</v>
      </c>
      <c r="I97" s="12">
        <f>IF(OR(Table24[[#This Row],[Rating]]=4,Table24[[#This Row],[Rating]]=5), 0.05*Table24[[#This Row],[Salary]],0)</f>
        <v>0</v>
      </c>
      <c r="J97" s="14">
        <f>VLOOKUP(Table24[[#This Row],[Salary]],'Tax rates'!A$2:C$8, 2) + VLOOKUP(Table24[[#This Row],[Salary]],'Tax rates'!A$2:C$8, 3) * (Table24[[#This Row],[Salary]] - VLOOKUP(Table24[[#This Row],[Salary]],'Tax rates'!A$2:C$8,1))</f>
        <v>9744.5</v>
      </c>
      <c r="K97" s="35">
        <f>Table24[[#This Row],[Salary]]-Table24[[#This Row],[Taxes]]</f>
        <v>53005.5</v>
      </c>
    </row>
    <row r="98" spans="1:11" x14ac:dyDescent="0.25">
      <c r="A98" s="5" t="s">
        <v>772</v>
      </c>
      <c r="B98" s="5" t="s">
        <v>6</v>
      </c>
      <c r="C98" s="5" t="s">
        <v>18</v>
      </c>
      <c r="D98" s="5" t="s">
        <v>3</v>
      </c>
      <c r="E98" s="6">
        <v>36273</v>
      </c>
      <c r="F98" s="5" t="s">
        <v>11</v>
      </c>
      <c r="G98" s="10">
        <v>61330</v>
      </c>
      <c r="H98" s="7">
        <v>4</v>
      </c>
      <c r="I98" s="12">
        <f>IF(OR(Table24[[#This Row],[Rating]]=4,Table24[[#This Row],[Rating]]=5), 0.05*Table24[[#This Row],[Salary]],0)</f>
        <v>3066.5</v>
      </c>
      <c r="J98" s="14">
        <f>VLOOKUP(Table24[[#This Row],[Salary]],'Tax rates'!A$2:C$8, 2) + VLOOKUP(Table24[[#This Row],[Salary]],'Tax rates'!A$2:C$8, 3) * (Table24[[#This Row],[Salary]] - VLOOKUP(Table24[[#This Row],[Salary]],'Tax rates'!A$2:C$8,1))</f>
        <v>9432.1</v>
      </c>
      <c r="K98" s="35">
        <f>Table24[[#This Row],[Salary]]-Table24[[#This Row],[Taxes]]</f>
        <v>51897.9</v>
      </c>
    </row>
    <row r="99" spans="1:11" x14ac:dyDescent="0.25">
      <c r="A99" s="5" t="s">
        <v>333</v>
      </c>
      <c r="B99" s="5" t="s">
        <v>6</v>
      </c>
      <c r="C99" s="5" t="s">
        <v>18</v>
      </c>
      <c r="D99" s="5" t="s">
        <v>3</v>
      </c>
      <c r="E99" s="6">
        <v>40953</v>
      </c>
      <c r="F99" s="5" t="s">
        <v>9</v>
      </c>
      <c r="G99" s="10">
        <v>60380</v>
      </c>
      <c r="H99" s="7">
        <v>4</v>
      </c>
      <c r="I99" s="12">
        <f>IF(OR(Table24[[#This Row],[Rating]]=4,Table24[[#This Row],[Rating]]=5), 0.05*Table24[[#This Row],[Salary]],0)</f>
        <v>3019</v>
      </c>
      <c r="J99" s="14">
        <f>VLOOKUP(Table24[[#This Row],[Salary]],'Tax rates'!A$2:C$8, 2) + VLOOKUP(Table24[[#This Row],[Salary]],'Tax rates'!A$2:C$8, 3) * (Table24[[#This Row],[Salary]] - VLOOKUP(Table24[[#This Row],[Salary]],'Tax rates'!A$2:C$8,1))</f>
        <v>9223.1</v>
      </c>
      <c r="K99" s="35">
        <f>Table24[[#This Row],[Salary]]-Table24[[#This Row],[Taxes]]</f>
        <v>51156.9</v>
      </c>
    </row>
    <row r="100" spans="1:11" x14ac:dyDescent="0.25">
      <c r="A100" s="5" t="s">
        <v>537</v>
      </c>
      <c r="B100" s="5" t="s">
        <v>6</v>
      </c>
      <c r="C100" s="5" t="s">
        <v>18</v>
      </c>
      <c r="D100" s="5" t="s">
        <v>3</v>
      </c>
      <c r="E100" s="6">
        <v>38876</v>
      </c>
      <c r="F100" s="5" t="s">
        <v>4</v>
      </c>
      <c r="G100" s="10">
        <v>60280</v>
      </c>
      <c r="H100" s="7">
        <v>1</v>
      </c>
      <c r="I100" s="12">
        <f>IF(OR(Table24[[#This Row],[Rating]]=4,Table24[[#This Row],[Rating]]=5), 0.05*Table24[[#This Row],[Salary]],0)</f>
        <v>0</v>
      </c>
      <c r="J100" s="14">
        <f>VLOOKUP(Table24[[#This Row],[Salary]],'Tax rates'!A$2:C$8, 2) + VLOOKUP(Table24[[#This Row],[Salary]],'Tax rates'!A$2:C$8, 3) * (Table24[[#This Row],[Salary]] - VLOOKUP(Table24[[#This Row],[Salary]],'Tax rates'!A$2:C$8,1))</f>
        <v>9201.1</v>
      </c>
      <c r="K100" s="35">
        <f>Table24[[#This Row],[Salary]]-Table24[[#This Row],[Taxes]]</f>
        <v>51078.9</v>
      </c>
    </row>
    <row r="101" spans="1:11" x14ac:dyDescent="0.25">
      <c r="A101" s="5" t="s">
        <v>664</v>
      </c>
      <c r="B101" s="5" t="s">
        <v>6</v>
      </c>
      <c r="C101" s="5" t="s">
        <v>18</v>
      </c>
      <c r="D101" s="5" t="s">
        <v>3</v>
      </c>
      <c r="E101" s="6">
        <v>38982</v>
      </c>
      <c r="F101" s="5" t="s">
        <v>4</v>
      </c>
      <c r="G101" s="10">
        <v>60100</v>
      </c>
      <c r="H101" s="7">
        <v>1</v>
      </c>
      <c r="I101" s="12">
        <f>IF(OR(Table24[[#This Row],[Rating]]=4,Table24[[#This Row],[Rating]]=5), 0.05*Table24[[#This Row],[Salary]],0)</f>
        <v>0</v>
      </c>
      <c r="J101" s="14">
        <f>VLOOKUP(Table24[[#This Row],[Salary]],'Tax rates'!A$2:C$8, 2) + VLOOKUP(Table24[[#This Row],[Salary]],'Tax rates'!A$2:C$8, 3) * (Table24[[#This Row],[Salary]] - VLOOKUP(Table24[[#This Row],[Salary]],'Tax rates'!A$2:C$8,1))</f>
        <v>9161.5</v>
      </c>
      <c r="K101" s="35">
        <f>Table24[[#This Row],[Salary]]-Table24[[#This Row],[Taxes]]</f>
        <v>50938.5</v>
      </c>
    </row>
    <row r="102" spans="1:11" x14ac:dyDescent="0.25">
      <c r="A102" s="5" t="s">
        <v>646</v>
      </c>
      <c r="B102" s="5" t="s">
        <v>6</v>
      </c>
      <c r="C102" s="5" t="s">
        <v>18</v>
      </c>
      <c r="D102" s="5" t="s">
        <v>16</v>
      </c>
      <c r="E102" s="6">
        <v>36637</v>
      </c>
      <c r="F102" s="7"/>
      <c r="G102" s="10">
        <v>57600</v>
      </c>
      <c r="H102" s="7">
        <v>3</v>
      </c>
      <c r="I102" s="12">
        <f>IF(OR(Table24[[#This Row],[Rating]]=4,Table24[[#This Row],[Rating]]=5), 0.05*Table24[[#This Row],[Salary]],0)</f>
        <v>0</v>
      </c>
      <c r="J102" s="14">
        <f>VLOOKUP(Table24[[#This Row],[Salary]],'Tax rates'!A$2:C$8, 2) + VLOOKUP(Table24[[#This Row],[Salary]],'Tax rates'!A$2:C$8, 3) * (Table24[[#This Row],[Salary]] - VLOOKUP(Table24[[#This Row],[Salary]],'Tax rates'!A$2:C$8,1))</f>
        <v>8611.5</v>
      </c>
      <c r="K102" s="35">
        <f>Table24[[#This Row],[Salary]]-Table24[[#This Row],[Taxes]]</f>
        <v>48988.5</v>
      </c>
    </row>
    <row r="103" spans="1:11" x14ac:dyDescent="0.25">
      <c r="A103" s="5" t="s">
        <v>760</v>
      </c>
      <c r="B103" s="5" t="s">
        <v>6</v>
      </c>
      <c r="C103" s="5" t="s">
        <v>18</v>
      </c>
      <c r="D103" s="5" t="s">
        <v>16</v>
      </c>
      <c r="E103" s="6">
        <v>40680</v>
      </c>
      <c r="F103" s="7"/>
      <c r="G103" s="10">
        <v>57110</v>
      </c>
      <c r="H103" s="7">
        <v>3</v>
      </c>
      <c r="I103" s="12">
        <f>IF(OR(Table24[[#This Row],[Rating]]=4,Table24[[#This Row],[Rating]]=5), 0.05*Table24[[#This Row],[Salary]],0)</f>
        <v>0</v>
      </c>
      <c r="J103" s="14">
        <f>VLOOKUP(Table24[[#This Row],[Salary]],'Tax rates'!A$2:C$8, 2) + VLOOKUP(Table24[[#This Row],[Salary]],'Tax rates'!A$2:C$8, 3) * (Table24[[#This Row],[Salary]] - VLOOKUP(Table24[[#This Row],[Salary]],'Tax rates'!A$2:C$8,1))</f>
        <v>8503.7000000000007</v>
      </c>
      <c r="K103" s="35">
        <f>Table24[[#This Row],[Salary]]-Table24[[#This Row],[Taxes]]</f>
        <v>48606.3</v>
      </c>
    </row>
    <row r="104" spans="1:11" x14ac:dyDescent="0.25">
      <c r="A104" s="5" t="s">
        <v>44</v>
      </c>
      <c r="B104" s="5" t="s">
        <v>6</v>
      </c>
      <c r="C104" s="5" t="s">
        <v>18</v>
      </c>
      <c r="D104" s="5" t="s">
        <v>16</v>
      </c>
      <c r="E104" s="6">
        <v>40462</v>
      </c>
      <c r="F104" s="7"/>
      <c r="G104" s="10">
        <v>52940</v>
      </c>
      <c r="H104" s="7">
        <v>4</v>
      </c>
      <c r="I104" s="12">
        <f>IF(OR(Table24[[#This Row],[Rating]]=4,Table24[[#This Row],[Rating]]=5), 0.05*Table24[[#This Row],[Salary]],0)</f>
        <v>2647</v>
      </c>
      <c r="J104" s="14">
        <f>VLOOKUP(Table24[[#This Row],[Salary]],'Tax rates'!A$2:C$8, 2) + VLOOKUP(Table24[[#This Row],[Salary]],'Tax rates'!A$2:C$8, 3) * (Table24[[#This Row],[Salary]] - VLOOKUP(Table24[[#This Row],[Salary]],'Tax rates'!A$2:C$8,1))</f>
        <v>7586.3</v>
      </c>
      <c r="K104" s="35">
        <f>Table24[[#This Row],[Salary]]-Table24[[#This Row],[Taxes]]</f>
        <v>45353.7</v>
      </c>
    </row>
    <row r="105" spans="1:11" x14ac:dyDescent="0.25">
      <c r="A105" s="5" t="s">
        <v>147</v>
      </c>
      <c r="B105" s="5" t="s">
        <v>6</v>
      </c>
      <c r="C105" s="5" t="s">
        <v>18</v>
      </c>
      <c r="D105" s="5" t="s">
        <v>3</v>
      </c>
      <c r="E105" s="6">
        <v>40936</v>
      </c>
      <c r="F105" s="5" t="s">
        <v>4</v>
      </c>
      <c r="G105" s="10">
        <v>52940</v>
      </c>
      <c r="H105" s="7">
        <v>4</v>
      </c>
      <c r="I105" s="12">
        <f>IF(OR(Table24[[#This Row],[Rating]]=4,Table24[[#This Row],[Rating]]=5), 0.05*Table24[[#This Row],[Salary]],0)</f>
        <v>2647</v>
      </c>
      <c r="J105" s="14">
        <f>VLOOKUP(Table24[[#This Row],[Salary]],'Tax rates'!A$2:C$8, 2) + VLOOKUP(Table24[[#This Row],[Salary]],'Tax rates'!A$2:C$8, 3) * (Table24[[#This Row],[Salary]] - VLOOKUP(Table24[[#This Row],[Salary]],'Tax rates'!A$2:C$8,1))</f>
        <v>7586.3</v>
      </c>
      <c r="K105" s="35">
        <f>Table24[[#This Row],[Salary]]-Table24[[#This Row],[Taxes]]</f>
        <v>45353.7</v>
      </c>
    </row>
    <row r="106" spans="1:11" x14ac:dyDescent="0.25">
      <c r="A106" s="5" t="s">
        <v>488</v>
      </c>
      <c r="B106" s="5" t="s">
        <v>6</v>
      </c>
      <c r="C106" s="5" t="s">
        <v>18</v>
      </c>
      <c r="D106" s="5" t="s">
        <v>16</v>
      </c>
      <c r="E106" s="6">
        <v>41124</v>
      </c>
      <c r="F106" s="7"/>
      <c r="G106" s="10">
        <v>49530</v>
      </c>
      <c r="H106" s="7">
        <v>2</v>
      </c>
      <c r="I106" s="12">
        <f>IF(OR(Table24[[#This Row],[Rating]]=4,Table24[[#This Row],[Rating]]=5), 0.05*Table24[[#This Row],[Salary]],0)</f>
        <v>0</v>
      </c>
      <c r="J106" s="14">
        <f>VLOOKUP(Table24[[#This Row],[Salary]],'Tax rates'!A$2:C$8, 2) + VLOOKUP(Table24[[#This Row],[Salary]],'Tax rates'!A$2:C$8, 3) * (Table24[[#This Row],[Salary]] - VLOOKUP(Table24[[#This Row],[Salary]],'Tax rates'!A$2:C$8,1))</f>
        <v>6836.1</v>
      </c>
      <c r="K106" s="35">
        <f>Table24[[#This Row],[Salary]]-Table24[[#This Row],[Taxes]]</f>
        <v>42693.9</v>
      </c>
    </row>
    <row r="107" spans="1:11" x14ac:dyDescent="0.25">
      <c r="A107" s="5" t="s">
        <v>252</v>
      </c>
      <c r="B107" s="5" t="s">
        <v>6</v>
      </c>
      <c r="C107" s="5" t="s">
        <v>18</v>
      </c>
      <c r="D107" s="5" t="s">
        <v>24</v>
      </c>
      <c r="E107" s="6">
        <v>36269</v>
      </c>
      <c r="F107" s="5" t="s">
        <v>11</v>
      </c>
      <c r="G107" s="10">
        <v>48190</v>
      </c>
      <c r="H107" s="7">
        <v>1</v>
      </c>
      <c r="I107" s="12">
        <f>IF(OR(Table24[[#This Row],[Rating]]=4,Table24[[#This Row],[Rating]]=5), 0.05*Table24[[#This Row],[Salary]],0)</f>
        <v>0</v>
      </c>
      <c r="J107" s="14">
        <f>VLOOKUP(Table24[[#This Row],[Salary]],'Tax rates'!A$2:C$8, 2) + VLOOKUP(Table24[[#This Row],[Salary]],'Tax rates'!A$2:C$8, 3) * (Table24[[#This Row],[Salary]] - VLOOKUP(Table24[[#This Row],[Salary]],'Tax rates'!A$2:C$8,1))</f>
        <v>6541.3</v>
      </c>
      <c r="K107" s="35">
        <f>Table24[[#This Row],[Salary]]-Table24[[#This Row],[Taxes]]</f>
        <v>41648.699999999997</v>
      </c>
    </row>
    <row r="108" spans="1:11" x14ac:dyDescent="0.25">
      <c r="A108" s="5" t="s">
        <v>103</v>
      </c>
      <c r="B108" s="5" t="s">
        <v>6</v>
      </c>
      <c r="C108" s="5" t="s">
        <v>18</v>
      </c>
      <c r="D108" s="5" t="s">
        <v>3</v>
      </c>
      <c r="E108" s="6">
        <v>40634</v>
      </c>
      <c r="F108" s="5" t="s">
        <v>4</v>
      </c>
      <c r="G108" s="10">
        <v>47440</v>
      </c>
      <c r="H108" s="7">
        <v>3</v>
      </c>
      <c r="I108" s="12">
        <f>IF(OR(Table24[[#This Row],[Rating]]=4,Table24[[#This Row],[Rating]]=5), 0.05*Table24[[#This Row],[Salary]],0)</f>
        <v>0</v>
      </c>
      <c r="J108" s="14">
        <f>VLOOKUP(Table24[[#This Row],[Salary]],'Tax rates'!A$2:C$8, 2) + VLOOKUP(Table24[[#This Row],[Salary]],'Tax rates'!A$2:C$8, 3) * (Table24[[#This Row],[Salary]] - VLOOKUP(Table24[[#This Row],[Salary]],'Tax rates'!A$2:C$8,1))</f>
        <v>6376.3</v>
      </c>
      <c r="K108" s="35">
        <f>Table24[[#This Row],[Salary]]-Table24[[#This Row],[Taxes]]</f>
        <v>41063.699999999997</v>
      </c>
    </row>
    <row r="109" spans="1:11" x14ac:dyDescent="0.25">
      <c r="A109" s="5" t="s">
        <v>172</v>
      </c>
      <c r="B109" s="5" t="s">
        <v>6</v>
      </c>
      <c r="C109" s="5" t="s">
        <v>18</v>
      </c>
      <c r="D109" s="5" t="s">
        <v>16</v>
      </c>
      <c r="E109" s="6">
        <v>39262</v>
      </c>
      <c r="F109" s="7"/>
      <c r="G109" s="10">
        <v>45770</v>
      </c>
      <c r="H109" s="7">
        <v>5</v>
      </c>
      <c r="I109" s="12">
        <f>IF(OR(Table24[[#This Row],[Rating]]=4,Table24[[#This Row],[Rating]]=5), 0.05*Table24[[#This Row],[Salary]],0)</f>
        <v>2288.5</v>
      </c>
      <c r="J109" s="14">
        <f>VLOOKUP(Table24[[#This Row],[Salary]],'Tax rates'!A$2:C$8, 2) + VLOOKUP(Table24[[#This Row],[Salary]],'Tax rates'!A$2:C$8, 3) * (Table24[[#This Row],[Salary]] - VLOOKUP(Table24[[#This Row],[Salary]],'Tax rates'!A$2:C$8,1))</f>
        <v>6008.9</v>
      </c>
      <c r="K109" s="35">
        <f>Table24[[#This Row],[Salary]]-Table24[[#This Row],[Taxes]]</f>
        <v>39761.1</v>
      </c>
    </row>
    <row r="110" spans="1:11" x14ac:dyDescent="0.25">
      <c r="A110" s="5" t="s">
        <v>665</v>
      </c>
      <c r="B110" s="5" t="s">
        <v>6</v>
      </c>
      <c r="C110" s="5" t="s">
        <v>18</v>
      </c>
      <c r="D110" s="5" t="s">
        <v>3</v>
      </c>
      <c r="E110" s="6">
        <v>39106</v>
      </c>
      <c r="F110" s="5" t="s">
        <v>11</v>
      </c>
      <c r="G110" s="10">
        <v>45500</v>
      </c>
      <c r="H110" s="7">
        <v>3</v>
      </c>
      <c r="I110" s="12">
        <f>IF(OR(Table24[[#This Row],[Rating]]=4,Table24[[#This Row],[Rating]]=5), 0.05*Table24[[#This Row],[Salary]],0)</f>
        <v>0</v>
      </c>
      <c r="J110" s="14">
        <f>VLOOKUP(Table24[[#This Row],[Salary]],'Tax rates'!A$2:C$8, 2) + VLOOKUP(Table24[[#This Row],[Salary]],'Tax rates'!A$2:C$8, 3) * (Table24[[#This Row],[Salary]] - VLOOKUP(Table24[[#This Row],[Salary]],'Tax rates'!A$2:C$8,1))</f>
        <v>5949.5</v>
      </c>
      <c r="K110" s="35">
        <f>Table24[[#This Row],[Salary]]-Table24[[#This Row],[Taxes]]</f>
        <v>39550.5</v>
      </c>
    </row>
    <row r="111" spans="1:11" x14ac:dyDescent="0.25">
      <c r="A111" s="5" t="s">
        <v>562</v>
      </c>
      <c r="B111" s="5" t="s">
        <v>6</v>
      </c>
      <c r="C111" s="5" t="s">
        <v>18</v>
      </c>
      <c r="D111" s="5" t="s">
        <v>3</v>
      </c>
      <c r="E111" s="6">
        <v>40469</v>
      </c>
      <c r="F111" s="5" t="s">
        <v>25</v>
      </c>
      <c r="G111" s="10">
        <v>45480</v>
      </c>
      <c r="H111" s="7">
        <v>4</v>
      </c>
      <c r="I111" s="12">
        <f>IF(OR(Table24[[#This Row],[Rating]]=4,Table24[[#This Row],[Rating]]=5), 0.05*Table24[[#This Row],[Salary]],0)</f>
        <v>2274</v>
      </c>
      <c r="J111" s="14">
        <f>VLOOKUP(Table24[[#This Row],[Salary]],'Tax rates'!A$2:C$8, 2) + VLOOKUP(Table24[[#This Row],[Salary]],'Tax rates'!A$2:C$8, 3) * (Table24[[#This Row],[Salary]] - VLOOKUP(Table24[[#This Row],[Salary]],'Tax rates'!A$2:C$8,1))</f>
        <v>5945.1</v>
      </c>
      <c r="K111" s="35">
        <f>Table24[[#This Row],[Salary]]-Table24[[#This Row],[Taxes]]</f>
        <v>39534.9</v>
      </c>
    </row>
    <row r="112" spans="1:11" x14ac:dyDescent="0.25">
      <c r="A112" s="5" t="s">
        <v>651</v>
      </c>
      <c r="B112" s="5" t="s">
        <v>6</v>
      </c>
      <c r="C112" s="5" t="s">
        <v>18</v>
      </c>
      <c r="D112" s="5" t="s">
        <v>3</v>
      </c>
      <c r="E112" s="6">
        <v>40301</v>
      </c>
      <c r="F112" s="5" t="s">
        <v>11</v>
      </c>
      <c r="G112" s="10">
        <v>44270</v>
      </c>
      <c r="H112" s="7">
        <v>2</v>
      </c>
      <c r="I112" s="12">
        <f>IF(OR(Table24[[#This Row],[Rating]]=4,Table24[[#This Row],[Rating]]=5), 0.05*Table24[[#This Row],[Salary]],0)</f>
        <v>0</v>
      </c>
      <c r="J112" s="14">
        <f>VLOOKUP(Table24[[#This Row],[Salary]],'Tax rates'!A$2:C$8, 2) + VLOOKUP(Table24[[#This Row],[Salary]],'Tax rates'!A$2:C$8, 3) * (Table24[[#This Row],[Salary]] - VLOOKUP(Table24[[#This Row],[Salary]],'Tax rates'!A$2:C$8,1))</f>
        <v>5678.9</v>
      </c>
      <c r="K112" s="35">
        <f>Table24[[#This Row],[Salary]]-Table24[[#This Row],[Taxes]]</f>
        <v>38591.1</v>
      </c>
    </row>
    <row r="113" spans="1:11" x14ac:dyDescent="0.25">
      <c r="A113" s="5" t="s">
        <v>426</v>
      </c>
      <c r="B113" s="5" t="s">
        <v>6</v>
      </c>
      <c r="C113" s="5" t="s">
        <v>18</v>
      </c>
      <c r="D113" s="5" t="s">
        <v>16</v>
      </c>
      <c r="E113" s="6">
        <v>38738</v>
      </c>
      <c r="F113" s="7"/>
      <c r="G113" s="10">
        <v>42150</v>
      </c>
      <c r="H113" s="7">
        <v>5</v>
      </c>
      <c r="I113" s="12">
        <f>IF(OR(Table24[[#This Row],[Rating]]=4,Table24[[#This Row],[Rating]]=5), 0.05*Table24[[#This Row],[Salary]],0)</f>
        <v>2107.5</v>
      </c>
      <c r="J113" s="14">
        <f>VLOOKUP(Table24[[#This Row],[Salary]],'Tax rates'!A$2:C$8, 2) + VLOOKUP(Table24[[#This Row],[Salary]],'Tax rates'!A$2:C$8, 3) * (Table24[[#This Row],[Salary]] - VLOOKUP(Table24[[#This Row],[Salary]],'Tax rates'!A$2:C$8,1))</f>
        <v>5212.5</v>
      </c>
      <c r="K113" s="35">
        <f>Table24[[#This Row],[Salary]]-Table24[[#This Row],[Taxes]]</f>
        <v>36937.5</v>
      </c>
    </row>
    <row r="114" spans="1:11" x14ac:dyDescent="0.25">
      <c r="A114" s="5" t="s">
        <v>280</v>
      </c>
      <c r="B114" s="5" t="s">
        <v>6</v>
      </c>
      <c r="C114" s="5" t="s">
        <v>18</v>
      </c>
      <c r="D114" s="5" t="s">
        <v>24</v>
      </c>
      <c r="E114" s="6">
        <v>36503</v>
      </c>
      <c r="F114" s="5" t="s">
        <v>21</v>
      </c>
      <c r="G114" s="10">
        <v>41615</v>
      </c>
      <c r="H114" s="7">
        <v>1</v>
      </c>
      <c r="I114" s="12">
        <f>IF(OR(Table24[[#This Row],[Rating]]=4,Table24[[#This Row],[Rating]]=5), 0.05*Table24[[#This Row],[Salary]],0)</f>
        <v>0</v>
      </c>
      <c r="J114" s="14">
        <f>VLOOKUP(Table24[[#This Row],[Salary]],'Tax rates'!A$2:C$8, 2) + VLOOKUP(Table24[[#This Row],[Salary]],'Tax rates'!A$2:C$8, 3) * (Table24[[#This Row],[Salary]] - VLOOKUP(Table24[[#This Row],[Salary]],'Tax rates'!A$2:C$8,1))</f>
        <v>5094.8</v>
      </c>
      <c r="K114" s="35">
        <f>Table24[[#This Row],[Salary]]-Table24[[#This Row],[Taxes]]</f>
        <v>36520.199999999997</v>
      </c>
    </row>
    <row r="115" spans="1:11" x14ac:dyDescent="0.25">
      <c r="A115" s="5" t="s">
        <v>374</v>
      </c>
      <c r="B115" s="5" t="s">
        <v>6</v>
      </c>
      <c r="C115" s="5" t="s">
        <v>18</v>
      </c>
      <c r="D115" s="5" t="s">
        <v>3</v>
      </c>
      <c r="E115" s="6">
        <v>35996</v>
      </c>
      <c r="F115" s="5" t="s">
        <v>4</v>
      </c>
      <c r="G115" s="10">
        <v>40340</v>
      </c>
      <c r="H115" s="7">
        <v>2</v>
      </c>
      <c r="I115" s="12">
        <f>IF(OR(Table24[[#This Row],[Rating]]=4,Table24[[#This Row],[Rating]]=5), 0.05*Table24[[#This Row],[Salary]],0)</f>
        <v>0</v>
      </c>
      <c r="J115" s="14">
        <f>VLOOKUP(Table24[[#This Row],[Salary]],'Tax rates'!A$2:C$8, 2) + VLOOKUP(Table24[[#This Row],[Salary]],'Tax rates'!A$2:C$8, 3) * (Table24[[#This Row],[Salary]] - VLOOKUP(Table24[[#This Row],[Salary]],'Tax rates'!A$2:C$8,1))</f>
        <v>4814.3</v>
      </c>
      <c r="K115" s="35">
        <f>Table24[[#This Row],[Salary]]-Table24[[#This Row],[Taxes]]</f>
        <v>35525.699999999997</v>
      </c>
    </row>
    <row r="116" spans="1:11" x14ac:dyDescent="0.25">
      <c r="A116" s="5" t="s">
        <v>506</v>
      </c>
      <c r="B116" s="5" t="s">
        <v>6</v>
      </c>
      <c r="C116" s="5" t="s">
        <v>18</v>
      </c>
      <c r="D116" s="5" t="s">
        <v>16</v>
      </c>
      <c r="E116" s="6">
        <v>40470</v>
      </c>
      <c r="F116" s="7"/>
      <c r="G116" s="10">
        <v>37840</v>
      </c>
      <c r="H116" s="7">
        <v>1</v>
      </c>
      <c r="I116" s="12">
        <f>IF(OR(Table24[[#This Row],[Rating]]=4,Table24[[#This Row],[Rating]]=5), 0.05*Table24[[#This Row],[Salary]],0)</f>
        <v>0</v>
      </c>
      <c r="J116" s="14">
        <f>VLOOKUP(Table24[[#This Row],[Salary]],'Tax rates'!A$2:C$8, 2) + VLOOKUP(Table24[[#This Row],[Salary]],'Tax rates'!A$2:C$8, 3) * (Table24[[#This Row],[Salary]] - VLOOKUP(Table24[[#This Row],[Salary]],'Tax rates'!A$2:C$8,1))</f>
        <v>4350.2999999999993</v>
      </c>
      <c r="K116" s="35">
        <f>Table24[[#This Row],[Salary]]-Table24[[#This Row],[Taxes]]</f>
        <v>33489.699999999997</v>
      </c>
    </row>
    <row r="117" spans="1:11" x14ac:dyDescent="0.25">
      <c r="A117" s="5" t="s">
        <v>219</v>
      </c>
      <c r="B117" s="5" t="s">
        <v>6</v>
      </c>
      <c r="C117" s="5" t="s">
        <v>18</v>
      </c>
      <c r="D117" s="5" t="s">
        <v>3</v>
      </c>
      <c r="E117" s="6">
        <v>40270</v>
      </c>
      <c r="F117" s="5" t="s">
        <v>11</v>
      </c>
      <c r="G117" s="10">
        <v>35300</v>
      </c>
      <c r="H117" s="7">
        <v>5</v>
      </c>
      <c r="I117" s="12">
        <f>IF(OR(Table24[[#This Row],[Rating]]=4,Table24[[#This Row],[Rating]]=5), 0.05*Table24[[#This Row],[Salary]],0)</f>
        <v>1765</v>
      </c>
      <c r="J117" s="14">
        <f>VLOOKUP(Table24[[#This Row],[Salary]],'Tax rates'!A$2:C$8, 2) + VLOOKUP(Table24[[#This Row],[Salary]],'Tax rates'!A$2:C$8, 3) * (Table24[[#This Row],[Salary]] - VLOOKUP(Table24[[#This Row],[Salary]],'Tax rates'!A$2:C$8,1))</f>
        <v>4045.5</v>
      </c>
      <c r="K117" s="35">
        <f>Table24[[#This Row],[Salary]]-Table24[[#This Row],[Taxes]]</f>
        <v>31254.5</v>
      </c>
    </row>
    <row r="118" spans="1:11" x14ac:dyDescent="0.25">
      <c r="A118" s="5" t="s">
        <v>122</v>
      </c>
      <c r="B118" s="5" t="s">
        <v>6</v>
      </c>
      <c r="C118" s="5" t="s">
        <v>18</v>
      </c>
      <c r="D118" s="5" t="s">
        <v>32</v>
      </c>
      <c r="E118" s="6">
        <v>40574</v>
      </c>
      <c r="F118" s="7"/>
      <c r="G118" s="10">
        <v>28424</v>
      </c>
      <c r="H118" s="7">
        <v>4</v>
      </c>
      <c r="I118" s="12">
        <f>IF(OR(Table24[[#This Row],[Rating]]=4,Table24[[#This Row],[Rating]]=5), 0.05*Table24[[#This Row],[Salary]],0)</f>
        <v>1421.2</v>
      </c>
      <c r="J118" s="14">
        <f>VLOOKUP(Table24[[#This Row],[Salary]],'Tax rates'!A$2:C$8, 2) + VLOOKUP(Table24[[#This Row],[Salary]],'Tax rates'!A$2:C$8, 3) * (Table24[[#This Row],[Salary]] - VLOOKUP(Table24[[#This Row],[Salary]],'Tax rates'!A$2:C$8,1))</f>
        <v>3220.38</v>
      </c>
      <c r="K118" s="35">
        <f>Table24[[#This Row],[Salary]]-Table24[[#This Row],[Taxes]]</f>
        <v>25203.62</v>
      </c>
    </row>
    <row r="119" spans="1:11" x14ac:dyDescent="0.25">
      <c r="A119" s="5" t="s">
        <v>259</v>
      </c>
      <c r="B119" s="5" t="s">
        <v>6</v>
      </c>
      <c r="C119" s="5" t="s">
        <v>18</v>
      </c>
      <c r="D119" s="5" t="s">
        <v>3</v>
      </c>
      <c r="E119" s="6">
        <v>41026</v>
      </c>
      <c r="F119" s="5" t="s">
        <v>11</v>
      </c>
      <c r="G119" s="10">
        <v>26190</v>
      </c>
      <c r="H119" s="7">
        <v>5</v>
      </c>
      <c r="I119" s="12">
        <f>IF(OR(Table24[[#This Row],[Rating]]=4,Table24[[#This Row],[Rating]]=5), 0.05*Table24[[#This Row],[Salary]],0)</f>
        <v>1309.5</v>
      </c>
      <c r="J119" s="14">
        <f>VLOOKUP(Table24[[#This Row],[Salary]],'Tax rates'!A$2:C$8, 2) + VLOOKUP(Table24[[#This Row],[Salary]],'Tax rates'!A$2:C$8, 3) * (Table24[[#This Row],[Salary]] - VLOOKUP(Table24[[#This Row],[Salary]],'Tax rates'!A$2:C$8,1))</f>
        <v>2952.3</v>
      </c>
      <c r="K119" s="35">
        <f>Table24[[#This Row],[Salary]]-Table24[[#This Row],[Taxes]]</f>
        <v>23237.7</v>
      </c>
    </row>
    <row r="120" spans="1:11" x14ac:dyDescent="0.25">
      <c r="A120" s="5" t="s">
        <v>255</v>
      </c>
      <c r="B120" s="5" t="s">
        <v>6</v>
      </c>
      <c r="C120" s="5" t="s">
        <v>18</v>
      </c>
      <c r="D120" s="5" t="s">
        <v>3</v>
      </c>
      <c r="E120" s="6">
        <v>39518</v>
      </c>
      <c r="F120" s="5" t="s">
        <v>11</v>
      </c>
      <c r="G120" s="10">
        <v>24710</v>
      </c>
      <c r="H120" s="7">
        <v>2</v>
      </c>
      <c r="I120" s="12">
        <f>IF(OR(Table24[[#This Row],[Rating]]=4,Table24[[#This Row],[Rating]]=5), 0.05*Table24[[#This Row],[Salary]],0)</f>
        <v>0</v>
      </c>
      <c r="J120" s="14">
        <f>VLOOKUP(Table24[[#This Row],[Salary]],'Tax rates'!A$2:C$8, 2) + VLOOKUP(Table24[[#This Row],[Salary]],'Tax rates'!A$2:C$8, 3) * (Table24[[#This Row],[Salary]] - VLOOKUP(Table24[[#This Row],[Salary]],'Tax rates'!A$2:C$8,1))</f>
        <v>2774.7</v>
      </c>
      <c r="K120" s="35">
        <f>Table24[[#This Row],[Salary]]-Table24[[#This Row],[Taxes]]</f>
        <v>21935.3</v>
      </c>
    </row>
    <row r="121" spans="1:11" x14ac:dyDescent="0.25">
      <c r="A121" s="5" t="s">
        <v>204</v>
      </c>
      <c r="B121" s="5" t="s">
        <v>6</v>
      </c>
      <c r="C121" s="5" t="s">
        <v>18</v>
      </c>
      <c r="D121" s="5" t="s">
        <v>16</v>
      </c>
      <c r="E121" s="6">
        <v>36455</v>
      </c>
      <c r="F121" s="7"/>
      <c r="G121" s="10">
        <v>23810</v>
      </c>
      <c r="H121" s="7">
        <v>4</v>
      </c>
      <c r="I121" s="12">
        <f>IF(OR(Table24[[#This Row],[Rating]]=4,Table24[[#This Row],[Rating]]=5), 0.05*Table24[[#This Row],[Salary]],0)</f>
        <v>1190.5</v>
      </c>
      <c r="J121" s="14">
        <f>VLOOKUP(Table24[[#This Row],[Salary]],'Tax rates'!A$2:C$8, 2) + VLOOKUP(Table24[[#This Row],[Salary]],'Tax rates'!A$2:C$8, 3) * (Table24[[#This Row],[Salary]] - VLOOKUP(Table24[[#This Row],[Salary]],'Tax rates'!A$2:C$8,1))</f>
        <v>2666.7</v>
      </c>
      <c r="K121" s="35">
        <f>Table24[[#This Row],[Salary]]-Table24[[#This Row],[Taxes]]</f>
        <v>21143.3</v>
      </c>
    </row>
    <row r="122" spans="1:11" x14ac:dyDescent="0.25">
      <c r="A122" s="5" t="s">
        <v>479</v>
      </c>
      <c r="B122" s="5" t="s">
        <v>6</v>
      </c>
      <c r="C122" s="5" t="s">
        <v>18</v>
      </c>
      <c r="D122" s="5" t="s">
        <v>24</v>
      </c>
      <c r="E122" s="6">
        <v>36177</v>
      </c>
      <c r="F122" s="5" t="s">
        <v>21</v>
      </c>
      <c r="G122" s="10">
        <v>21670</v>
      </c>
      <c r="H122" s="7">
        <v>2</v>
      </c>
      <c r="I122" s="12">
        <f>IF(OR(Table24[[#This Row],[Rating]]=4,Table24[[#This Row],[Rating]]=5), 0.05*Table24[[#This Row],[Salary]],0)</f>
        <v>0</v>
      </c>
      <c r="J122" s="14">
        <f>VLOOKUP(Table24[[#This Row],[Salary]],'Tax rates'!A$2:C$8, 2) + VLOOKUP(Table24[[#This Row],[Salary]],'Tax rates'!A$2:C$8, 3) * (Table24[[#This Row],[Salary]] - VLOOKUP(Table24[[#This Row],[Salary]],'Tax rates'!A$2:C$8,1))</f>
        <v>2409.8999999999996</v>
      </c>
      <c r="K122" s="35">
        <f>Table24[[#This Row],[Salary]]-Table24[[#This Row],[Taxes]]</f>
        <v>19260.099999999999</v>
      </c>
    </row>
    <row r="123" spans="1:11" x14ac:dyDescent="0.25">
      <c r="A123" s="5" t="s">
        <v>370</v>
      </c>
      <c r="B123" s="5" t="s">
        <v>6</v>
      </c>
      <c r="C123" s="5" t="s">
        <v>18</v>
      </c>
      <c r="D123" s="5" t="s">
        <v>32</v>
      </c>
      <c r="E123" s="6">
        <v>36305</v>
      </c>
      <c r="F123" s="7"/>
      <c r="G123" s="10">
        <v>9424</v>
      </c>
      <c r="H123" s="7">
        <v>4</v>
      </c>
      <c r="I123" s="12">
        <f>IF(OR(Table24[[#This Row],[Rating]]=4,Table24[[#This Row],[Rating]]=5), 0.05*Table24[[#This Row],[Salary]],0)</f>
        <v>471.20000000000005</v>
      </c>
      <c r="J123" s="14">
        <f>VLOOKUP(Table24[[#This Row],[Salary]],'Tax rates'!A$2:C$8, 2) + VLOOKUP(Table24[[#This Row],[Salary]],'Tax rates'!A$2:C$8, 3) * (Table24[[#This Row],[Salary]] - VLOOKUP(Table24[[#This Row],[Salary]],'Tax rates'!A$2:C$8,1))</f>
        <v>942.40000000000009</v>
      </c>
      <c r="K123" s="35">
        <f>Table24[[#This Row],[Salary]]-Table24[[#This Row],[Taxes]]</f>
        <v>8481.6</v>
      </c>
    </row>
    <row r="124" spans="1:11" x14ac:dyDescent="0.25">
      <c r="A124" s="5" t="s">
        <v>154</v>
      </c>
      <c r="B124" s="5" t="s">
        <v>6</v>
      </c>
      <c r="C124" s="5" t="s">
        <v>59</v>
      </c>
      <c r="D124" s="5" t="s">
        <v>3</v>
      </c>
      <c r="E124" s="6">
        <v>35857</v>
      </c>
      <c r="F124" s="5" t="s">
        <v>11</v>
      </c>
      <c r="G124" s="10">
        <v>82110</v>
      </c>
      <c r="H124" s="7">
        <v>3</v>
      </c>
      <c r="I124" s="12">
        <f>IF(OR(Table24[[#This Row],[Rating]]=4,Table24[[#This Row],[Rating]]=5), 0.05*Table24[[#This Row],[Salary]],0)</f>
        <v>0</v>
      </c>
      <c r="J124" s="14">
        <f>VLOOKUP(Table24[[#This Row],[Salary]],'Tax rates'!A$2:C$8, 2) + VLOOKUP(Table24[[#This Row],[Salary]],'Tax rates'!A$2:C$8, 3) * (Table24[[#This Row],[Salary]] - VLOOKUP(Table24[[#This Row],[Salary]],'Tax rates'!A$2:C$8,1))</f>
        <v>14003.7</v>
      </c>
      <c r="K124" s="35">
        <f>Table24[[#This Row],[Salary]]-Table24[[#This Row],[Taxes]]</f>
        <v>68106.3</v>
      </c>
    </row>
    <row r="125" spans="1:11" x14ac:dyDescent="0.25">
      <c r="A125" s="5" t="s">
        <v>644</v>
      </c>
      <c r="B125" s="5" t="s">
        <v>6</v>
      </c>
      <c r="C125" s="5" t="s">
        <v>59</v>
      </c>
      <c r="D125" s="5" t="s">
        <v>16</v>
      </c>
      <c r="E125" s="6">
        <v>39063</v>
      </c>
      <c r="F125" s="7"/>
      <c r="G125" s="10">
        <v>77930</v>
      </c>
      <c r="H125" s="7">
        <v>5</v>
      </c>
      <c r="I125" s="12">
        <f>IF(OR(Table24[[#This Row],[Rating]]=4,Table24[[#This Row],[Rating]]=5), 0.05*Table24[[#This Row],[Salary]],0)</f>
        <v>3896.5</v>
      </c>
      <c r="J125" s="14">
        <f>VLOOKUP(Table24[[#This Row],[Salary]],'Tax rates'!A$2:C$8, 2) + VLOOKUP(Table24[[#This Row],[Salary]],'Tax rates'!A$2:C$8, 3) * (Table24[[#This Row],[Salary]] - VLOOKUP(Table24[[#This Row],[Salary]],'Tax rates'!A$2:C$8,1))</f>
        <v>13084.1</v>
      </c>
      <c r="K125" s="35">
        <f>Table24[[#This Row],[Salary]]-Table24[[#This Row],[Taxes]]</f>
        <v>64845.9</v>
      </c>
    </row>
    <row r="126" spans="1:11" x14ac:dyDescent="0.25">
      <c r="A126" s="5" t="s">
        <v>283</v>
      </c>
      <c r="B126" s="5" t="s">
        <v>6</v>
      </c>
      <c r="C126" s="5" t="s">
        <v>59</v>
      </c>
      <c r="D126" s="5" t="s">
        <v>3</v>
      </c>
      <c r="E126" s="6">
        <v>40361</v>
      </c>
      <c r="F126" s="5" t="s">
        <v>21</v>
      </c>
      <c r="G126" s="10">
        <v>75780</v>
      </c>
      <c r="H126" s="7">
        <v>2</v>
      </c>
      <c r="I126" s="12">
        <f>IF(OR(Table24[[#This Row],[Rating]]=4,Table24[[#This Row],[Rating]]=5), 0.05*Table24[[#This Row],[Salary]],0)</f>
        <v>0</v>
      </c>
      <c r="J126" s="14">
        <f>VLOOKUP(Table24[[#This Row],[Salary]],'Tax rates'!A$2:C$8, 2) + VLOOKUP(Table24[[#This Row],[Salary]],'Tax rates'!A$2:C$8, 3) * (Table24[[#This Row],[Salary]] - VLOOKUP(Table24[[#This Row],[Salary]],'Tax rates'!A$2:C$8,1))</f>
        <v>12611.1</v>
      </c>
      <c r="K126" s="35">
        <f>Table24[[#This Row],[Salary]]-Table24[[#This Row],[Taxes]]</f>
        <v>63168.9</v>
      </c>
    </row>
    <row r="127" spans="1:11" x14ac:dyDescent="0.25">
      <c r="A127" s="5" t="s">
        <v>431</v>
      </c>
      <c r="B127" s="5" t="s">
        <v>6</v>
      </c>
      <c r="C127" s="5" t="s">
        <v>59</v>
      </c>
      <c r="D127" s="5" t="s">
        <v>16</v>
      </c>
      <c r="E127" s="6">
        <v>39283</v>
      </c>
      <c r="F127" s="7"/>
      <c r="G127" s="10">
        <v>74470</v>
      </c>
      <c r="H127" s="7">
        <v>3</v>
      </c>
      <c r="I127" s="12">
        <f>IF(OR(Table24[[#This Row],[Rating]]=4,Table24[[#This Row],[Rating]]=5), 0.05*Table24[[#This Row],[Salary]],0)</f>
        <v>0</v>
      </c>
      <c r="J127" s="14">
        <f>VLOOKUP(Table24[[#This Row],[Salary]],'Tax rates'!A$2:C$8, 2) + VLOOKUP(Table24[[#This Row],[Salary]],'Tax rates'!A$2:C$8, 3) * (Table24[[#This Row],[Salary]] - VLOOKUP(Table24[[#This Row],[Salary]],'Tax rates'!A$2:C$8,1))</f>
        <v>12322.9</v>
      </c>
      <c r="K127" s="35">
        <f>Table24[[#This Row],[Salary]]-Table24[[#This Row],[Taxes]]</f>
        <v>62147.1</v>
      </c>
    </row>
    <row r="128" spans="1:11" x14ac:dyDescent="0.25">
      <c r="A128" s="5" t="s">
        <v>743</v>
      </c>
      <c r="B128" s="5" t="s">
        <v>6</v>
      </c>
      <c r="C128" s="5" t="s">
        <v>59</v>
      </c>
      <c r="D128" s="5" t="s">
        <v>24</v>
      </c>
      <c r="E128" s="6">
        <v>37166</v>
      </c>
      <c r="F128" s="5" t="s">
        <v>25</v>
      </c>
      <c r="G128" s="10">
        <v>47295</v>
      </c>
      <c r="H128" s="7">
        <v>4</v>
      </c>
      <c r="I128" s="12">
        <f>IF(OR(Table24[[#This Row],[Rating]]=4,Table24[[#This Row],[Rating]]=5), 0.05*Table24[[#This Row],[Salary]],0)</f>
        <v>2364.75</v>
      </c>
      <c r="J128" s="14">
        <f>VLOOKUP(Table24[[#This Row],[Salary]],'Tax rates'!A$2:C$8, 2) + VLOOKUP(Table24[[#This Row],[Salary]],'Tax rates'!A$2:C$8, 3) * (Table24[[#This Row],[Salary]] - VLOOKUP(Table24[[#This Row],[Salary]],'Tax rates'!A$2:C$8,1))</f>
        <v>6344.4</v>
      </c>
      <c r="K128" s="35">
        <f>Table24[[#This Row],[Salary]]-Table24[[#This Row],[Taxes]]</f>
        <v>40950.6</v>
      </c>
    </row>
    <row r="129" spans="1:11" x14ac:dyDescent="0.25">
      <c r="A129" s="5" t="s">
        <v>359</v>
      </c>
      <c r="B129" s="5" t="s">
        <v>6</v>
      </c>
      <c r="C129" s="5" t="s">
        <v>59</v>
      </c>
      <c r="D129" s="5" t="s">
        <v>3</v>
      </c>
      <c r="E129" s="6">
        <v>40209</v>
      </c>
      <c r="F129" s="5" t="s">
        <v>11</v>
      </c>
      <c r="G129" s="10">
        <v>45260</v>
      </c>
      <c r="H129" s="7">
        <v>4</v>
      </c>
      <c r="I129" s="12">
        <f>IF(OR(Table24[[#This Row],[Rating]]=4,Table24[[#This Row],[Rating]]=5), 0.05*Table24[[#This Row],[Salary]],0)</f>
        <v>2263</v>
      </c>
      <c r="J129" s="14">
        <f>VLOOKUP(Table24[[#This Row],[Salary]],'Tax rates'!A$2:C$8, 2) + VLOOKUP(Table24[[#This Row],[Salary]],'Tax rates'!A$2:C$8, 3) * (Table24[[#This Row],[Salary]] - VLOOKUP(Table24[[#This Row],[Salary]],'Tax rates'!A$2:C$8,1))</f>
        <v>5896.7</v>
      </c>
      <c r="K129" s="35">
        <f>Table24[[#This Row],[Salary]]-Table24[[#This Row],[Taxes]]</f>
        <v>39363.300000000003</v>
      </c>
    </row>
    <row r="130" spans="1:11" x14ac:dyDescent="0.25">
      <c r="A130" s="5" t="s">
        <v>129</v>
      </c>
      <c r="B130" s="5" t="s">
        <v>6</v>
      </c>
      <c r="C130" s="5" t="s">
        <v>59</v>
      </c>
      <c r="D130" s="5" t="s">
        <v>3</v>
      </c>
      <c r="E130" s="6">
        <v>36456</v>
      </c>
      <c r="F130" s="5" t="s">
        <v>11</v>
      </c>
      <c r="G130" s="10">
        <v>43460</v>
      </c>
      <c r="H130" s="7">
        <v>5</v>
      </c>
      <c r="I130" s="12">
        <f>IF(OR(Table24[[#This Row],[Rating]]=4,Table24[[#This Row],[Rating]]=5), 0.05*Table24[[#This Row],[Salary]],0)</f>
        <v>2173</v>
      </c>
      <c r="J130" s="14">
        <f>VLOOKUP(Table24[[#This Row],[Salary]],'Tax rates'!A$2:C$8, 2) + VLOOKUP(Table24[[#This Row],[Salary]],'Tax rates'!A$2:C$8, 3) * (Table24[[#This Row],[Salary]] - VLOOKUP(Table24[[#This Row],[Salary]],'Tax rates'!A$2:C$8,1))</f>
        <v>5500.7</v>
      </c>
      <c r="K130" s="35">
        <f>Table24[[#This Row],[Salary]]-Table24[[#This Row],[Taxes]]</f>
        <v>37959.300000000003</v>
      </c>
    </row>
    <row r="131" spans="1:11" x14ac:dyDescent="0.25">
      <c r="A131" s="5" t="s">
        <v>296</v>
      </c>
      <c r="B131" s="5" t="s">
        <v>6</v>
      </c>
      <c r="C131" s="5" t="s">
        <v>59</v>
      </c>
      <c r="D131" s="5" t="s">
        <v>3</v>
      </c>
      <c r="E131" s="6">
        <v>40447</v>
      </c>
      <c r="F131" s="5" t="s">
        <v>4</v>
      </c>
      <c r="G131" s="10">
        <v>33970</v>
      </c>
      <c r="H131" s="7">
        <v>4</v>
      </c>
      <c r="I131" s="12">
        <f>IF(OR(Table24[[#This Row],[Rating]]=4,Table24[[#This Row],[Rating]]=5), 0.05*Table24[[#This Row],[Salary]],0)</f>
        <v>1698.5</v>
      </c>
      <c r="J131" s="14">
        <f>VLOOKUP(Table24[[#This Row],[Salary]],'Tax rates'!A$2:C$8, 2) + VLOOKUP(Table24[[#This Row],[Salary]],'Tax rates'!A$2:C$8, 3) * (Table24[[#This Row],[Salary]] - VLOOKUP(Table24[[#This Row],[Salary]],'Tax rates'!A$2:C$8,1))</f>
        <v>3885.9</v>
      </c>
      <c r="K131" s="35">
        <f>Table24[[#This Row],[Salary]]-Table24[[#This Row],[Taxes]]</f>
        <v>30084.1</v>
      </c>
    </row>
    <row r="132" spans="1:11" x14ac:dyDescent="0.25">
      <c r="A132" s="5" t="s">
        <v>230</v>
      </c>
      <c r="B132" s="5" t="s">
        <v>6</v>
      </c>
      <c r="C132" s="5" t="s">
        <v>59</v>
      </c>
      <c r="D132" s="5" t="s">
        <v>24</v>
      </c>
      <c r="E132" s="6">
        <v>40351</v>
      </c>
      <c r="F132" s="5" t="s">
        <v>11</v>
      </c>
      <c r="G132" s="10">
        <v>20040</v>
      </c>
      <c r="H132" s="7">
        <v>3</v>
      </c>
      <c r="I132" s="12">
        <f>IF(OR(Table24[[#This Row],[Rating]]=4,Table24[[#This Row],[Rating]]=5), 0.05*Table24[[#This Row],[Salary]],0)</f>
        <v>0</v>
      </c>
      <c r="J132" s="14">
        <f>VLOOKUP(Table24[[#This Row],[Salary]],'Tax rates'!A$2:C$8, 2) + VLOOKUP(Table24[[#This Row],[Salary]],'Tax rates'!A$2:C$8, 3) * (Table24[[#This Row],[Salary]] - VLOOKUP(Table24[[#This Row],[Salary]],'Tax rates'!A$2:C$8,1))</f>
        <v>2214.3000000000002</v>
      </c>
      <c r="K132" s="35">
        <f>Table24[[#This Row],[Salary]]-Table24[[#This Row],[Taxes]]</f>
        <v>17825.7</v>
      </c>
    </row>
    <row r="133" spans="1:11" x14ac:dyDescent="0.25">
      <c r="A133" s="5" t="s">
        <v>350</v>
      </c>
      <c r="B133" s="5" t="s">
        <v>6</v>
      </c>
      <c r="C133" s="5" t="s">
        <v>59</v>
      </c>
      <c r="D133" s="5" t="s">
        <v>24</v>
      </c>
      <c r="E133" s="6">
        <v>40624</v>
      </c>
      <c r="F133" s="5" t="s">
        <v>21</v>
      </c>
      <c r="G133" s="10">
        <v>13090</v>
      </c>
      <c r="H133" s="7">
        <v>4</v>
      </c>
      <c r="I133" s="12">
        <f>IF(OR(Table24[[#This Row],[Rating]]=4,Table24[[#This Row],[Rating]]=5), 0.05*Table24[[#This Row],[Salary]],0)</f>
        <v>654.5</v>
      </c>
      <c r="J133" s="14">
        <f>VLOOKUP(Table24[[#This Row],[Salary]],'Tax rates'!A$2:C$8, 2) + VLOOKUP(Table24[[#This Row],[Salary]],'Tax rates'!A$2:C$8, 3) * (Table24[[#This Row],[Salary]] - VLOOKUP(Table24[[#This Row],[Salary]],'Tax rates'!A$2:C$8,1))</f>
        <v>1380.3</v>
      </c>
      <c r="K133" s="35">
        <f>Table24[[#This Row],[Salary]]-Table24[[#This Row],[Taxes]]</f>
        <v>11709.7</v>
      </c>
    </row>
    <row r="134" spans="1:11" x14ac:dyDescent="0.25">
      <c r="A134" s="5" t="s">
        <v>542</v>
      </c>
      <c r="B134" s="5" t="s">
        <v>6</v>
      </c>
      <c r="C134" s="5" t="s">
        <v>8</v>
      </c>
      <c r="D134" s="5" t="s">
        <v>16</v>
      </c>
      <c r="E134" s="6">
        <v>41254</v>
      </c>
      <c r="F134" s="7"/>
      <c r="G134" s="10">
        <v>81070</v>
      </c>
      <c r="H134" s="7">
        <v>5</v>
      </c>
      <c r="I134" s="12">
        <f>IF(OR(Table24[[#This Row],[Rating]]=4,Table24[[#This Row],[Rating]]=5), 0.05*Table24[[#This Row],[Salary]],0)</f>
        <v>4053.5</v>
      </c>
      <c r="J134" s="14">
        <f>VLOOKUP(Table24[[#This Row],[Salary]],'Tax rates'!A$2:C$8, 2) + VLOOKUP(Table24[[#This Row],[Salary]],'Tax rates'!A$2:C$8, 3) * (Table24[[#This Row],[Salary]] - VLOOKUP(Table24[[#This Row],[Salary]],'Tax rates'!A$2:C$8,1))</f>
        <v>13774.9</v>
      </c>
      <c r="K134" s="35">
        <f>Table24[[#This Row],[Salary]]-Table24[[#This Row],[Taxes]]</f>
        <v>67295.100000000006</v>
      </c>
    </row>
    <row r="135" spans="1:11" x14ac:dyDescent="0.25">
      <c r="A135" s="5" t="s">
        <v>721</v>
      </c>
      <c r="B135" s="5" t="s">
        <v>6</v>
      </c>
      <c r="C135" s="5" t="s">
        <v>8</v>
      </c>
      <c r="D135" s="5" t="s">
        <v>3</v>
      </c>
      <c r="E135" s="6">
        <v>39326</v>
      </c>
      <c r="F135" s="5" t="s">
        <v>4</v>
      </c>
      <c r="G135" s="10">
        <v>72900</v>
      </c>
      <c r="H135" s="7">
        <v>3</v>
      </c>
      <c r="I135" s="12">
        <f>IF(OR(Table24[[#This Row],[Rating]]=4,Table24[[#This Row],[Rating]]=5), 0.05*Table24[[#This Row],[Salary]],0)</f>
        <v>0</v>
      </c>
      <c r="J135" s="14">
        <f>VLOOKUP(Table24[[#This Row],[Salary]],'Tax rates'!A$2:C$8, 2) + VLOOKUP(Table24[[#This Row],[Salary]],'Tax rates'!A$2:C$8, 3) * (Table24[[#This Row],[Salary]] - VLOOKUP(Table24[[#This Row],[Salary]],'Tax rates'!A$2:C$8,1))</f>
        <v>11977.5</v>
      </c>
      <c r="K135" s="35">
        <f>Table24[[#This Row],[Salary]]-Table24[[#This Row],[Taxes]]</f>
        <v>60922.5</v>
      </c>
    </row>
    <row r="136" spans="1:11" x14ac:dyDescent="0.25">
      <c r="A136" s="5" t="s">
        <v>518</v>
      </c>
      <c r="B136" s="5" t="s">
        <v>6</v>
      </c>
      <c r="C136" s="5" t="s">
        <v>8</v>
      </c>
      <c r="D136" s="5" t="s">
        <v>3</v>
      </c>
      <c r="E136" s="6">
        <v>38892</v>
      </c>
      <c r="F136" s="5" t="s">
        <v>11</v>
      </c>
      <c r="G136" s="10">
        <v>56870</v>
      </c>
      <c r="H136" s="7">
        <v>1</v>
      </c>
      <c r="I136" s="12">
        <f>IF(OR(Table24[[#This Row],[Rating]]=4,Table24[[#This Row],[Rating]]=5), 0.05*Table24[[#This Row],[Salary]],0)</f>
        <v>0</v>
      </c>
      <c r="J136" s="14">
        <f>VLOOKUP(Table24[[#This Row],[Salary]],'Tax rates'!A$2:C$8, 2) + VLOOKUP(Table24[[#This Row],[Salary]],'Tax rates'!A$2:C$8, 3) * (Table24[[#This Row],[Salary]] - VLOOKUP(Table24[[#This Row],[Salary]],'Tax rates'!A$2:C$8,1))</f>
        <v>8450.9</v>
      </c>
      <c r="K136" s="35">
        <f>Table24[[#This Row],[Salary]]-Table24[[#This Row],[Taxes]]</f>
        <v>48419.1</v>
      </c>
    </row>
    <row r="137" spans="1:11" x14ac:dyDescent="0.25">
      <c r="A137" s="5" t="s">
        <v>7</v>
      </c>
      <c r="B137" s="5" t="s">
        <v>6</v>
      </c>
      <c r="C137" s="5" t="s">
        <v>8</v>
      </c>
      <c r="D137" s="5" t="s">
        <v>3</v>
      </c>
      <c r="E137" s="6">
        <v>40198</v>
      </c>
      <c r="F137" s="5" t="s">
        <v>9</v>
      </c>
      <c r="G137" s="10">
        <v>49260</v>
      </c>
      <c r="H137" s="7">
        <v>3</v>
      </c>
      <c r="I137" s="12">
        <f>IF(OR(Table24[[#This Row],[Rating]]=4,Table24[[#This Row],[Rating]]=5), 0.05*Table24[[#This Row],[Salary]],0)</f>
        <v>0</v>
      </c>
      <c r="J137" s="14">
        <f>VLOOKUP(Table24[[#This Row],[Salary]],'Tax rates'!A$2:C$8, 2) + VLOOKUP(Table24[[#This Row],[Salary]],'Tax rates'!A$2:C$8, 3) * (Table24[[#This Row],[Salary]] - VLOOKUP(Table24[[#This Row],[Salary]],'Tax rates'!A$2:C$8,1))</f>
        <v>6776.7</v>
      </c>
      <c r="K137" s="35">
        <f>Table24[[#This Row],[Salary]]-Table24[[#This Row],[Taxes]]</f>
        <v>42483.3</v>
      </c>
    </row>
    <row r="138" spans="1:11" x14ac:dyDescent="0.25">
      <c r="A138" s="5" t="s">
        <v>655</v>
      </c>
      <c r="B138" s="5" t="s">
        <v>6</v>
      </c>
      <c r="C138" s="5" t="s">
        <v>8</v>
      </c>
      <c r="D138" s="5" t="s">
        <v>16</v>
      </c>
      <c r="E138" s="6">
        <v>40236</v>
      </c>
      <c r="F138" s="7"/>
      <c r="G138" s="10">
        <v>45830</v>
      </c>
      <c r="H138" s="7">
        <v>4</v>
      </c>
      <c r="I138" s="12">
        <f>IF(OR(Table24[[#This Row],[Rating]]=4,Table24[[#This Row],[Rating]]=5), 0.05*Table24[[#This Row],[Salary]],0)</f>
        <v>2291.5</v>
      </c>
      <c r="J138" s="14">
        <f>VLOOKUP(Table24[[#This Row],[Salary]],'Tax rates'!A$2:C$8, 2) + VLOOKUP(Table24[[#This Row],[Salary]],'Tax rates'!A$2:C$8, 3) * (Table24[[#This Row],[Salary]] - VLOOKUP(Table24[[#This Row],[Salary]],'Tax rates'!A$2:C$8,1))</f>
        <v>6022.1</v>
      </c>
      <c r="K138" s="35">
        <f>Table24[[#This Row],[Salary]]-Table24[[#This Row],[Taxes]]</f>
        <v>39807.9</v>
      </c>
    </row>
    <row r="139" spans="1:11" x14ac:dyDescent="0.25">
      <c r="A139" s="5" t="s">
        <v>776</v>
      </c>
      <c r="B139" s="5" t="s">
        <v>6</v>
      </c>
      <c r="C139" s="5" t="s">
        <v>8</v>
      </c>
      <c r="D139" s="5" t="s">
        <v>3</v>
      </c>
      <c r="E139" s="6">
        <v>37288</v>
      </c>
      <c r="F139" s="5" t="s">
        <v>4</v>
      </c>
      <c r="G139" s="10">
        <v>42480</v>
      </c>
      <c r="H139" s="7">
        <v>3</v>
      </c>
      <c r="I139" s="12">
        <f>IF(OR(Table24[[#This Row],[Rating]]=4,Table24[[#This Row],[Rating]]=5), 0.05*Table24[[#This Row],[Salary]],0)</f>
        <v>0</v>
      </c>
      <c r="J139" s="14">
        <f>VLOOKUP(Table24[[#This Row],[Salary]],'Tax rates'!A$2:C$8, 2) + VLOOKUP(Table24[[#This Row],[Salary]],'Tax rates'!A$2:C$8, 3) * (Table24[[#This Row],[Salary]] - VLOOKUP(Table24[[#This Row],[Salary]],'Tax rates'!A$2:C$8,1))</f>
        <v>5285.1</v>
      </c>
      <c r="K139" s="35">
        <f>Table24[[#This Row],[Salary]]-Table24[[#This Row],[Taxes]]</f>
        <v>37194.9</v>
      </c>
    </row>
    <row r="140" spans="1:11" x14ac:dyDescent="0.25">
      <c r="A140" s="5" t="s">
        <v>186</v>
      </c>
      <c r="B140" s="5" t="s">
        <v>6</v>
      </c>
      <c r="C140" s="5" t="s">
        <v>8</v>
      </c>
      <c r="D140" s="5" t="s">
        <v>24</v>
      </c>
      <c r="E140" s="6">
        <v>39768</v>
      </c>
      <c r="F140" s="5" t="s">
        <v>4</v>
      </c>
      <c r="G140" s="10">
        <v>39515</v>
      </c>
      <c r="H140" s="7">
        <v>5</v>
      </c>
      <c r="I140" s="12">
        <f>IF(OR(Table24[[#This Row],[Rating]]=4,Table24[[#This Row],[Rating]]=5), 0.05*Table24[[#This Row],[Salary]],0)</f>
        <v>1975.75</v>
      </c>
      <c r="J140" s="14">
        <f>VLOOKUP(Table24[[#This Row],[Salary]],'Tax rates'!A$2:C$8, 2) + VLOOKUP(Table24[[#This Row],[Salary]],'Tax rates'!A$2:C$8, 3) * (Table24[[#This Row],[Salary]] - VLOOKUP(Table24[[#This Row],[Salary]],'Tax rates'!A$2:C$8,1))</f>
        <v>4632.8</v>
      </c>
      <c r="K140" s="35">
        <f>Table24[[#This Row],[Salary]]-Table24[[#This Row],[Taxes]]</f>
        <v>34882.199999999997</v>
      </c>
    </row>
    <row r="141" spans="1:11" x14ac:dyDescent="0.25">
      <c r="A141" s="5" t="s">
        <v>530</v>
      </c>
      <c r="B141" s="5" t="s">
        <v>6</v>
      </c>
      <c r="C141" s="5" t="s">
        <v>8</v>
      </c>
      <c r="D141" s="5" t="s">
        <v>3</v>
      </c>
      <c r="E141" s="6">
        <v>39692</v>
      </c>
      <c r="F141" s="5" t="s">
        <v>21</v>
      </c>
      <c r="G141" s="10">
        <v>35360</v>
      </c>
      <c r="H141" s="7">
        <v>5</v>
      </c>
      <c r="I141" s="12">
        <f>IF(OR(Table24[[#This Row],[Rating]]=4,Table24[[#This Row],[Rating]]=5), 0.05*Table24[[#This Row],[Salary]],0)</f>
        <v>1768</v>
      </c>
      <c r="J141" s="14">
        <f>VLOOKUP(Table24[[#This Row],[Salary]],'Tax rates'!A$2:C$8, 2) + VLOOKUP(Table24[[#This Row],[Salary]],'Tax rates'!A$2:C$8, 3) * (Table24[[#This Row],[Salary]] - VLOOKUP(Table24[[#This Row],[Salary]],'Tax rates'!A$2:C$8,1))</f>
        <v>4052.7</v>
      </c>
      <c r="K141" s="35">
        <f>Table24[[#This Row],[Salary]]-Table24[[#This Row],[Taxes]]</f>
        <v>31307.3</v>
      </c>
    </row>
    <row r="142" spans="1:11" x14ac:dyDescent="0.25">
      <c r="A142" s="5" t="s">
        <v>228</v>
      </c>
      <c r="B142" s="5" t="s">
        <v>6</v>
      </c>
      <c r="C142" s="5" t="s">
        <v>8</v>
      </c>
      <c r="D142" s="5" t="s">
        <v>3</v>
      </c>
      <c r="E142" s="6">
        <v>40399</v>
      </c>
      <c r="F142" s="5" t="s">
        <v>21</v>
      </c>
      <c r="G142" s="10">
        <v>32640</v>
      </c>
      <c r="H142" s="7">
        <v>4</v>
      </c>
      <c r="I142" s="12">
        <f>IF(OR(Table24[[#This Row],[Rating]]=4,Table24[[#This Row],[Rating]]=5), 0.05*Table24[[#This Row],[Salary]],0)</f>
        <v>1632</v>
      </c>
      <c r="J142" s="14">
        <f>VLOOKUP(Table24[[#This Row],[Salary]],'Tax rates'!A$2:C$8, 2) + VLOOKUP(Table24[[#This Row],[Salary]],'Tax rates'!A$2:C$8, 3) * (Table24[[#This Row],[Salary]] - VLOOKUP(Table24[[#This Row],[Salary]],'Tax rates'!A$2:C$8,1))</f>
        <v>3726.2999999999997</v>
      </c>
      <c r="K142" s="35">
        <f>Table24[[#This Row],[Salary]]-Table24[[#This Row],[Taxes]]</f>
        <v>28913.7</v>
      </c>
    </row>
    <row r="143" spans="1:11" x14ac:dyDescent="0.25">
      <c r="A143" s="5" t="s">
        <v>299</v>
      </c>
      <c r="B143" s="5" t="s">
        <v>6</v>
      </c>
      <c r="C143" s="5" t="s">
        <v>8</v>
      </c>
      <c r="D143" s="5" t="s">
        <v>3</v>
      </c>
      <c r="E143" s="6">
        <v>40710</v>
      </c>
      <c r="F143" s="5" t="s">
        <v>11</v>
      </c>
      <c r="G143" s="10">
        <v>32140</v>
      </c>
      <c r="H143" s="7">
        <v>2</v>
      </c>
      <c r="I143" s="12">
        <f>IF(OR(Table24[[#This Row],[Rating]]=4,Table24[[#This Row],[Rating]]=5), 0.05*Table24[[#This Row],[Salary]],0)</f>
        <v>0</v>
      </c>
      <c r="J143" s="14">
        <f>VLOOKUP(Table24[[#This Row],[Salary]],'Tax rates'!A$2:C$8, 2) + VLOOKUP(Table24[[#This Row],[Salary]],'Tax rates'!A$2:C$8, 3) * (Table24[[#This Row],[Salary]] - VLOOKUP(Table24[[#This Row],[Salary]],'Tax rates'!A$2:C$8,1))</f>
        <v>3666.2999999999997</v>
      </c>
      <c r="K143" s="35">
        <f>Table24[[#This Row],[Salary]]-Table24[[#This Row],[Taxes]]</f>
        <v>28473.7</v>
      </c>
    </row>
    <row r="144" spans="1:11" x14ac:dyDescent="0.25">
      <c r="A144" s="5" t="s">
        <v>771</v>
      </c>
      <c r="B144" s="5" t="s">
        <v>6</v>
      </c>
      <c r="C144" s="5" t="s">
        <v>8</v>
      </c>
      <c r="D144" s="5" t="s">
        <v>16</v>
      </c>
      <c r="E144" s="6">
        <v>39154</v>
      </c>
      <c r="F144" s="7"/>
      <c r="G144" s="10">
        <v>26360</v>
      </c>
      <c r="H144" s="7">
        <v>4</v>
      </c>
      <c r="I144" s="12">
        <f>IF(OR(Table24[[#This Row],[Rating]]=4,Table24[[#This Row],[Rating]]=5), 0.05*Table24[[#This Row],[Salary]],0)</f>
        <v>1318</v>
      </c>
      <c r="J144" s="14">
        <f>VLOOKUP(Table24[[#This Row],[Salary]],'Tax rates'!A$2:C$8, 2) + VLOOKUP(Table24[[#This Row],[Salary]],'Tax rates'!A$2:C$8, 3) * (Table24[[#This Row],[Salary]] - VLOOKUP(Table24[[#This Row],[Salary]],'Tax rates'!A$2:C$8,1))</f>
        <v>2972.7</v>
      </c>
      <c r="K144" s="35">
        <f>Table24[[#This Row],[Salary]]-Table24[[#This Row],[Taxes]]</f>
        <v>23387.3</v>
      </c>
    </row>
    <row r="145" spans="1:11" x14ac:dyDescent="0.25">
      <c r="A145" s="5" t="s">
        <v>262</v>
      </c>
      <c r="B145" s="5" t="s">
        <v>6</v>
      </c>
      <c r="C145" s="5" t="s">
        <v>8</v>
      </c>
      <c r="D145" s="5" t="s">
        <v>16</v>
      </c>
      <c r="E145" s="6">
        <v>35939</v>
      </c>
      <c r="F145" s="7"/>
      <c r="G145" s="10">
        <v>25120</v>
      </c>
      <c r="H145" s="7">
        <v>5</v>
      </c>
      <c r="I145" s="12">
        <f>IF(OR(Table24[[#This Row],[Rating]]=4,Table24[[#This Row],[Rating]]=5), 0.05*Table24[[#This Row],[Salary]],0)</f>
        <v>1256</v>
      </c>
      <c r="J145" s="14">
        <f>VLOOKUP(Table24[[#This Row],[Salary]],'Tax rates'!A$2:C$8, 2) + VLOOKUP(Table24[[#This Row],[Salary]],'Tax rates'!A$2:C$8, 3) * (Table24[[#This Row],[Salary]] - VLOOKUP(Table24[[#This Row],[Salary]],'Tax rates'!A$2:C$8,1))</f>
        <v>2823.8999999999996</v>
      </c>
      <c r="K145" s="35">
        <f>Table24[[#This Row],[Salary]]-Table24[[#This Row],[Taxes]]</f>
        <v>22296.1</v>
      </c>
    </row>
    <row r="146" spans="1:11" x14ac:dyDescent="0.25">
      <c r="A146" s="5" t="s">
        <v>304</v>
      </c>
      <c r="B146" s="5" t="s">
        <v>6</v>
      </c>
      <c r="C146" s="5" t="s">
        <v>8</v>
      </c>
      <c r="D146" s="5" t="s">
        <v>32</v>
      </c>
      <c r="E146" s="6">
        <v>39893</v>
      </c>
      <c r="F146" s="7"/>
      <c r="G146" s="10">
        <v>15744</v>
      </c>
      <c r="H146" s="7">
        <v>3</v>
      </c>
      <c r="I146" s="12">
        <f>IF(OR(Table24[[#This Row],[Rating]]=4,Table24[[#This Row],[Rating]]=5), 0.05*Table24[[#This Row],[Salary]],0)</f>
        <v>0</v>
      </c>
      <c r="J146" s="14">
        <f>VLOOKUP(Table24[[#This Row],[Salary]],'Tax rates'!A$2:C$8, 2) + VLOOKUP(Table24[[#This Row],[Salary]],'Tax rates'!A$2:C$8, 3) * (Table24[[#This Row],[Salary]] - VLOOKUP(Table24[[#This Row],[Salary]],'Tax rates'!A$2:C$8,1))</f>
        <v>1698.78</v>
      </c>
      <c r="K146" s="35">
        <f>Table24[[#This Row],[Salary]]-Table24[[#This Row],[Taxes]]</f>
        <v>14045.22</v>
      </c>
    </row>
    <row r="147" spans="1:11" x14ac:dyDescent="0.25">
      <c r="A147" s="5" t="s">
        <v>268</v>
      </c>
      <c r="B147" s="5" t="s">
        <v>6</v>
      </c>
      <c r="C147" s="5" t="s">
        <v>63</v>
      </c>
      <c r="D147" s="5" t="s">
        <v>3</v>
      </c>
      <c r="E147" s="6">
        <v>40841</v>
      </c>
      <c r="F147" s="5" t="s">
        <v>4</v>
      </c>
      <c r="G147" s="10">
        <v>81530</v>
      </c>
      <c r="H147" s="7">
        <v>5</v>
      </c>
      <c r="I147" s="12">
        <f>IF(OR(Table24[[#This Row],[Rating]]=4,Table24[[#This Row],[Rating]]=5), 0.05*Table24[[#This Row],[Salary]],0)</f>
        <v>4076.5</v>
      </c>
      <c r="J147" s="14">
        <f>VLOOKUP(Table24[[#This Row],[Salary]],'Tax rates'!A$2:C$8, 2) + VLOOKUP(Table24[[#This Row],[Salary]],'Tax rates'!A$2:C$8, 3) * (Table24[[#This Row],[Salary]] - VLOOKUP(Table24[[#This Row],[Salary]],'Tax rates'!A$2:C$8,1))</f>
        <v>13876.1</v>
      </c>
      <c r="K147" s="35">
        <f>Table24[[#This Row],[Salary]]-Table24[[#This Row],[Taxes]]</f>
        <v>67653.899999999994</v>
      </c>
    </row>
    <row r="148" spans="1:11" x14ac:dyDescent="0.25">
      <c r="A148" s="5" t="s">
        <v>740</v>
      </c>
      <c r="B148" s="5" t="s">
        <v>6</v>
      </c>
      <c r="C148" s="5" t="s">
        <v>63</v>
      </c>
      <c r="D148" s="5" t="s">
        <v>3</v>
      </c>
      <c r="E148" s="6">
        <v>40765</v>
      </c>
      <c r="F148" s="5" t="s">
        <v>11</v>
      </c>
      <c r="G148" s="10">
        <v>77720</v>
      </c>
      <c r="H148" s="7">
        <v>3</v>
      </c>
      <c r="I148" s="12">
        <f>IF(OR(Table24[[#This Row],[Rating]]=4,Table24[[#This Row],[Rating]]=5), 0.05*Table24[[#This Row],[Salary]],0)</f>
        <v>0</v>
      </c>
      <c r="J148" s="14">
        <f>VLOOKUP(Table24[[#This Row],[Salary]],'Tax rates'!A$2:C$8, 2) + VLOOKUP(Table24[[#This Row],[Salary]],'Tax rates'!A$2:C$8, 3) * (Table24[[#This Row],[Salary]] - VLOOKUP(Table24[[#This Row],[Salary]],'Tax rates'!A$2:C$8,1))</f>
        <v>13037.9</v>
      </c>
      <c r="K148" s="35">
        <f>Table24[[#This Row],[Salary]]-Table24[[#This Row],[Taxes]]</f>
        <v>64682.1</v>
      </c>
    </row>
    <row r="149" spans="1:11" x14ac:dyDescent="0.25">
      <c r="A149" s="5" t="s">
        <v>175</v>
      </c>
      <c r="B149" s="5" t="s">
        <v>6</v>
      </c>
      <c r="C149" s="5" t="s">
        <v>63</v>
      </c>
      <c r="D149" s="5" t="s">
        <v>3</v>
      </c>
      <c r="E149" s="6">
        <v>40745</v>
      </c>
      <c r="F149" s="5" t="s">
        <v>4</v>
      </c>
      <c r="G149" s="10">
        <v>69400</v>
      </c>
      <c r="H149" s="7">
        <v>5</v>
      </c>
      <c r="I149" s="12">
        <f>IF(OR(Table24[[#This Row],[Rating]]=4,Table24[[#This Row],[Rating]]=5), 0.05*Table24[[#This Row],[Salary]],0)</f>
        <v>3470</v>
      </c>
      <c r="J149" s="14">
        <f>VLOOKUP(Table24[[#This Row],[Salary]],'Tax rates'!A$2:C$8, 2) + VLOOKUP(Table24[[#This Row],[Salary]],'Tax rates'!A$2:C$8, 3) * (Table24[[#This Row],[Salary]] - VLOOKUP(Table24[[#This Row],[Salary]],'Tax rates'!A$2:C$8,1))</f>
        <v>11207.5</v>
      </c>
      <c r="K149" s="35">
        <f>Table24[[#This Row],[Salary]]-Table24[[#This Row],[Taxes]]</f>
        <v>58192.5</v>
      </c>
    </row>
    <row r="150" spans="1:11" x14ac:dyDescent="0.25">
      <c r="A150" s="5" t="s">
        <v>405</v>
      </c>
      <c r="B150" s="5" t="s">
        <v>6</v>
      </c>
      <c r="C150" s="5" t="s">
        <v>63</v>
      </c>
      <c r="D150" s="5" t="s">
        <v>3</v>
      </c>
      <c r="E150" s="6">
        <v>40625</v>
      </c>
      <c r="F150" s="5" t="s">
        <v>9</v>
      </c>
      <c r="G150" s="10">
        <v>35320</v>
      </c>
      <c r="H150" s="7">
        <v>3</v>
      </c>
      <c r="I150" s="12">
        <f>IF(OR(Table24[[#This Row],[Rating]]=4,Table24[[#This Row],[Rating]]=5), 0.05*Table24[[#This Row],[Salary]],0)</f>
        <v>0</v>
      </c>
      <c r="J150" s="14">
        <f>VLOOKUP(Table24[[#This Row],[Salary]],'Tax rates'!A$2:C$8, 2) + VLOOKUP(Table24[[#This Row],[Salary]],'Tax rates'!A$2:C$8, 3) * (Table24[[#This Row],[Salary]] - VLOOKUP(Table24[[#This Row],[Salary]],'Tax rates'!A$2:C$8,1))</f>
        <v>4047.9</v>
      </c>
      <c r="K150" s="35">
        <f>Table24[[#This Row],[Salary]]-Table24[[#This Row],[Taxes]]</f>
        <v>31272.1</v>
      </c>
    </row>
    <row r="151" spans="1:11" x14ac:dyDescent="0.25">
      <c r="A151" s="5" t="s">
        <v>614</v>
      </c>
      <c r="B151" s="5" t="s">
        <v>6</v>
      </c>
      <c r="C151" s="5" t="s">
        <v>63</v>
      </c>
      <c r="D151" s="5" t="s">
        <v>3</v>
      </c>
      <c r="E151" s="6">
        <v>39688</v>
      </c>
      <c r="F151" s="5" t="s">
        <v>4</v>
      </c>
      <c r="G151" s="10">
        <v>32600</v>
      </c>
      <c r="H151" s="7">
        <v>5</v>
      </c>
      <c r="I151" s="12">
        <f>IF(OR(Table24[[#This Row],[Rating]]=4,Table24[[#This Row],[Rating]]=5), 0.05*Table24[[#This Row],[Salary]],0)</f>
        <v>1630</v>
      </c>
      <c r="J151" s="14">
        <f>VLOOKUP(Table24[[#This Row],[Salary]],'Tax rates'!A$2:C$8, 2) + VLOOKUP(Table24[[#This Row],[Salary]],'Tax rates'!A$2:C$8, 3) * (Table24[[#This Row],[Salary]] - VLOOKUP(Table24[[#This Row],[Salary]],'Tax rates'!A$2:C$8,1))</f>
        <v>3721.5</v>
      </c>
      <c r="K151" s="35">
        <f>Table24[[#This Row],[Salary]]-Table24[[#This Row],[Taxes]]</f>
        <v>28878.5</v>
      </c>
    </row>
    <row r="152" spans="1:11" x14ac:dyDescent="0.25">
      <c r="A152" s="5" t="s">
        <v>727</v>
      </c>
      <c r="B152" s="5" t="s">
        <v>6</v>
      </c>
      <c r="C152" s="5" t="s">
        <v>2</v>
      </c>
      <c r="D152" s="5" t="s">
        <v>3</v>
      </c>
      <c r="E152" s="6">
        <v>41157</v>
      </c>
      <c r="F152" s="5" t="s">
        <v>9</v>
      </c>
      <c r="G152" s="10">
        <v>86240</v>
      </c>
      <c r="H152" s="7">
        <v>1</v>
      </c>
      <c r="I152" s="12">
        <f>IF(OR(Table24[[#This Row],[Rating]]=4,Table24[[#This Row],[Rating]]=5), 0.05*Table24[[#This Row],[Salary]],0)</f>
        <v>0</v>
      </c>
      <c r="J152" s="14">
        <f>VLOOKUP(Table24[[#This Row],[Salary]],'Tax rates'!A$2:C$8, 2) + VLOOKUP(Table24[[#This Row],[Salary]],'Tax rates'!A$2:C$8, 3) * (Table24[[#This Row],[Salary]] - VLOOKUP(Table24[[#This Row],[Salary]],'Tax rates'!A$2:C$8,1))</f>
        <v>14987.1</v>
      </c>
      <c r="K152" s="35">
        <f>Table24[[#This Row],[Salary]]-Table24[[#This Row],[Taxes]]</f>
        <v>71252.899999999994</v>
      </c>
    </row>
    <row r="153" spans="1:11" x14ac:dyDescent="0.25">
      <c r="A153" s="5" t="s">
        <v>753</v>
      </c>
      <c r="B153" s="5" t="s">
        <v>6</v>
      </c>
      <c r="C153" s="5" t="s">
        <v>2</v>
      </c>
      <c r="D153" s="5" t="s">
        <v>16</v>
      </c>
      <c r="E153" s="6">
        <v>35806</v>
      </c>
      <c r="F153" s="7"/>
      <c r="G153" s="10">
        <v>86100</v>
      </c>
      <c r="H153" s="7">
        <v>4</v>
      </c>
      <c r="I153" s="12">
        <f>IF(OR(Table24[[#This Row],[Rating]]=4,Table24[[#This Row],[Rating]]=5), 0.05*Table24[[#This Row],[Salary]],0)</f>
        <v>4305</v>
      </c>
      <c r="J153" s="14">
        <f>VLOOKUP(Table24[[#This Row],[Salary]],'Tax rates'!A$2:C$8, 2) + VLOOKUP(Table24[[#This Row],[Salary]],'Tax rates'!A$2:C$8, 3) * (Table24[[#This Row],[Salary]] - VLOOKUP(Table24[[#This Row],[Salary]],'Tax rates'!A$2:C$8,1))</f>
        <v>14953.5</v>
      </c>
      <c r="K153" s="35">
        <f>Table24[[#This Row],[Salary]]-Table24[[#This Row],[Taxes]]</f>
        <v>71146.5</v>
      </c>
    </row>
    <row r="154" spans="1:11" x14ac:dyDescent="0.25">
      <c r="A154" s="5" t="s">
        <v>484</v>
      </c>
      <c r="B154" s="5" t="s">
        <v>6</v>
      </c>
      <c r="C154" s="5" t="s">
        <v>2</v>
      </c>
      <c r="D154" s="5" t="s">
        <v>3</v>
      </c>
      <c r="E154" s="6">
        <v>36078</v>
      </c>
      <c r="F154" s="5" t="s">
        <v>9</v>
      </c>
      <c r="G154" s="10">
        <v>79610</v>
      </c>
      <c r="H154" s="7">
        <v>2</v>
      </c>
      <c r="I154" s="12">
        <f>IF(OR(Table24[[#This Row],[Rating]]=4,Table24[[#This Row],[Rating]]=5), 0.05*Table24[[#This Row],[Salary]],0)</f>
        <v>0</v>
      </c>
      <c r="J154" s="14">
        <f>VLOOKUP(Table24[[#This Row],[Salary]],'Tax rates'!A$2:C$8, 2) + VLOOKUP(Table24[[#This Row],[Salary]],'Tax rates'!A$2:C$8, 3) * (Table24[[#This Row],[Salary]] - VLOOKUP(Table24[[#This Row],[Salary]],'Tax rates'!A$2:C$8,1))</f>
        <v>13453.7</v>
      </c>
      <c r="K154" s="35">
        <f>Table24[[#This Row],[Salary]]-Table24[[#This Row],[Taxes]]</f>
        <v>66156.3</v>
      </c>
    </row>
    <row r="155" spans="1:11" x14ac:dyDescent="0.25">
      <c r="A155" s="5" t="s">
        <v>483</v>
      </c>
      <c r="B155" s="5" t="s">
        <v>6</v>
      </c>
      <c r="C155" s="5" t="s">
        <v>2</v>
      </c>
      <c r="D155" s="5" t="s">
        <v>3</v>
      </c>
      <c r="E155" s="6">
        <v>36012</v>
      </c>
      <c r="F155" s="5" t="s">
        <v>25</v>
      </c>
      <c r="G155" s="10">
        <v>78950</v>
      </c>
      <c r="H155" s="7">
        <v>1</v>
      </c>
      <c r="I155" s="12">
        <f>IF(OR(Table24[[#This Row],[Rating]]=4,Table24[[#This Row],[Rating]]=5), 0.05*Table24[[#This Row],[Salary]],0)</f>
        <v>0</v>
      </c>
      <c r="J155" s="14">
        <f>VLOOKUP(Table24[[#This Row],[Salary]],'Tax rates'!A$2:C$8, 2) + VLOOKUP(Table24[[#This Row],[Salary]],'Tax rates'!A$2:C$8, 3) * (Table24[[#This Row],[Salary]] - VLOOKUP(Table24[[#This Row],[Salary]],'Tax rates'!A$2:C$8,1))</f>
        <v>13308.5</v>
      </c>
      <c r="K155" s="35">
        <f>Table24[[#This Row],[Salary]]-Table24[[#This Row],[Taxes]]</f>
        <v>65641.5</v>
      </c>
    </row>
    <row r="156" spans="1:11" x14ac:dyDescent="0.25">
      <c r="A156" s="5" t="s">
        <v>303</v>
      </c>
      <c r="B156" s="5" t="s">
        <v>6</v>
      </c>
      <c r="C156" s="5" t="s">
        <v>2</v>
      </c>
      <c r="D156" s="5" t="s">
        <v>16</v>
      </c>
      <c r="E156" s="6">
        <v>36642</v>
      </c>
      <c r="F156" s="7"/>
      <c r="G156" s="10">
        <v>77760</v>
      </c>
      <c r="H156" s="7">
        <v>3</v>
      </c>
      <c r="I156" s="12">
        <f>IF(OR(Table24[[#This Row],[Rating]]=4,Table24[[#This Row],[Rating]]=5), 0.05*Table24[[#This Row],[Salary]],0)</f>
        <v>0</v>
      </c>
      <c r="J156" s="14">
        <f>VLOOKUP(Table24[[#This Row],[Salary]],'Tax rates'!A$2:C$8, 2) + VLOOKUP(Table24[[#This Row],[Salary]],'Tax rates'!A$2:C$8, 3) * (Table24[[#This Row],[Salary]] - VLOOKUP(Table24[[#This Row],[Salary]],'Tax rates'!A$2:C$8,1))</f>
        <v>13046.7</v>
      </c>
      <c r="K156" s="35">
        <f>Table24[[#This Row],[Salary]]-Table24[[#This Row],[Taxes]]</f>
        <v>64713.3</v>
      </c>
    </row>
    <row r="157" spans="1:11" x14ac:dyDescent="0.25">
      <c r="A157" s="5" t="s">
        <v>447</v>
      </c>
      <c r="B157" s="5" t="s">
        <v>6</v>
      </c>
      <c r="C157" s="5" t="s">
        <v>2</v>
      </c>
      <c r="D157" s="5" t="s">
        <v>3</v>
      </c>
      <c r="E157" s="6">
        <v>39141</v>
      </c>
      <c r="F157" s="5" t="s">
        <v>11</v>
      </c>
      <c r="G157" s="10">
        <v>66824</v>
      </c>
      <c r="H157" s="7">
        <v>2</v>
      </c>
      <c r="I157" s="12">
        <f>IF(OR(Table24[[#This Row],[Rating]]=4,Table24[[#This Row],[Rating]]=5), 0.05*Table24[[#This Row],[Salary]],0)</f>
        <v>0</v>
      </c>
      <c r="J157" s="14">
        <f>VLOOKUP(Table24[[#This Row],[Salary]],'Tax rates'!A$2:C$8, 2) + VLOOKUP(Table24[[#This Row],[Salary]],'Tax rates'!A$2:C$8, 3) * (Table24[[#This Row],[Salary]] - VLOOKUP(Table24[[#This Row],[Salary]],'Tax rates'!A$2:C$8,1))</f>
        <v>10640.779999999999</v>
      </c>
      <c r="K157" s="35">
        <f>Table24[[#This Row],[Salary]]-Table24[[#This Row],[Taxes]]</f>
        <v>56183.22</v>
      </c>
    </row>
    <row r="158" spans="1:11" x14ac:dyDescent="0.25">
      <c r="A158" s="5" t="s">
        <v>353</v>
      </c>
      <c r="B158" s="5" t="s">
        <v>6</v>
      </c>
      <c r="C158" s="5" t="s">
        <v>2</v>
      </c>
      <c r="D158" s="5" t="s">
        <v>3</v>
      </c>
      <c r="E158" s="6">
        <v>40486</v>
      </c>
      <c r="F158" s="5" t="s">
        <v>11</v>
      </c>
      <c r="G158" s="10">
        <v>66440</v>
      </c>
      <c r="H158" s="7">
        <v>3</v>
      </c>
      <c r="I158" s="12">
        <f>IF(OR(Table24[[#This Row],[Rating]]=4,Table24[[#This Row],[Rating]]=5), 0.05*Table24[[#This Row],[Salary]],0)</f>
        <v>0</v>
      </c>
      <c r="J158" s="14">
        <f>VLOOKUP(Table24[[#This Row],[Salary]],'Tax rates'!A$2:C$8, 2) + VLOOKUP(Table24[[#This Row],[Salary]],'Tax rates'!A$2:C$8, 3) * (Table24[[#This Row],[Salary]] - VLOOKUP(Table24[[#This Row],[Salary]],'Tax rates'!A$2:C$8,1))</f>
        <v>10556.3</v>
      </c>
      <c r="K158" s="35">
        <f>Table24[[#This Row],[Salary]]-Table24[[#This Row],[Taxes]]</f>
        <v>55883.7</v>
      </c>
    </row>
    <row r="159" spans="1:11" x14ac:dyDescent="0.25">
      <c r="A159" s="5" t="s">
        <v>324</v>
      </c>
      <c r="B159" s="5" t="s">
        <v>6</v>
      </c>
      <c r="C159" s="5" t="s">
        <v>2</v>
      </c>
      <c r="D159" s="5" t="s">
        <v>3</v>
      </c>
      <c r="E159" s="6">
        <v>40469</v>
      </c>
      <c r="F159" s="5" t="s">
        <v>25</v>
      </c>
      <c r="G159" s="10">
        <v>63030</v>
      </c>
      <c r="H159" s="7">
        <v>1</v>
      </c>
      <c r="I159" s="12">
        <f>IF(OR(Table24[[#This Row],[Rating]]=4,Table24[[#This Row],[Rating]]=5), 0.05*Table24[[#This Row],[Salary]],0)</f>
        <v>0</v>
      </c>
      <c r="J159" s="14">
        <f>VLOOKUP(Table24[[#This Row],[Salary]],'Tax rates'!A$2:C$8, 2) + VLOOKUP(Table24[[#This Row],[Salary]],'Tax rates'!A$2:C$8, 3) * (Table24[[#This Row],[Salary]] - VLOOKUP(Table24[[#This Row],[Salary]],'Tax rates'!A$2:C$8,1))</f>
        <v>9806.1</v>
      </c>
      <c r="K159" s="35">
        <f>Table24[[#This Row],[Salary]]-Table24[[#This Row],[Taxes]]</f>
        <v>53223.9</v>
      </c>
    </row>
    <row r="160" spans="1:11" x14ac:dyDescent="0.25">
      <c r="A160" s="5" t="s">
        <v>203</v>
      </c>
      <c r="B160" s="5" t="s">
        <v>6</v>
      </c>
      <c r="C160" s="5" t="s">
        <v>2</v>
      </c>
      <c r="D160" s="5" t="s">
        <v>16</v>
      </c>
      <c r="E160" s="6">
        <v>36406</v>
      </c>
      <c r="F160" s="7"/>
      <c r="G160" s="10">
        <v>60800</v>
      </c>
      <c r="H160" s="7">
        <v>4</v>
      </c>
      <c r="I160" s="12">
        <f>IF(OR(Table24[[#This Row],[Rating]]=4,Table24[[#This Row],[Rating]]=5), 0.05*Table24[[#This Row],[Salary]],0)</f>
        <v>3040</v>
      </c>
      <c r="J160" s="14">
        <f>VLOOKUP(Table24[[#This Row],[Salary]],'Tax rates'!A$2:C$8, 2) + VLOOKUP(Table24[[#This Row],[Salary]],'Tax rates'!A$2:C$8, 3) * (Table24[[#This Row],[Salary]] - VLOOKUP(Table24[[#This Row],[Salary]],'Tax rates'!A$2:C$8,1))</f>
        <v>9315.5</v>
      </c>
      <c r="K160" s="35">
        <f>Table24[[#This Row],[Salary]]-Table24[[#This Row],[Taxes]]</f>
        <v>51484.5</v>
      </c>
    </row>
    <row r="161" spans="1:11" x14ac:dyDescent="0.25">
      <c r="A161" s="5" t="s">
        <v>770</v>
      </c>
      <c r="B161" s="5" t="s">
        <v>6</v>
      </c>
      <c r="C161" s="5" t="s">
        <v>2</v>
      </c>
      <c r="D161" s="5" t="s">
        <v>3</v>
      </c>
      <c r="E161" s="6">
        <v>39398</v>
      </c>
      <c r="F161" s="5" t="s">
        <v>21</v>
      </c>
      <c r="G161" s="10">
        <v>48490</v>
      </c>
      <c r="H161" s="7">
        <v>2</v>
      </c>
      <c r="I161" s="12">
        <f>IF(OR(Table24[[#This Row],[Rating]]=4,Table24[[#This Row],[Rating]]=5), 0.05*Table24[[#This Row],[Salary]],0)</f>
        <v>0</v>
      </c>
      <c r="J161" s="14">
        <f>VLOOKUP(Table24[[#This Row],[Salary]],'Tax rates'!A$2:C$8, 2) + VLOOKUP(Table24[[#This Row],[Salary]],'Tax rates'!A$2:C$8, 3) * (Table24[[#This Row],[Salary]] - VLOOKUP(Table24[[#This Row],[Salary]],'Tax rates'!A$2:C$8,1))</f>
        <v>6607.3</v>
      </c>
      <c r="K161" s="35">
        <f>Table24[[#This Row],[Salary]]-Table24[[#This Row],[Taxes]]</f>
        <v>41882.699999999997</v>
      </c>
    </row>
    <row r="162" spans="1:11" x14ac:dyDescent="0.25">
      <c r="A162" s="5" t="s">
        <v>408</v>
      </c>
      <c r="B162" s="5" t="s">
        <v>6</v>
      </c>
      <c r="C162" s="5" t="s">
        <v>2</v>
      </c>
      <c r="D162" s="5" t="s">
        <v>16</v>
      </c>
      <c r="E162" s="6">
        <v>40726</v>
      </c>
      <c r="F162" s="7"/>
      <c r="G162" s="10">
        <v>46650</v>
      </c>
      <c r="H162" s="7">
        <v>2</v>
      </c>
      <c r="I162" s="12">
        <f>IF(OR(Table24[[#This Row],[Rating]]=4,Table24[[#This Row],[Rating]]=5), 0.05*Table24[[#This Row],[Salary]],0)</f>
        <v>0</v>
      </c>
      <c r="J162" s="14">
        <f>VLOOKUP(Table24[[#This Row],[Salary]],'Tax rates'!A$2:C$8, 2) + VLOOKUP(Table24[[#This Row],[Salary]],'Tax rates'!A$2:C$8, 3) * (Table24[[#This Row],[Salary]] - VLOOKUP(Table24[[#This Row],[Salary]],'Tax rates'!A$2:C$8,1))</f>
        <v>6202.5</v>
      </c>
      <c r="K162" s="35">
        <f>Table24[[#This Row],[Salary]]-Table24[[#This Row],[Taxes]]</f>
        <v>40447.5</v>
      </c>
    </row>
    <row r="163" spans="1:11" x14ac:dyDescent="0.25">
      <c r="A163" s="5" t="s">
        <v>233</v>
      </c>
      <c r="B163" s="5" t="s">
        <v>6</v>
      </c>
      <c r="C163" s="5" t="s">
        <v>2</v>
      </c>
      <c r="D163" s="5" t="s">
        <v>24</v>
      </c>
      <c r="E163" s="6">
        <v>38975</v>
      </c>
      <c r="F163" s="5" t="s">
        <v>11</v>
      </c>
      <c r="G163" s="10">
        <v>42740</v>
      </c>
      <c r="H163" s="7">
        <v>2</v>
      </c>
      <c r="I163" s="12">
        <f>IF(OR(Table24[[#This Row],[Rating]]=4,Table24[[#This Row],[Rating]]=5), 0.05*Table24[[#This Row],[Salary]],0)</f>
        <v>0</v>
      </c>
      <c r="J163" s="14">
        <f>VLOOKUP(Table24[[#This Row],[Salary]],'Tax rates'!A$2:C$8, 2) + VLOOKUP(Table24[[#This Row],[Salary]],'Tax rates'!A$2:C$8, 3) * (Table24[[#This Row],[Salary]] - VLOOKUP(Table24[[#This Row],[Salary]],'Tax rates'!A$2:C$8,1))</f>
        <v>5342.3</v>
      </c>
      <c r="K163" s="35">
        <f>Table24[[#This Row],[Salary]]-Table24[[#This Row],[Taxes]]</f>
        <v>37397.699999999997</v>
      </c>
    </row>
    <row r="164" spans="1:11" x14ac:dyDescent="0.25">
      <c r="A164" s="5" t="s">
        <v>5</v>
      </c>
      <c r="B164" s="5" t="s">
        <v>6</v>
      </c>
      <c r="C164" s="5" t="s">
        <v>2</v>
      </c>
      <c r="D164" s="5" t="s">
        <v>3</v>
      </c>
      <c r="E164" s="6">
        <v>39137</v>
      </c>
      <c r="F164" s="5" t="s">
        <v>4</v>
      </c>
      <c r="G164" s="10">
        <v>39000</v>
      </c>
      <c r="H164" s="7">
        <v>5</v>
      </c>
      <c r="I164" s="12">
        <f>IF(OR(Table24[[#This Row],[Rating]]=4,Table24[[#This Row],[Rating]]=5), 0.05*Table24[[#This Row],[Salary]],0)</f>
        <v>1950</v>
      </c>
      <c r="J164" s="14">
        <f>VLOOKUP(Table24[[#This Row],[Salary]],'Tax rates'!A$2:C$8, 2) + VLOOKUP(Table24[[#This Row],[Salary]],'Tax rates'!A$2:C$8, 3) * (Table24[[#This Row],[Salary]] - VLOOKUP(Table24[[#This Row],[Salary]],'Tax rates'!A$2:C$8,1))</f>
        <v>4519.5</v>
      </c>
      <c r="K164" s="35">
        <f>Table24[[#This Row],[Salary]]-Table24[[#This Row],[Taxes]]</f>
        <v>34480.5</v>
      </c>
    </row>
    <row r="165" spans="1:11" x14ac:dyDescent="0.25">
      <c r="A165" s="5" t="s">
        <v>249</v>
      </c>
      <c r="B165" s="5" t="s">
        <v>6</v>
      </c>
      <c r="C165" s="5" t="s">
        <v>2</v>
      </c>
      <c r="D165" s="5" t="s">
        <v>32</v>
      </c>
      <c r="E165" s="6">
        <v>39458</v>
      </c>
      <c r="F165" s="7"/>
      <c r="G165" s="10">
        <v>36788</v>
      </c>
      <c r="H165" s="7">
        <v>4</v>
      </c>
      <c r="I165" s="12">
        <f>IF(OR(Table24[[#This Row],[Rating]]=4,Table24[[#This Row],[Rating]]=5), 0.05*Table24[[#This Row],[Salary]],0)</f>
        <v>1839.4</v>
      </c>
      <c r="J165" s="14">
        <f>VLOOKUP(Table24[[#This Row],[Salary]],'Tax rates'!A$2:C$8, 2) + VLOOKUP(Table24[[#This Row],[Salary]],'Tax rates'!A$2:C$8, 3) * (Table24[[#This Row],[Salary]] - VLOOKUP(Table24[[#This Row],[Salary]],'Tax rates'!A$2:C$8,1))</f>
        <v>4224.0599999999995</v>
      </c>
      <c r="K165" s="35">
        <f>Table24[[#This Row],[Salary]]-Table24[[#This Row],[Taxes]]</f>
        <v>32563.940000000002</v>
      </c>
    </row>
    <row r="166" spans="1:11" x14ac:dyDescent="0.25">
      <c r="A166" s="5" t="s">
        <v>464</v>
      </c>
      <c r="B166" s="5" t="s">
        <v>6</v>
      </c>
      <c r="C166" s="5" t="s">
        <v>2</v>
      </c>
      <c r="D166" s="5" t="s">
        <v>24</v>
      </c>
      <c r="E166" s="6">
        <v>36196</v>
      </c>
      <c r="F166" s="5" t="s">
        <v>4</v>
      </c>
      <c r="G166" s="10">
        <v>34980</v>
      </c>
      <c r="H166" s="7">
        <v>2</v>
      </c>
      <c r="I166" s="12">
        <f>IF(OR(Table24[[#This Row],[Rating]]=4,Table24[[#This Row],[Rating]]=5), 0.05*Table24[[#This Row],[Salary]],0)</f>
        <v>0</v>
      </c>
      <c r="J166" s="14">
        <f>VLOOKUP(Table24[[#This Row],[Salary]],'Tax rates'!A$2:C$8, 2) + VLOOKUP(Table24[[#This Row],[Salary]],'Tax rates'!A$2:C$8, 3) * (Table24[[#This Row],[Salary]] - VLOOKUP(Table24[[#This Row],[Salary]],'Tax rates'!A$2:C$8,1))</f>
        <v>4007.1</v>
      </c>
      <c r="K166" s="35">
        <f>Table24[[#This Row],[Salary]]-Table24[[#This Row],[Taxes]]</f>
        <v>30972.9</v>
      </c>
    </row>
    <row r="167" spans="1:11" x14ac:dyDescent="0.25">
      <c r="A167" s="5" t="s">
        <v>42</v>
      </c>
      <c r="B167" s="5" t="s">
        <v>6</v>
      </c>
      <c r="C167" s="5" t="s">
        <v>2</v>
      </c>
      <c r="D167" s="5" t="s">
        <v>32</v>
      </c>
      <c r="E167" s="6">
        <v>40515</v>
      </c>
      <c r="F167" s="7"/>
      <c r="G167" s="10">
        <v>33508</v>
      </c>
      <c r="H167" s="7">
        <v>4</v>
      </c>
      <c r="I167" s="12">
        <f>IF(OR(Table24[[#This Row],[Rating]]=4,Table24[[#This Row],[Rating]]=5), 0.05*Table24[[#This Row],[Salary]],0)</f>
        <v>1675.4</v>
      </c>
      <c r="J167" s="14">
        <f>VLOOKUP(Table24[[#This Row],[Salary]],'Tax rates'!A$2:C$8, 2) + VLOOKUP(Table24[[#This Row],[Salary]],'Tax rates'!A$2:C$8, 3) * (Table24[[#This Row],[Salary]] - VLOOKUP(Table24[[#This Row],[Salary]],'Tax rates'!A$2:C$8,1))</f>
        <v>3830.46</v>
      </c>
      <c r="K167" s="35">
        <f>Table24[[#This Row],[Salary]]-Table24[[#This Row],[Taxes]]</f>
        <v>29677.54</v>
      </c>
    </row>
    <row r="168" spans="1:11" x14ac:dyDescent="0.25">
      <c r="A168" s="5" t="s">
        <v>113</v>
      </c>
      <c r="B168" s="5" t="s">
        <v>6</v>
      </c>
      <c r="C168" s="5" t="s">
        <v>2</v>
      </c>
      <c r="D168" s="5" t="s">
        <v>32</v>
      </c>
      <c r="E168" s="6">
        <v>39293</v>
      </c>
      <c r="F168" s="7"/>
      <c r="G168" s="10">
        <v>26484</v>
      </c>
      <c r="H168" s="7">
        <v>5</v>
      </c>
      <c r="I168" s="12">
        <f>IF(OR(Table24[[#This Row],[Rating]]=4,Table24[[#This Row],[Rating]]=5), 0.05*Table24[[#This Row],[Salary]],0)</f>
        <v>1324.2</v>
      </c>
      <c r="J168" s="14">
        <f>VLOOKUP(Table24[[#This Row],[Salary]],'Tax rates'!A$2:C$8, 2) + VLOOKUP(Table24[[#This Row],[Salary]],'Tax rates'!A$2:C$8, 3) * (Table24[[#This Row],[Salary]] - VLOOKUP(Table24[[#This Row],[Salary]],'Tax rates'!A$2:C$8,1))</f>
        <v>2987.58</v>
      </c>
      <c r="K168" s="35">
        <f>Table24[[#This Row],[Salary]]-Table24[[#This Row],[Taxes]]</f>
        <v>23496.42</v>
      </c>
    </row>
    <row r="169" spans="1:11" x14ac:dyDescent="0.25">
      <c r="A169" s="5" t="s">
        <v>356</v>
      </c>
      <c r="B169" s="5" t="s">
        <v>6</v>
      </c>
      <c r="C169" s="5" t="s">
        <v>2</v>
      </c>
      <c r="D169" s="5" t="s">
        <v>16</v>
      </c>
      <c r="E169" s="6">
        <v>40350</v>
      </c>
      <c r="F169" s="7"/>
      <c r="G169" s="10">
        <v>21580</v>
      </c>
      <c r="H169" s="7">
        <v>3</v>
      </c>
      <c r="I169" s="12">
        <f>IF(OR(Table24[[#This Row],[Rating]]=4,Table24[[#This Row],[Rating]]=5), 0.05*Table24[[#This Row],[Salary]],0)</f>
        <v>0</v>
      </c>
      <c r="J169" s="14">
        <f>VLOOKUP(Table24[[#This Row],[Salary]],'Tax rates'!A$2:C$8, 2) + VLOOKUP(Table24[[#This Row],[Salary]],'Tax rates'!A$2:C$8, 3) * (Table24[[#This Row],[Salary]] - VLOOKUP(Table24[[#This Row],[Salary]],'Tax rates'!A$2:C$8,1))</f>
        <v>2399.1</v>
      </c>
      <c r="K169" s="35">
        <f>Table24[[#This Row],[Salary]]-Table24[[#This Row],[Taxes]]</f>
        <v>19180.900000000001</v>
      </c>
    </row>
    <row r="170" spans="1:11" x14ac:dyDescent="0.25">
      <c r="A170" s="5" t="s">
        <v>399</v>
      </c>
      <c r="B170" s="5" t="s">
        <v>6</v>
      </c>
      <c r="C170" s="5" t="s">
        <v>2</v>
      </c>
      <c r="D170" s="5" t="s">
        <v>24</v>
      </c>
      <c r="E170" s="6">
        <v>36531</v>
      </c>
      <c r="F170" s="5" t="s">
        <v>21</v>
      </c>
      <c r="G170" s="10">
        <v>20990</v>
      </c>
      <c r="H170" s="7">
        <v>4</v>
      </c>
      <c r="I170" s="12">
        <f>IF(OR(Table24[[#This Row],[Rating]]=4,Table24[[#This Row],[Rating]]=5), 0.05*Table24[[#This Row],[Salary]],0)</f>
        <v>1049.5</v>
      </c>
      <c r="J170" s="14">
        <f>VLOOKUP(Table24[[#This Row],[Salary]],'Tax rates'!A$2:C$8, 2) + VLOOKUP(Table24[[#This Row],[Salary]],'Tax rates'!A$2:C$8, 3) * (Table24[[#This Row],[Salary]] - VLOOKUP(Table24[[#This Row],[Salary]],'Tax rates'!A$2:C$8,1))</f>
        <v>2328.3000000000002</v>
      </c>
      <c r="K170" s="35">
        <f>Table24[[#This Row],[Salary]]-Table24[[#This Row],[Taxes]]</f>
        <v>18661.7</v>
      </c>
    </row>
    <row r="171" spans="1:11" x14ac:dyDescent="0.25">
      <c r="A171" s="5" t="s">
        <v>55</v>
      </c>
      <c r="B171" s="5" t="s">
        <v>6</v>
      </c>
      <c r="C171" s="5" t="s">
        <v>2</v>
      </c>
      <c r="D171" s="5" t="s">
        <v>32</v>
      </c>
      <c r="E171" s="6">
        <v>35861</v>
      </c>
      <c r="F171" s="7"/>
      <c r="G171" s="10">
        <v>12836</v>
      </c>
      <c r="H171" s="7">
        <v>5</v>
      </c>
      <c r="I171" s="12">
        <f>IF(OR(Table24[[#This Row],[Rating]]=4,Table24[[#This Row],[Rating]]=5), 0.05*Table24[[#This Row],[Salary]],0)</f>
        <v>641.80000000000007</v>
      </c>
      <c r="J171" s="14">
        <f>VLOOKUP(Table24[[#This Row],[Salary]],'Tax rates'!A$2:C$8, 2) + VLOOKUP(Table24[[#This Row],[Salary]],'Tax rates'!A$2:C$8, 3) * (Table24[[#This Row],[Salary]] - VLOOKUP(Table24[[#This Row],[Salary]],'Tax rates'!A$2:C$8,1))</f>
        <v>1349.82</v>
      </c>
      <c r="K171" s="35">
        <f>Table24[[#This Row],[Salary]]-Table24[[#This Row],[Taxes]]</f>
        <v>11486.18</v>
      </c>
    </row>
    <row r="172" spans="1:11" x14ac:dyDescent="0.25">
      <c r="A172" s="5" t="s">
        <v>368</v>
      </c>
      <c r="B172" s="5" t="s">
        <v>6</v>
      </c>
      <c r="C172" s="5" t="s">
        <v>35</v>
      </c>
      <c r="D172" s="5" t="s">
        <v>3</v>
      </c>
      <c r="E172" s="6">
        <v>40637</v>
      </c>
      <c r="F172" s="5" t="s">
        <v>4</v>
      </c>
      <c r="G172" s="10">
        <v>86640</v>
      </c>
      <c r="H172" s="7">
        <v>3</v>
      </c>
      <c r="I172" s="12">
        <f>IF(OR(Table24[[#This Row],[Rating]]=4,Table24[[#This Row],[Rating]]=5), 0.05*Table24[[#This Row],[Salary]],0)</f>
        <v>0</v>
      </c>
      <c r="J172" s="14">
        <f>VLOOKUP(Table24[[#This Row],[Salary]],'Tax rates'!A$2:C$8, 2) + VLOOKUP(Table24[[#This Row],[Salary]],'Tax rates'!A$2:C$8, 3) * (Table24[[#This Row],[Salary]] - VLOOKUP(Table24[[#This Row],[Salary]],'Tax rates'!A$2:C$8,1))</f>
        <v>15083.1</v>
      </c>
      <c r="K172" s="35">
        <f>Table24[[#This Row],[Salary]]-Table24[[#This Row],[Taxes]]</f>
        <v>71556.899999999994</v>
      </c>
    </row>
    <row r="173" spans="1:11" x14ac:dyDescent="0.25">
      <c r="A173" s="5" t="s">
        <v>623</v>
      </c>
      <c r="B173" s="5" t="s">
        <v>6</v>
      </c>
      <c r="C173" s="5" t="s">
        <v>35</v>
      </c>
      <c r="D173" s="5" t="s">
        <v>3</v>
      </c>
      <c r="E173" s="6">
        <v>39539</v>
      </c>
      <c r="F173" s="5" t="s">
        <v>11</v>
      </c>
      <c r="G173" s="10">
        <v>73850</v>
      </c>
      <c r="H173" s="7">
        <v>2</v>
      </c>
      <c r="I173" s="12">
        <f>IF(OR(Table24[[#This Row],[Rating]]=4,Table24[[#This Row],[Rating]]=5), 0.05*Table24[[#This Row],[Salary]],0)</f>
        <v>0</v>
      </c>
      <c r="J173" s="14">
        <f>VLOOKUP(Table24[[#This Row],[Salary]],'Tax rates'!A$2:C$8, 2) + VLOOKUP(Table24[[#This Row],[Salary]],'Tax rates'!A$2:C$8, 3) * (Table24[[#This Row],[Salary]] - VLOOKUP(Table24[[#This Row],[Salary]],'Tax rates'!A$2:C$8,1))</f>
        <v>12186.5</v>
      </c>
      <c r="K173" s="35">
        <f>Table24[[#This Row],[Salary]]-Table24[[#This Row],[Taxes]]</f>
        <v>61663.5</v>
      </c>
    </row>
    <row r="174" spans="1:11" x14ac:dyDescent="0.25">
      <c r="A174" s="5" t="s">
        <v>400</v>
      </c>
      <c r="B174" s="5" t="s">
        <v>6</v>
      </c>
      <c r="C174" s="5" t="s">
        <v>35</v>
      </c>
      <c r="D174" s="5" t="s">
        <v>3</v>
      </c>
      <c r="E174" s="6">
        <v>39784</v>
      </c>
      <c r="F174" s="5" t="s">
        <v>4</v>
      </c>
      <c r="G174" s="10">
        <v>69510</v>
      </c>
      <c r="H174" s="7">
        <v>5</v>
      </c>
      <c r="I174" s="12">
        <f>IF(OR(Table24[[#This Row],[Rating]]=4,Table24[[#This Row],[Rating]]=5), 0.05*Table24[[#This Row],[Salary]],0)</f>
        <v>3475.5</v>
      </c>
      <c r="J174" s="14">
        <f>VLOOKUP(Table24[[#This Row],[Salary]],'Tax rates'!A$2:C$8, 2) + VLOOKUP(Table24[[#This Row],[Salary]],'Tax rates'!A$2:C$8, 3) * (Table24[[#This Row],[Salary]] - VLOOKUP(Table24[[#This Row],[Salary]],'Tax rates'!A$2:C$8,1))</f>
        <v>11231.7</v>
      </c>
      <c r="K174" s="35">
        <f>Table24[[#This Row],[Salary]]-Table24[[#This Row],[Taxes]]</f>
        <v>58278.3</v>
      </c>
    </row>
    <row r="175" spans="1:11" x14ac:dyDescent="0.25">
      <c r="A175" s="5" t="s">
        <v>390</v>
      </c>
      <c r="B175" s="5" t="s">
        <v>6</v>
      </c>
      <c r="C175" s="5" t="s">
        <v>35</v>
      </c>
      <c r="D175" s="5" t="s">
        <v>16</v>
      </c>
      <c r="E175" s="6">
        <v>39106</v>
      </c>
      <c r="F175" s="7"/>
      <c r="G175" s="10">
        <v>64263</v>
      </c>
      <c r="H175" s="7">
        <v>3</v>
      </c>
      <c r="I175" s="12">
        <f>IF(OR(Table24[[#This Row],[Rating]]=4,Table24[[#This Row],[Rating]]=5), 0.05*Table24[[#This Row],[Salary]],0)</f>
        <v>0</v>
      </c>
      <c r="J175" s="14">
        <f>VLOOKUP(Table24[[#This Row],[Salary]],'Tax rates'!A$2:C$8, 2) + VLOOKUP(Table24[[#This Row],[Salary]],'Tax rates'!A$2:C$8, 3) * (Table24[[#This Row],[Salary]] - VLOOKUP(Table24[[#This Row],[Salary]],'Tax rates'!A$2:C$8,1))</f>
        <v>10077.36</v>
      </c>
      <c r="K175" s="35">
        <f>Table24[[#This Row],[Salary]]-Table24[[#This Row],[Taxes]]</f>
        <v>54185.64</v>
      </c>
    </row>
    <row r="176" spans="1:11" x14ac:dyDescent="0.25">
      <c r="A176" s="5" t="s">
        <v>182</v>
      </c>
      <c r="B176" s="5" t="s">
        <v>6</v>
      </c>
      <c r="C176" s="5" t="s">
        <v>35</v>
      </c>
      <c r="D176" s="5" t="s">
        <v>16</v>
      </c>
      <c r="E176" s="6">
        <v>39768</v>
      </c>
      <c r="F176" s="7"/>
      <c r="G176" s="10">
        <v>63610</v>
      </c>
      <c r="H176" s="7">
        <v>5</v>
      </c>
      <c r="I176" s="12">
        <f>IF(OR(Table24[[#This Row],[Rating]]=4,Table24[[#This Row],[Rating]]=5), 0.05*Table24[[#This Row],[Salary]],0)</f>
        <v>3180.5</v>
      </c>
      <c r="J176" s="14">
        <f>VLOOKUP(Table24[[#This Row],[Salary]],'Tax rates'!A$2:C$8, 2) + VLOOKUP(Table24[[#This Row],[Salary]],'Tax rates'!A$2:C$8, 3) * (Table24[[#This Row],[Salary]] - VLOOKUP(Table24[[#This Row],[Salary]],'Tax rates'!A$2:C$8,1))</f>
        <v>9933.7000000000007</v>
      </c>
      <c r="K176" s="35">
        <f>Table24[[#This Row],[Salary]]-Table24[[#This Row],[Taxes]]</f>
        <v>53676.3</v>
      </c>
    </row>
    <row r="177" spans="1:11" x14ac:dyDescent="0.25">
      <c r="A177" s="5" t="s">
        <v>612</v>
      </c>
      <c r="B177" s="5" t="s">
        <v>6</v>
      </c>
      <c r="C177" s="5" t="s">
        <v>35</v>
      </c>
      <c r="D177" s="5" t="s">
        <v>16</v>
      </c>
      <c r="E177" s="6">
        <v>39090</v>
      </c>
      <c r="F177" s="7"/>
      <c r="G177" s="10">
        <v>63290</v>
      </c>
      <c r="H177" s="7">
        <v>5</v>
      </c>
      <c r="I177" s="12">
        <f>IF(OR(Table24[[#This Row],[Rating]]=4,Table24[[#This Row],[Rating]]=5), 0.05*Table24[[#This Row],[Salary]],0)</f>
        <v>3164.5</v>
      </c>
      <c r="J177" s="14">
        <f>VLOOKUP(Table24[[#This Row],[Salary]],'Tax rates'!A$2:C$8, 2) + VLOOKUP(Table24[[#This Row],[Salary]],'Tax rates'!A$2:C$8, 3) * (Table24[[#This Row],[Salary]] - VLOOKUP(Table24[[#This Row],[Salary]],'Tax rates'!A$2:C$8,1))</f>
        <v>9863.2999999999993</v>
      </c>
      <c r="K177" s="35">
        <f>Table24[[#This Row],[Salary]]-Table24[[#This Row],[Taxes]]</f>
        <v>53426.7</v>
      </c>
    </row>
    <row r="178" spans="1:11" x14ac:dyDescent="0.25">
      <c r="A178" s="5" t="s">
        <v>195</v>
      </c>
      <c r="B178" s="5" t="s">
        <v>6</v>
      </c>
      <c r="C178" s="5" t="s">
        <v>35</v>
      </c>
      <c r="D178" s="5" t="s">
        <v>3</v>
      </c>
      <c r="E178" s="6">
        <v>41111</v>
      </c>
      <c r="F178" s="5" t="s">
        <v>25</v>
      </c>
      <c r="G178" s="10">
        <v>62780</v>
      </c>
      <c r="H178" s="7">
        <v>3</v>
      </c>
      <c r="I178" s="12">
        <f>IF(OR(Table24[[#This Row],[Rating]]=4,Table24[[#This Row],[Rating]]=5), 0.05*Table24[[#This Row],[Salary]],0)</f>
        <v>0</v>
      </c>
      <c r="J178" s="14">
        <f>VLOOKUP(Table24[[#This Row],[Salary]],'Tax rates'!A$2:C$8, 2) + VLOOKUP(Table24[[#This Row],[Salary]],'Tax rates'!A$2:C$8, 3) * (Table24[[#This Row],[Salary]] - VLOOKUP(Table24[[#This Row],[Salary]],'Tax rates'!A$2:C$8,1))</f>
        <v>9751.1</v>
      </c>
      <c r="K178" s="35">
        <f>Table24[[#This Row],[Salary]]-Table24[[#This Row],[Taxes]]</f>
        <v>53028.9</v>
      </c>
    </row>
    <row r="179" spans="1:11" x14ac:dyDescent="0.25">
      <c r="A179" s="5" t="s">
        <v>653</v>
      </c>
      <c r="B179" s="5" t="s">
        <v>6</v>
      </c>
      <c r="C179" s="5" t="s">
        <v>35</v>
      </c>
      <c r="D179" s="5" t="s">
        <v>3</v>
      </c>
      <c r="E179" s="6">
        <v>36330</v>
      </c>
      <c r="F179" s="5" t="s">
        <v>9</v>
      </c>
      <c r="G179" s="10">
        <v>61850</v>
      </c>
      <c r="H179" s="7">
        <v>2</v>
      </c>
      <c r="I179" s="12">
        <f>IF(OR(Table24[[#This Row],[Rating]]=4,Table24[[#This Row],[Rating]]=5), 0.05*Table24[[#This Row],[Salary]],0)</f>
        <v>0</v>
      </c>
      <c r="J179" s="14">
        <f>VLOOKUP(Table24[[#This Row],[Salary]],'Tax rates'!A$2:C$8, 2) + VLOOKUP(Table24[[#This Row],[Salary]],'Tax rates'!A$2:C$8, 3) * (Table24[[#This Row],[Salary]] - VLOOKUP(Table24[[#This Row],[Salary]],'Tax rates'!A$2:C$8,1))</f>
        <v>9546.5</v>
      </c>
      <c r="K179" s="35">
        <f>Table24[[#This Row],[Salary]]-Table24[[#This Row],[Taxes]]</f>
        <v>52303.5</v>
      </c>
    </row>
    <row r="180" spans="1:11" x14ac:dyDescent="0.25">
      <c r="A180" s="5" t="s">
        <v>428</v>
      </c>
      <c r="B180" s="5" t="s">
        <v>6</v>
      </c>
      <c r="C180" s="5" t="s">
        <v>35</v>
      </c>
      <c r="D180" s="5" t="s">
        <v>16</v>
      </c>
      <c r="E180" s="6">
        <v>40811</v>
      </c>
      <c r="F180" s="7"/>
      <c r="G180" s="10">
        <v>61134</v>
      </c>
      <c r="H180" s="7">
        <v>4</v>
      </c>
      <c r="I180" s="12">
        <f>IF(OR(Table24[[#This Row],[Rating]]=4,Table24[[#This Row],[Rating]]=5), 0.05*Table24[[#This Row],[Salary]],0)</f>
        <v>3056.7000000000003</v>
      </c>
      <c r="J180" s="14">
        <f>VLOOKUP(Table24[[#This Row],[Salary]],'Tax rates'!A$2:C$8, 2) + VLOOKUP(Table24[[#This Row],[Salary]],'Tax rates'!A$2:C$8, 3) * (Table24[[#This Row],[Salary]] - VLOOKUP(Table24[[#This Row],[Salary]],'Tax rates'!A$2:C$8,1))</f>
        <v>9388.98</v>
      </c>
      <c r="K180" s="35">
        <f>Table24[[#This Row],[Salary]]-Table24[[#This Row],[Taxes]]</f>
        <v>51745.020000000004</v>
      </c>
    </row>
    <row r="181" spans="1:11" x14ac:dyDescent="0.25">
      <c r="A181" s="5" t="s">
        <v>263</v>
      </c>
      <c r="B181" s="5" t="s">
        <v>6</v>
      </c>
      <c r="C181" s="5" t="s">
        <v>35</v>
      </c>
      <c r="D181" s="5" t="s">
        <v>3</v>
      </c>
      <c r="E181" s="6">
        <v>41262</v>
      </c>
      <c r="F181" s="5" t="s">
        <v>25</v>
      </c>
      <c r="G181" s="10">
        <v>59490</v>
      </c>
      <c r="H181" s="7">
        <v>3</v>
      </c>
      <c r="I181" s="12">
        <f>IF(OR(Table24[[#This Row],[Rating]]=4,Table24[[#This Row],[Rating]]=5), 0.05*Table24[[#This Row],[Salary]],0)</f>
        <v>0</v>
      </c>
      <c r="J181" s="14">
        <f>VLOOKUP(Table24[[#This Row],[Salary]],'Tax rates'!A$2:C$8, 2) + VLOOKUP(Table24[[#This Row],[Salary]],'Tax rates'!A$2:C$8, 3) * (Table24[[#This Row],[Salary]] - VLOOKUP(Table24[[#This Row],[Salary]],'Tax rates'!A$2:C$8,1))</f>
        <v>9027.2999999999993</v>
      </c>
      <c r="K181" s="35">
        <f>Table24[[#This Row],[Salary]]-Table24[[#This Row],[Taxes]]</f>
        <v>50462.7</v>
      </c>
    </row>
    <row r="182" spans="1:11" x14ac:dyDescent="0.25">
      <c r="A182" s="5" t="s">
        <v>361</v>
      </c>
      <c r="B182" s="5" t="s">
        <v>6</v>
      </c>
      <c r="C182" s="5" t="s">
        <v>35</v>
      </c>
      <c r="D182" s="5" t="s">
        <v>24</v>
      </c>
      <c r="E182" s="6">
        <v>39267</v>
      </c>
      <c r="F182" s="5" t="s">
        <v>4</v>
      </c>
      <c r="G182" s="10">
        <v>49545</v>
      </c>
      <c r="H182" s="7">
        <v>2</v>
      </c>
      <c r="I182" s="12">
        <f>IF(OR(Table24[[#This Row],[Rating]]=4,Table24[[#This Row],[Rating]]=5), 0.05*Table24[[#This Row],[Salary]],0)</f>
        <v>0</v>
      </c>
      <c r="J182" s="14">
        <f>VLOOKUP(Table24[[#This Row],[Salary]],'Tax rates'!A$2:C$8, 2) + VLOOKUP(Table24[[#This Row],[Salary]],'Tax rates'!A$2:C$8, 3) * (Table24[[#This Row],[Salary]] - VLOOKUP(Table24[[#This Row],[Salary]],'Tax rates'!A$2:C$8,1))</f>
        <v>6839.4</v>
      </c>
      <c r="K182" s="35">
        <f>Table24[[#This Row],[Salary]]-Table24[[#This Row],[Taxes]]</f>
        <v>42705.599999999999</v>
      </c>
    </row>
    <row r="183" spans="1:11" x14ac:dyDescent="0.25">
      <c r="A183" s="5" t="s">
        <v>642</v>
      </c>
      <c r="B183" s="5" t="s">
        <v>6</v>
      </c>
      <c r="C183" s="5" t="s">
        <v>35</v>
      </c>
      <c r="D183" s="5" t="s">
        <v>3</v>
      </c>
      <c r="E183" s="6">
        <v>40680</v>
      </c>
      <c r="F183" s="5" t="s">
        <v>9</v>
      </c>
      <c r="G183" s="10">
        <v>40260</v>
      </c>
      <c r="H183" s="7">
        <v>5</v>
      </c>
      <c r="I183" s="12">
        <f>IF(OR(Table24[[#This Row],[Rating]]=4,Table24[[#This Row],[Rating]]=5), 0.05*Table24[[#This Row],[Salary]],0)</f>
        <v>2013</v>
      </c>
      <c r="J183" s="14">
        <f>VLOOKUP(Table24[[#This Row],[Salary]],'Tax rates'!A$2:C$8, 2) + VLOOKUP(Table24[[#This Row],[Salary]],'Tax rates'!A$2:C$8, 3) * (Table24[[#This Row],[Salary]] - VLOOKUP(Table24[[#This Row],[Salary]],'Tax rates'!A$2:C$8,1))</f>
        <v>4796.7</v>
      </c>
      <c r="K183" s="35">
        <f>Table24[[#This Row],[Salary]]-Table24[[#This Row],[Taxes]]</f>
        <v>35463.300000000003</v>
      </c>
    </row>
    <row r="184" spans="1:11" x14ac:dyDescent="0.25">
      <c r="A184" s="5" t="s">
        <v>755</v>
      </c>
      <c r="B184" s="5" t="s">
        <v>6</v>
      </c>
      <c r="C184" s="5" t="s">
        <v>35</v>
      </c>
      <c r="D184" s="5" t="s">
        <v>3</v>
      </c>
      <c r="E184" s="6">
        <v>40018</v>
      </c>
      <c r="F184" s="5" t="s">
        <v>11</v>
      </c>
      <c r="G184" s="10">
        <v>34990</v>
      </c>
      <c r="H184" s="7">
        <v>3</v>
      </c>
      <c r="I184" s="12">
        <f>IF(OR(Table24[[#This Row],[Rating]]=4,Table24[[#This Row],[Rating]]=5), 0.05*Table24[[#This Row],[Salary]],0)</f>
        <v>0</v>
      </c>
      <c r="J184" s="14">
        <f>VLOOKUP(Table24[[#This Row],[Salary]],'Tax rates'!A$2:C$8, 2) + VLOOKUP(Table24[[#This Row],[Salary]],'Tax rates'!A$2:C$8, 3) * (Table24[[#This Row],[Salary]] - VLOOKUP(Table24[[#This Row],[Salary]],'Tax rates'!A$2:C$8,1))</f>
        <v>4008.2999999999997</v>
      </c>
      <c r="K184" s="35">
        <f>Table24[[#This Row],[Salary]]-Table24[[#This Row],[Taxes]]</f>
        <v>30981.7</v>
      </c>
    </row>
    <row r="185" spans="1:11" x14ac:dyDescent="0.25">
      <c r="A185" s="5" t="s">
        <v>393</v>
      </c>
      <c r="B185" s="5" t="s">
        <v>6</v>
      </c>
      <c r="C185" s="5" t="s">
        <v>35</v>
      </c>
      <c r="D185" s="5" t="s">
        <v>16</v>
      </c>
      <c r="E185" s="6">
        <v>37099</v>
      </c>
      <c r="F185" s="7"/>
      <c r="G185" s="10">
        <v>28270</v>
      </c>
      <c r="H185" s="7">
        <v>5</v>
      </c>
      <c r="I185" s="12">
        <f>IF(OR(Table24[[#This Row],[Rating]]=4,Table24[[#This Row],[Rating]]=5), 0.05*Table24[[#This Row],[Salary]],0)</f>
        <v>1413.5</v>
      </c>
      <c r="J185" s="14">
        <f>VLOOKUP(Table24[[#This Row],[Salary]],'Tax rates'!A$2:C$8, 2) + VLOOKUP(Table24[[#This Row],[Salary]],'Tax rates'!A$2:C$8, 3) * (Table24[[#This Row],[Salary]] - VLOOKUP(Table24[[#This Row],[Salary]],'Tax rates'!A$2:C$8,1))</f>
        <v>3201.9</v>
      </c>
      <c r="K185" s="35">
        <f>Table24[[#This Row],[Salary]]-Table24[[#This Row],[Taxes]]</f>
        <v>25068.1</v>
      </c>
    </row>
    <row r="186" spans="1:11" x14ac:dyDescent="0.25">
      <c r="A186" s="5" t="s">
        <v>469</v>
      </c>
      <c r="B186" s="5" t="s">
        <v>6</v>
      </c>
      <c r="C186" s="5" t="s">
        <v>35</v>
      </c>
      <c r="D186" s="5" t="s">
        <v>24</v>
      </c>
      <c r="E186" s="6">
        <v>39155</v>
      </c>
      <c r="F186" s="5" t="s">
        <v>21</v>
      </c>
      <c r="G186" s="10">
        <v>27710</v>
      </c>
      <c r="H186" s="7">
        <v>3</v>
      </c>
      <c r="I186" s="12">
        <f>IF(OR(Table24[[#This Row],[Rating]]=4,Table24[[#This Row],[Rating]]=5), 0.05*Table24[[#This Row],[Salary]],0)</f>
        <v>0</v>
      </c>
      <c r="J186" s="14">
        <f>VLOOKUP(Table24[[#This Row],[Salary]],'Tax rates'!A$2:C$8, 2) + VLOOKUP(Table24[[#This Row],[Salary]],'Tax rates'!A$2:C$8, 3) * (Table24[[#This Row],[Salary]] - VLOOKUP(Table24[[#This Row],[Salary]],'Tax rates'!A$2:C$8,1))</f>
        <v>3134.7</v>
      </c>
      <c r="K186" s="35">
        <f>Table24[[#This Row],[Salary]]-Table24[[#This Row],[Taxes]]</f>
        <v>24575.3</v>
      </c>
    </row>
    <row r="187" spans="1:11" x14ac:dyDescent="0.25">
      <c r="A187" s="5" t="s">
        <v>630</v>
      </c>
      <c r="B187" s="5" t="s">
        <v>6</v>
      </c>
      <c r="C187" s="5" t="s">
        <v>35</v>
      </c>
      <c r="D187" s="5" t="s">
        <v>3</v>
      </c>
      <c r="E187" s="6">
        <v>40477</v>
      </c>
      <c r="F187" s="5" t="s">
        <v>4</v>
      </c>
      <c r="G187" s="10">
        <v>27130</v>
      </c>
      <c r="H187" s="7">
        <v>5</v>
      </c>
      <c r="I187" s="12">
        <f>IF(OR(Table24[[#This Row],[Rating]]=4,Table24[[#This Row],[Rating]]=5), 0.05*Table24[[#This Row],[Salary]],0)</f>
        <v>1356.5</v>
      </c>
      <c r="J187" s="14">
        <f>VLOOKUP(Table24[[#This Row],[Salary]],'Tax rates'!A$2:C$8, 2) + VLOOKUP(Table24[[#This Row],[Salary]],'Tax rates'!A$2:C$8, 3) * (Table24[[#This Row],[Salary]] - VLOOKUP(Table24[[#This Row],[Salary]],'Tax rates'!A$2:C$8,1))</f>
        <v>3065.1</v>
      </c>
      <c r="K187" s="35">
        <f>Table24[[#This Row],[Salary]]-Table24[[#This Row],[Taxes]]</f>
        <v>24064.9</v>
      </c>
    </row>
    <row r="188" spans="1:11" x14ac:dyDescent="0.25">
      <c r="A188" s="5" t="s">
        <v>409</v>
      </c>
      <c r="B188" s="5" t="s">
        <v>6</v>
      </c>
      <c r="C188" s="5" t="s">
        <v>35</v>
      </c>
      <c r="D188" s="5" t="s">
        <v>3</v>
      </c>
      <c r="E188" s="6">
        <v>40584</v>
      </c>
      <c r="F188" s="5" t="s">
        <v>4</v>
      </c>
      <c r="G188" s="10">
        <v>24200</v>
      </c>
      <c r="H188" s="7">
        <v>5</v>
      </c>
      <c r="I188" s="12">
        <f>IF(OR(Table24[[#This Row],[Rating]]=4,Table24[[#This Row],[Rating]]=5), 0.05*Table24[[#This Row],[Salary]],0)</f>
        <v>1210</v>
      </c>
      <c r="J188" s="14">
        <f>VLOOKUP(Table24[[#This Row],[Salary]],'Tax rates'!A$2:C$8, 2) + VLOOKUP(Table24[[#This Row],[Salary]],'Tax rates'!A$2:C$8, 3) * (Table24[[#This Row],[Salary]] - VLOOKUP(Table24[[#This Row],[Salary]],'Tax rates'!A$2:C$8,1))</f>
        <v>2713.5</v>
      </c>
      <c r="K188" s="35">
        <f>Table24[[#This Row],[Salary]]-Table24[[#This Row],[Taxes]]</f>
        <v>21486.5</v>
      </c>
    </row>
    <row r="189" spans="1:11" x14ac:dyDescent="0.25">
      <c r="A189" s="5" t="s">
        <v>500</v>
      </c>
      <c r="B189" s="5" t="s">
        <v>6</v>
      </c>
      <c r="C189" s="5" t="s">
        <v>35</v>
      </c>
      <c r="D189" s="5" t="s">
        <v>3</v>
      </c>
      <c r="E189" s="6">
        <v>40680</v>
      </c>
      <c r="F189" s="5" t="s">
        <v>4</v>
      </c>
      <c r="G189" s="10">
        <v>23030</v>
      </c>
      <c r="H189" s="7">
        <v>4</v>
      </c>
      <c r="I189" s="12">
        <f>IF(OR(Table24[[#This Row],[Rating]]=4,Table24[[#This Row],[Rating]]=5), 0.05*Table24[[#This Row],[Salary]],0)</f>
        <v>1151.5</v>
      </c>
      <c r="J189" s="14">
        <f>VLOOKUP(Table24[[#This Row],[Salary]],'Tax rates'!A$2:C$8, 2) + VLOOKUP(Table24[[#This Row],[Salary]],'Tax rates'!A$2:C$8, 3) * (Table24[[#This Row],[Salary]] - VLOOKUP(Table24[[#This Row],[Salary]],'Tax rates'!A$2:C$8,1))</f>
        <v>2573.1</v>
      </c>
      <c r="K189" s="35">
        <f>Table24[[#This Row],[Salary]]-Table24[[#This Row],[Taxes]]</f>
        <v>20456.900000000001</v>
      </c>
    </row>
    <row r="190" spans="1:11" x14ac:dyDescent="0.25">
      <c r="A190" s="5" t="s">
        <v>552</v>
      </c>
      <c r="B190" s="5" t="s">
        <v>6</v>
      </c>
      <c r="C190" s="5" t="s">
        <v>46</v>
      </c>
      <c r="D190" s="5" t="s">
        <v>16</v>
      </c>
      <c r="E190" s="6">
        <v>40719</v>
      </c>
      <c r="F190" s="7"/>
      <c r="G190" s="10">
        <v>66132</v>
      </c>
      <c r="H190" s="7">
        <v>4</v>
      </c>
      <c r="I190" s="12">
        <f>IF(OR(Table24[[#This Row],[Rating]]=4,Table24[[#This Row],[Rating]]=5), 0.05*Table24[[#This Row],[Salary]],0)</f>
        <v>3306.6000000000004</v>
      </c>
      <c r="J190" s="14">
        <f>VLOOKUP(Table24[[#This Row],[Salary]],'Tax rates'!A$2:C$8, 2) + VLOOKUP(Table24[[#This Row],[Salary]],'Tax rates'!A$2:C$8, 3) * (Table24[[#This Row],[Salary]] - VLOOKUP(Table24[[#This Row],[Salary]],'Tax rates'!A$2:C$8,1))</f>
        <v>10488.54</v>
      </c>
      <c r="K190" s="35">
        <f>Table24[[#This Row],[Salary]]-Table24[[#This Row],[Taxes]]</f>
        <v>55643.46</v>
      </c>
    </row>
    <row r="191" spans="1:11" x14ac:dyDescent="0.25">
      <c r="A191" s="5" t="s">
        <v>492</v>
      </c>
      <c r="B191" s="5" t="s">
        <v>6</v>
      </c>
      <c r="C191" s="5" t="s">
        <v>46</v>
      </c>
      <c r="D191" s="5" t="s">
        <v>3</v>
      </c>
      <c r="E191" s="6">
        <v>36991</v>
      </c>
      <c r="F191" s="5" t="s">
        <v>4</v>
      </c>
      <c r="G191" s="10">
        <v>63670</v>
      </c>
      <c r="H191" s="7">
        <v>5</v>
      </c>
      <c r="I191" s="12">
        <f>IF(OR(Table24[[#This Row],[Rating]]=4,Table24[[#This Row],[Rating]]=5), 0.05*Table24[[#This Row],[Salary]],0)</f>
        <v>3183.5</v>
      </c>
      <c r="J191" s="14">
        <f>VLOOKUP(Table24[[#This Row],[Salary]],'Tax rates'!A$2:C$8, 2) + VLOOKUP(Table24[[#This Row],[Salary]],'Tax rates'!A$2:C$8, 3) * (Table24[[#This Row],[Salary]] - VLOOKUP(Table24[[#This Row],[Salary]],'Tax rates'!A$2:C$8,1))</f>
        <v>9946.9</v>
      </c>
      <c r="K191" s="35">
        <f>Table24[[#This Row],[Salary]]-Table24[[#This Row],[Taxes]]</f>
        <v>53723.1</v>
      </c>
    </row>
    <row r="192" spans="1:11" x14ac:dyDescent="0.25">
      <c r="A192" s="5" t="s">
        <v>656</v>
      </c>
      <c r="B192" s="5" t="s">
        <v>6</v>
      </c>
      <c r="C192" s="5" t="s">
        <v>37</v>
      </c>
      <c r="D192" s="5" t="s">
        <v>16</v>
      </c>
      <c r="E192" s="6">
        <v>40372</v>
      </c>
      <c r="F192" s="7"/>
      <c r="G192" s="10">
        <v>75100</v>
      </c>
      <c r="H192" s="7">
        <v>4</v>
      </c>
      <c r="I192" s="12">
        <f>IF(OR(Table24[[#This Row],[Rating]]=4,Table24[[#This Row],[Rating]]=5), 0.05*Table24[[#This Row],[Salary]],0)</f>
        <v>3755</v>
      </c>
      <c r="J192" s="14">
        <f>VLOOKUP(Table24[[#This Row],[Salary]],'Tax rates'!A$2:C$8, 2) + VLOOKUP(Table24[[#This Row],[Salary]],'Tax rates'!A$2:C$8, 3) * (Table24[[#This Row],[Salary]] - VLOOKUP(Table24[[#This Row],[Salary]],'Tax rates'!A$2:C$8,1))</f>
        <v>12461.5</v>
      </c>
      <c r="K192" s="35">
        <f>Table24[[#This Row],[Salary]]-Table24[[#This Row],[Taxes]]</f>
        <v>62638.5</v>
      </c>
    </row>
    <row r="193" spans="1:11" x14ac:dyDescent="0.25">
      <c r="A193" s="5" t="s">
        <v>713</v>
      </c>
      <c r="B193" s="5" t="s">
        <v>6</v>
      </c>
      <c r="C193" s="5" t="s">
        <v>37</v>
      </c>
      <c r="D193" s="5" t="s">
        <v>3</v>
      </c>
      <c r="E193" s="6">
        <v>36898</v>
      </c>
      <c r="F193" s="5" t="s">
        <v>4</v>
      </c>
      <c r="G193" s="10">
        <v>71820</v>
      </c>
      <c r="H193" s="7">
        <v>2</v>
      </c>
      <c r="I193" s="12">
        <f>IF(OR(Table24[[#This Row],[Rating]]=4,Table24[[#This Row],[Rating]]=5), 0.05*Table24[[#This Row],[Salary]],0)</f>
        <v>0</v>
      </c>
      <c r="J193" s="14">
        <f>VLOOKUP(Table24[[#This Row],[Salary]],'Tax rates'!A$2:C$8, 2) + VLOOKUP(Table24[[#This Row],[Salary]],'Tax rates'!A$2:C$8, 3) * (Table24[[#This Row],[Salary]] - VLOOKUP(Table24[[#This Row],[Salary]],'Tax rates'!A$2:C$8,1))</f>
        <v>11739.9</v>
      </c>
      <c r="K193" s="35">
        <f>Table24[[#This Row],[Salary]]-Table24[[#This Row],[Taxes]]</f>
        <v>60080.1</v>
      </c>
    </row>
    <row r="194" spans="1:11" x14ac:dyDescent="0.25">
      <c r="A194" s="5" t="s">
        <v>156</v>
      </c>
      <c r="B194" s="5" t="s">
        <v>6</v>
      </c>
      <c r="C194" s="5" t="s">
        <v>37</v>
      </c>
      <c r="D194" s="5" t="s">
        <v>32</v>
      </c>
      <c r="E194" s="6">
        <v>40494</v>
      </c>
      <c r="F194" s="7"/>
      <c r="G194" s="10">
        <v>35312</v>
      </c>
      <c r="H194" s="7">
        <v>3</v>
      </c>
      <c r="I194" s="12">
        <f>IF(OR(Table24[[#This Row],[Rating]]=4,Table24[[#This Row],[Rating]]=5), 0.05*Table24[[#This Row],[Salary]],0)</f>
        <v>0</v>
      </c>
      <c r="J194" s="14">
        <f>VLOOKUP(Table24[[#This Row],[Salary]],'Tax rates'!A$2:C$8, 2) + VLOOKUP(Table24[[#This Row],[Salary]],'Tax rates'!A$2:C$8, 3) * (Table24[[#This Row],[Salary]] - VLOOKUP(Table24[[#This Row],[Salary]],'Tax rates'!A$2:C$8,1))</f>
        <v>4046.94</v>
      </c>
      <c r="K194" s="35">
        <f>Table24[[#This Row],[Salary]]-Table24[[#This Row],[Taxes]]</f>
        <v>31265.06</v>
      </c>
    </row>
    <row r="195" spans="1:11" x14ac:dyDescent="0.25">
      <c r="A195" s="5" t="s">
        <v>418</v>
      </c>
      <c r="B195" s="5" t="s">
        <v>6</v>
      </c>
      <c r="C195" s="5" t="s">
        <v>37</v>
      </c>
      <c r="D195" s="5" t="s">
        <v>3</v>
      </c>
      <c r="E195" s="6">
        <v>36175</v>
      </c>
      <c r="F195" s="5" t="s">
        <v>11</v>
      </c>
      <c r="G195" s="10">
        <v>23520</v>
      </c>
      <c r="H195" s="7">
        <v>2</v>
      </c>
      <c r="I195" s="12">
        <f>IF(OR(Table24[[#This Row],[Rating]]=4,Table24[[#This Row],[Rating]]=5), 0.05*Table24[[#This Row],[Salary]],0)</f>
        <v>0</v>
      </c>
      <c r="J195" s="14">
        <f>VLOOKUP(Table24[[#This Row],[Salary]],'Tax rates'!A$2:C$8, 2) + VLOOKUP(Table24[[#This Row],[Salary]],'Tax rates'!A$2:C$8, 3) * (Table24[[#This Row],[Salary]] - VLOOKUP(Table24[[#This Row],[Salary]],'Tax rates'!A$2:C$8,1))</f>
        <v>2631.8999999999996</v>
      </c>
      <c r="K195" s="35">
        <f>Table24[[#This Row],[Salary]]-Table24[[#This Row],[Taxes]]</f>
        <v>20888.099999999999</v>
      </c>
    </row>
    <row r="196" spans="1:11" x14ac:dyDescent="0.25">
      <c r="A196" s="5" t="s">
        <v>571</v>
      </c>
      <c r="B196" s="5" t="s">
        <v>6</v>
      </c>
      <c r="C196" s="5" t="s">
        <v>37</v>
      </c>
      <c r="D196" s="5" t="s">
        <v>32</v>
      </c>
      <c r="E196" s="6">
        <v>36084</v>
      </c>
      <c r="F196" s="7"/>
      <c r="G196" s="10">
        <v>21668</v>
      </c>
      <c r="H196" s="7">
        <v>4</v>
      </c>
      <c r="I196" s="12">
        <f>IF(OR(Table24[[#This Row],[Rating]]=4,Table24[[#This Row],[Rating]]=5), 0.05*Table24[[#This Row],[Salary]],0)</f>
        <v>1083.4000000000001</v>
      </c>
      <c r="J196" s="14">
        <f>VLOOKUP(Table24[[#This Row],[Salary]],'Tax rates'!A$2:C$8, 2) + VLOOKUP(Table24[[#This Row],[Salary]],'Tax rates'!A$2:C$8, 3) * (Table24[[#This Row],[Salary]] - VLOOKUP(Table24[[#This Row],[Salary]],'Tax rates'!A$2:C$8,1))</f>
        <v>2409.66</v>
      </c>
      <c r="K196" s="35">
        <f>Table24[[#This Row],[Salary]]-Table24[[#This Row],[Taxes]]</f>
        <v>19258.34</v>
      </c>
    </row>
    <row r="197" spans="1:11" x14ac:dyDescent="0.25">
      <c r="A197" s="5" t="s">
        <v>538</v>
      </c>
      <c r="B197" s="5" t="s">
        <v>6</v>
      </c>
      <c r="C197" s="5" t="s">
        <v>37</v>
      </c>
      <c r="D197" s="5" t="s">
        <v>24</v>
      </c>
      <c r="E197" s="6">
        <v>35961</v>
      </c>
      <c r="F197" s="5" t="s">
        <v>4</v>
      </c>
      <c r="G197" s="10">
        <v>20500</v>
      </c>
      <c r="H197" s="7">
        <v>3</v>
      </c>
      <c r="I197" s="12">
        <f>IF(OR(Table24[[#This Row],[Rating]]=4,Table24[[#This Row],[Rating]]=5), 0.05*Table24[[#This Row],[Salary]],0)</f>
        <v>0</v>
      </c>
      <c r="J197" s="14">
        <f>VLOOKUP(Table24[[#This Row],[Salary]],'Tax rates'!A$2:C$8, 2) + VLOOKUP(Table24[[#This Row],[Salary]],'Tax rates'!A$2:C$8, 3) * (Table24[[#This Row],[Salary]] - VLOOKUP(Table24[[#This Row],[Salary]],'Tax rates'!A$2:C$8,1))</f>
        <v>2269.5</v>
      </c>
      <c r="K197" s="35">
        <f>Table24[[#This Row],[Salary]]-Table24[[#This Row],[Taxes]]</f>
        <v>18230.5</v>
      </c>
    </row>
    <row r="198" spans="1:11" x14ac:dyDescent="0.25">
      <c r="A198" s="5" t="s">
        <v>674</v>
      </c>
      <c r="B198" s="5" t="s">
        <v>6</v>
      </c>
      <c r="C198" s="5" t="s">
        <v>106</v>
      </c>
      <c r="D198" s="5" t="s">
        <v>16</v>
      </c>
      <c r="E198" s="6">
        <v>39189</v>
      </c>
      <c r="F198" s="7"/>
      <c r="G198" s="10">
        <v>66580</v>
      </c>
      <c r="H198" s="7">
        <v>5</v>
      </c>
      <c r="I198" s="12">
        <f>IF(OR(Table24[[#This Row],[Rating]]=4,Table24[[#This Row],[Rating]]=5), 0.05*Table24[[#This Row],[Salary]],0)</f>
        <v>3329</v>
      </c>
      <c r="J198" s="14">
        <f>VLOOKUP(Table24[[#This Row],[Salary]],'Tax rates'!A$2:C$8, 2) + VLOOKUP(Table24[[#This Row],[Salary]],'Tax rates'!A$2:C$8, 3) * (Table24[[#This Row],[Salary]] - VLOOKUP(Table24[[#This Row],[Salary]],'Tax rates'!A$2:C$8,1))</f>
        <v>10587.1</v>
      </c>
      <c r="K198" s="35">
        <f>Table24[[#This Row],[Salary]]-Table24[[#This Row],[Taxes]]</f>
        <v>55992.9</v>
      </c>
    </row>
    <row r="199" spans="1:11" x14ac:dyDescent="0.25">
      <c r="A199" s="5" t="s">
        <v>153</v>
      </c>
      <c r="B199" s="5" t="s">
        <v>6</v>
      </c>
      <c r="C199" s="5" t="s">
        <v>106</v>
      </c>
      <c r="D199" s="5" t="s">
        <v>3</v>
      </c>
      <c r="E199" s="6">
        <v>38142</v>
      </c>
      <c r="F199" s="5" t="s">
        <v>4</v>
      </c>
      <c r="G199" s="10">
        <v>49350</v>
      </c>
      <c r="H199" s="7">
        <v>4</v>
      </c>
      <c r="I199" s="12">
        <f>IF(OR(Table24[[#This Row],[Rating]]=4,Table24[[#This Row],[Rating]]=5), 0.05*Table24[[#This Row],[Salary]],0)</f>
        <v>2467.5</v>
      </c>
      <c r="J199" s="14">
        <f>VLOOKUP(Table24[[#This Row],[Salary]],'Tax rates'!A$2:C$8, 2) + VLOOKUP(Table24[[#This Row],[Salary]],'Tax rates'!A$2:C$8, 3) * (Table24[[#This Row],[Salary]] - VLOOKUP(Table24[[#This Row],[Salary]],'Tax rates'!A$2:C$8,1))</f>
        <v>6796.5</v>
      </c>
      <c r="K199" s="35">
        <f>Table24[[#This Row],[Salary]]-Table24[[#This Row],[Taxes]]</f>
        <v>42553.5</v>
      </c>
    </row>
    <row r="200" spans="1:11" x14ac:dyDescent="0.25">
      <c r="A200" s="5" t="s">
        <v>105</v>
      </c>
      <c r="B200" s="5" t="s">
        <v>6</v>
      </c>
      <c r="C200" s="5" t="s">
        <v>106</v>
      </c>
      <c r="D200" s="5" t="s">
        <v>24</v>
      </c>
      <c r="E200" s="6">
        <v>40779</v>
      </c>
      <c r="F200" s="5" t="s">
        <v>25</v>
      </c>
      <c r="G200" s="10">
        <v>30445</v>
      </c>
      <c r="H200" s="7">
        <v>1</v>
      </c>
      <c r="I200" s="12">
        <f>IF(OR(Table24[[#This Row],[Rating]]=4,Table24[[#This Row],[Rating]]=5), 0.05*Table24[[#This Row],[Salary]],0)</f>
        <v>0</v>
      </c>
      <c r="J200" s="14">
        <f>VLOOKUP(Table24[[#This Row],[Salary]],'Tax rates'!A$2:C$8, 2) + VLOOKUP(Table24[[#This Row],[Salary]],'Tax rates'!A$2:C$8, 3) * (Table24[[#This Row],[Salary]] - VLOOKUP(Table24[[#This Row],[Salary]],'Tax rates'!A$2:C$8,1))</f>
        <v>3462.9</v>
      </c>
      <c r="K200" s="35">
        <f>Table24[[#This Row],[Salary]]-Table24[[#This Row],[Taxes]]</f>
        <v>26982.1</v>
      </c>
    </row>
    <row r="201" spans="1:11" x14ac:dyDescent="0.25">
      <c r="A201" s="5" t="s">
        <v>685</v>
      </c>
      <c r="B201" s="5" t="s">
        <v>6</v>
      </c>
      <c r="C201" s="5" t="s">
        <v>106</v>
      </c>
      <c r="D201" s="5" t="s">
        <v>24</v>
      </c>
      <c r="E201" s="6">
        <v>37782</v>
      </c>
      <c r="F201" s="5" t="s">
        <v>9</v>
      </c>
      <c r="G201" s="10">
        <v>17735</v>
      </c>
      <c r="H201" s="7">
        <v>3</v>
      </c>
      <c r="I201" s="12">
        <f>IF(OR(Table24[[#This Row],[Rating]]=4,Table24[[#This Row],[Rating]]=5), 0.05*Table24[[#This Row],[Salary]],0)</f>
        <v>0</v>
      </c>
      <c r="J201" s="14">
        <f>VLOOKUP(Table24[[#This Row],[Salary]],'Tax rates'!A$2:C$8, 2) + VLOOKUP(Table24[[#This Row],[Salary]],'Tax rates'!A$2:C$8, 3) * (Table24[[#This Row],[Salary]] - VLOOKUP(Table24[[#This Row],[Salary]],'Tax rates'!A$2:C$8,1))</f>
        <v>1937.6999999999998</v>
      </c>
      <c r="K201" s="35">
        <f>Table24[[#This Row],[Salary]]-Table24[[#This Row],[Taxes]]</f>
        <v>15797.3</v>
      </c>
    </row>
    <row r="202" spans="1:11" x14ac:dyDescent="0.25">
      <c r="A202" s="5" t="s">
        <v>133</v>
      </c>
      <c r="B202" s="5" t="s">
        <v>1</v>
      </c>
      <c r="C202" s="5" t="s">
        <v>30</v>
      </c>
      <c r="D202" s="5" t="s">
        <v>16</v>
      </c>
      <c r="E202" s="6">
        <v>36787</v>
      </c>
      <c r="F202" s="7"/>
      <c r="G202" s="10">
        <v>89640</v>
      </c>
      <c r="H202" s="7">
        <v>4</v>
      </c>
      <c r="I202" s="12">
        <f>IF(OR(Table24[[#This Row],[Rating]]=4,Table24[[#This Row],[Rating]]=5), 0.05*Table24[[#This Row],[Salary]],0)</f>
        <v>4482</v>
      </c>
      <c r="J202" s="14">
        <f>VLOOKUP(Table24[[#This Row],[Salary]],'Tax rates'!A$2:C$8, 2) + VLOOKUP(Table24[[#This Row],[Salary]],'Tax rates'!A$2:C$8, 3) * (Table24[[#This Row],[Salary]] - VLOOKUP(Table24[[#This Row],[Salary]],'Tax rates'!A$2:C$8,1))</f>
        <v>15803.1</v>
      </c>
      <c r="K202" s="35">
        <f>Table24[[#This Row],[Salary]]-Table24[[#This Row],[Taxes]]</f>
        <v>73836.899999999994</v>
      </c>
    </row>
    <row r="203" spans="1:11" x14ac:dyDescent="0.25">
      <c r="A203" s="5" t="s">
        <v>349</v>
      </c>
      <c r="B203" s="5" t="s">
        <v>1</v>
      </c>
      <c r="C203" s="5" t="s">
        <v>30</v>
      </c>
      <c r="D203" s="5" t="s">
        <v>16</v>
      </c>
      <c r="E203" s="6">
        <v>39772</v>
      </c>
      <c r="F203" s="7"/>
      <c r="G203" s="10">
        <v>85980</v>
      </c>
      <c r="H203" s="7">
        <v>2</v>
      </c>
      <c r="I203" s="12">
        <f>IF(OR(Table24[[#This Row],[Rating]]=4,Table24[[#This Row],[Rating]]=5), 0.05*Table24[[#This Row],[Salary]],0)</f>
        <v>0</v>
      </c>
      <c r="J203" s="14">
        <f>VLOOKUP(Table24[[#This Row],[Salary]],'Tax rates'!A$2:C$8, 2) + VLOOKUP(Table24[[#This Row],[Salary]],'Tax rates'!A$2:C$8, 3) * (Table24[[#This Row],[Salary]] - VLOOKUP(Table24[[#This Row],[Salary]],'Tax rates'!A$2:C$8,1))</f>
        <v>14924.7</v>
      </c>
      <c r="K203" s="35">
        <f>Table24[[#This Row],[Salary]]-Table24[[#This Row],[Taxes]]</f>
        <v>71055.3</v>
      </c>
    </row>
    <row r="204" spans="1:11" x14ac:dyDescent="0.25">
      <c r="A204" s="5" t="s">
        <v>163</v>
      </c>
      <c r="B204" s="5" t="s">
        <v>1</v>
      </c>
      <c r="C204" s="5" t="s">
        <v>30</v>
      </c>
      <c r="D204" s="5" t="s">
        <v>16</v>
      </c>
      <c r="E204" s="6">
        <v>40259</v>
      </c>
      <c r="F204" s="7"/>
      <c r="G204" s="10">
        <v>73190</v>
      </c>
      <c r="H204" s="7">
        <v>1</v>
      </c>
      <c r="I204" s="12">
        <f>IF(OR(Table24[[#This Row],[Rating]]=4,Table24[[#This Row],[Rating]]=5), 0.05*Table24[[#This Row],[Salary]],0)</f>
        <v>0</v>
      </c>
      <c r="J204" s="14">
        <f>VLOOKUP(Table24[[#This Row],[Salary]],'Tax rates'!A$2:C$8, 2) + VLOOKUP(Table24[[#This Row],[Salary]],'Tax rates'!A$2:C$8, 3) * (Table24[[#This Row],[Salary]] - VLOOKUP(Table24[[#This Row],[Salary]],'Tax rates'!A$2:C$8,1))</f>
        <v>12041.3</v>
      </c>
      <c r="K204" s="35">
        <f>Table24[[#This Row],[Salary]]-Table24[[#This Row],[Taxes]]</f>
        <v>61148.7</v>
      </c>
    </row>
    <row r="205" spans="1:11" x14ac:dyDescent="0.25">
      <c r="A205" s="5" t="s">
        <v>515</v>
      </c>
      <c r="B205" s="5" t="s">
        <v>1</v>
      </c>
      <c r="C205" s="5" t="s">
        <v>30</v>
      </c>
      <c r="D205" s="5" t="s">
        <v>3</v>
      </c>
      <c r="E205" s="6">
        <v>40282</v>
      </c>
      <c r="F205" s="5" t="s">
        <v>9</v>
      </c>
      <c r="G205" s="10">
        <v>72640</v>
      </c>
      <c r="H205" s="7">
        <v>3</v>
      </c>
      <c r="I205" s="12">
        <f>IF(OR(Table24[[#This Row],[Rating]]=4,Table24[[#This Row],[Rating]]=5), 0.05*Table24[[#This Row],[Salary]],0)</f>
        <v>0</v>
      </c>
      <c r="J205" s="14">
        <f>VLOOKUP(Table24[[#This Row],[Salary]],'Tax rates'!A$2:C$8, 2) + VLOOKUP(Table24[[#This Row],[Salary]],'Tax rates'!A$2:C$8, 3) * (Table24[[#This Row],[Salary]] - VLOOKUP(Table24[[#This Row],[Salary]],'Tax rates'!A$2:C$8,1))</f>
        <v>11920.3</v>
      </c>
      <c r="K205" s="35">
        <f>Table24[[#This Row],[Salary]]-Table24[[#This Row],[Taxes]]</f>
        <v>60719.7</v>
      </c>
    </row>
    <row r="206" spans="1:11" x14ac:dyDescent="0.25">
      <c r="A206" s="5" t="s">
        <v>769</v>
      </c>
      <c r="B206" s="5" t="s">
        <v>1</v>
      </c>
      <c r="C206" s="5" t="s">
        <v>30</v>
      </c>
      <c r="D206" s="5" t="s">
        <v>3</v>
      </c>
      <c r="E206" s="6">
        <v>40878</v>
      </c>
      <c r="F206" s="5" t="s">
        <v>9</v>
      </c>
      <c r="G206" s="10">
        <v>71680</v>
      </c>
      <c r="H206" s="7">
        <v>4</v>
      </c>
      <c r="I206" s="12">
        <f>IF(OR(Table24[[#This Row],[Rating]]=4,Table24[[#This Row],[Rating]]=5), 0.05*Table24[[#This Row],[Salary]],0)</f>
        <v>3584</v>
      </c>
      <c r="J206" s="14">
        <f>VLOOKUP(Table24[[#This Row],[Salary]],'Tax rates'!A$2:C$8, 2) + VLOOKUP(Table24[[#This Row],[Salary]],'Tax rates'!A$2:C$8, 3) * (Table24[[#This Row],[Salary]] - VLOOKUP(Table24[[#This Row],[Salary]],'Tax rates'!A$2:C$8,1))</f>
        <v>11709.1</v>
      </c>
      <c r="K206" s="35">
        <f>Table24[[#This Row],[Salary]]-Table24[[#This Row],[Taxes]]</f>
        <v>59970.9</v>
      </c>
    </row>
    <row r="207" spans="1:11" x14ac:dyDescent="0.25">
      <c r="A207" s="5" t="s">
        <v>332</v>
      </c>
      <c r="B207" s="5" t="s">
        <v>1</v>
      </c>
      <c r="C207" s="5" t="s">
        <v>30</v>
      </c>
      <c r="D207" s="5" t="s">
        <v>3</v>
      </c>
      <c r="E207" s="6">
        <v>39864</v>
      </c>
      <c r="F207" s="5" t="s">
        <v>4</v>
      </c>
      <c r="G207" s="10">
        <v>64320</v>
      </c>
      <c r="H207" s="7">
        <v>5</v>
      </c>
      <c r="I207" s="12">
        <f>IF(OR(Table24[[#This Row],[Rating]]=4,Table24[[#This Row],[Rating]]=5), 0.05*Table24[[#This Row],[Salary]],0)</f>
        <v>3216</v>
      </c>
      <c r="J207" s="14">
        <f>VLOOKUP(Table24[[#This Row],[Salary]],'Tax rates'!A$2:C$8, 2) + VLOOKUP(Table24[[#This Row],[Salary]],'Tax rates'!A$2:C$8, 3) * (Table24[[#This Row],[Salary]] - VLOOKUP(Table24[[#This Row],[Salary]],'Tax rates'!A$2:C$8,1))</f>
        <v>10089.9</v>
      </c>
      <c r="K207" s="35">
        <f>Table24[[#This Row],[Salary]]-Table24[[#This Row],[Taxes]]</f>
        <v>54230.1</v>
      </c>
    </row>
    <row r="208" spans="1:11" x14ac:dyDescent="0.25">
      <c r="A208" s="5" t="s">
        <v>128</v>
      </c>
      <c r="B208" s="5" t="s">
        <v>1</v>
      </c>
      <c r="C208" s="5" t="s">
        <v>30</v>
      </c>
      <c r="D208" s="5" t="s">
        <v>3</v>
      </c>
      <c r="E208" s="6">
        <v>39262</v>
      </c>
      <c r="F208" s="5" t="s">
        <v>9</v>
      </c>
      <c r="G208" s="10">
        <v>63440</v>
      </c>
      <c r="H208" s="7">
        <v>3</v>
      </c>
      <c r="I208" s="12">
        <f>IF(OR(Table24[[#This Row],[Rating]]=4,Table24[[#This Row],[Rating]]=5), 0.05*Table24[[#This Row],[Salary]],0)</f>
        <v>0</v>
      </c>
      <c r="J208" s="14">
        <f>VLOOKUP(Table24[[#This Row],[Salary]],'Tax rates'!A$2:C$8, 2) + VLOOKUP(Table24[[#This Row],[Salary]],'Tax rates'!A$2:C$8, 3) * (Table24[[#This Row],[Salary]] - VLOOKUP(Table24[[#This Row],[Salary]],'Tax rates'!A$2:C$8,1))</f>
        <v>9896.2999999999993</v>
      </c>
      <c r="K208" s="35">
        <f>Table24[[#This Row],[Salary]]-Table24[[#This Row],[Taxes]]</f>
        <v>53543.7</v>
      </c>
    </row>
    <row r="209" spans="1:11" x14ac:dyDescent="0.25">
      <c r="A209" s="5" t="s">
        <v>256</v>
      </c>
      <c r="B209" s="5" t="s">
        <v>1</v>
      </c>
      <c r="C209" s="5" t="s">
        <v>30</v>
      </c>
      <c r="D209" s="5" t="s">
        <v>3</v>
      </c>
      <c r="E209" s="6">
        <v>38815</v>
      </c>
      <c r="F209" s="5" t="s">
        <v>4</v>
      </c>
      <c r="G209" s="10">
        <v>63270</v>
      </c>
      <c r="H209" s="7">
        <v>1</v>
      </c>
      <c r="I209" s="12">
        <f>IF(OR(Table24[[#This Row],[Rating]]=4,Table24[[#This Row],[Rating]]=5), 0.05*Table24[[#This Row],[Salary]],0)</f>
        <v>0</v>
      </c>
      <c r="J209" s="14">
        <f>VLOOKUP(Table24[[#This Row],[Salary]],'Tax rates'!A$2:C$8, 2) + VLOOKUP(Table24[[#This Row],[Salary]],'Tax rates'!A$2:C$8, 3) * (Table24[[#This Row],[Salary]] - VLOOKUP(Table24[[#This Row],[Salary]],'Tax rates'!A$2:C$8,1))</f>
        <v>9858.9</v>
      </c>
      <c r="K209" s="35">
        <f>Table24[[#This Row],[Salary]]-Table24[[#This Row],[Taxes]]</f>
        <v>53411.1</v>
      </c>
    </row>
    <row r="210" spans="1:11" x14ac:dyDescent="0.25">
      <c r="A210" s="5" t="s">
        <v>38</v>
      </c>
      <c r="B210" s="5" t="s">
        <v>1</v>
      </c>
      <c r="C210" s="5" t="s">
        <v>30</v>
      </c>
      <c r="D210" s="5" t="s">
        <v>3</v>
      </c>
      <c r="E210" s="6">
        <v>40477</v>
      </c>
      <c r="F210" s="5" t="s">
        <v>21</v>
      </c>
      <c r="G210" s="10">
        <v>63206</v>
      </c>
      <c r="H210" s="7">
        <v>1</v>
      </c>
      <c r="I210" s="12">
        <f>IF(OR(Table24[[#This Row],[Rating]]=4,Table24[[#This Row],[Rating]]=5), 0.05*Table24[[#This Row],[Salary]],0)</f>
        <v>0</v>
      </c>
      <c r="J210" s="14">
        <f>VLOOKUP(Table24[[#This Row],[Salary]],'Tax rates'!A$2:C$8, 2) + VLOOKUP(Table24[[#This Row],[Salary]],'Tax rates'!A$2:C$8, 3) * (Table24[[#This Row],[Salary]] - VLOOKUP(Table24[[#This Row],[Salary]],'Tax rates'!A$2:C$8,1))</f>
        <v>9844.82</v>
      </c>
      <c r="K210" s="35">
        <f>Table24[[#This Row],[Salary]]-Table24[[#This Row],[Taxes]]</f>
        <v>53361.18</v>
      </c>
    </row>
    <row r="211" spans="1:11" x14ac:dyDescent="0.25">
      <c r="A211" s="5" t="s">
        <v>503</v>
      </c>
      <c r="B211" s="5" t="s">
        <v>1</v>
      </c>
      <c r="C211" s="5" t="s">
        <v>30</v>
      </c>
      <c r="D211" s="5" t="s">
        <v>16</v>
      </c>
      <c r="E211" s="6">
        <v>37526</v>
      </c>
      <c r="F211" s="7"/>
      <c r="G211" s="10">
        <v>61580</v>
      </c>
      <c r="H211" s="7">
        <v>3</v>
      </c>
      <c r="I211" s="12">
        <f>IF(OR(Table24[[#This Row],[Rating]]=4,Table24[[#This Row],[Rating]]=5), 0.05*Table24[[#This Row],[Salary]],0)</f>
        <v>0</v>
      </c>
      <c r="J211" s="14">
        <f>VLOOKUP(Table24[[#This Row],[Salary]],'Tax rates'!A$2:C$8, 2) + VLOOKUP(Table24[[#This Row],[Salary]],'Tax rates'!A$2:C$8, 3) * (Table24[[#This Row],[Salary]] - VLOOKUP(Table24[[#This Row],[Salary]],'Tax rates'!A$2:C$8,1))</f>
        <v>9487.1</v>
      </c>
      <c r="K211" s="35">
        <f>Table24[[#This Row],[Salary]]-Table24[[#This Row],[Taxes]]</f>
        <v>52092.9</v>
      </c>
    </row>
    <row r="212" spans="1:11" x14ac:dyDescent="0.25">
      <c r="A212" s="5" t="s">
        <v>373</v>
      </c>
      <c r="B212" s="5" t="s">
        <v>1</v>
      </c>
      <c r="C212" s="5" t="s">
        <v>30</v>
      </c>
      <c r="D212" s="5" t="s">
        <v>3</v>
      </c>
      <c r="E212" s="6">
        <v>35958</v>
      </c>
      <c r="F212" s="5" t="s">
        <v>11</v>
      </c>
      <c r="G212" s="10">
        <v>61420</v>
      </c>
      <c r="H212" s="7">
        <v>4</v>
      </c>
      <c r="I212" s="12">
        <f>IF(OR(Table24[[#This Row],[Rating]]=4,Table24[[#This Row],[Rating]]=5), 0.05*Table24[[#This Row],[Salary]],0)</f>
        <v>3071</v>
      </c>
      <c r="J212" s="14">
        <f>VLOOKUP(Table24[[#This Row],[Salary]],'Tax rates'!A$2:C$8, 2) + VLOOKUP(Table24[[#This Row],[Salary]],'Tax rates'!A$2:C$8, 3) * (Table24[[#This Row],[Salary]] - VLOOKUP(Table24[[#This Row],[Salary]],'Tax rates'!A$2:C$8,1))</f>
        <v>9451.9</v>
      </c>
      <c r="K212" s="35">
        <f>Table24[[#This Row],[Salary]]-Table24[[#This Row],[Taxes]]</f>
        <v>51968.1</v>
      </c>
    </row>
    <row r="213" spans="1:11" x14ac:dyDescent="0.25">
      <c r="A213" s="5" t="s">
        <v>501</v>
      </c>
      <c r="B213" s="5" t="s">
        <v>1</v>
      </c>
      <c r="C213" s="5" t="s">
        <v>30</v>
      </c>
      <c r="D213" s="5" t="s">
        <v>16</v>
      </c>
      <c r="E213" s="6">
        <v>40414</v>
      </c>
      <c r="F213" s="7"/>
      <c r="G213" s="10">
        <v>60070</v>
      </c>
      <c r="H213" s="7">
        <v>2</v>
      </c>
      <c r="I213" s="12">
        <f>IF(OR(Table24[[#This Row],[Rating]]=4,Table24[[#This Row],[Rating]]=5), 0.05*Table24[[#This Row],[Salary]],0)</f>
        <v>0</v>
      </c>
      <c r="J213" s="14">
        <f>VLOOKUP(Table24[[#This Row],[Salary]],'Tax rates'!A$2:C$8, 2) + VLOOKUP(Table24[[#This Row],[Salary]],'Tax rates'!A$2:C$8, 3) * (Table24[[#This Row],[Salary]] - VLOOKUP(Table24[[#This Row],[Salary]],'Tax rates'!A$2:C$8,1))</f>
        <v>9154.9</v>
      </c>
      <c r="K213" s="35">
        <f>Table24[[#This Row],[Salary]]-Table24[[#This Row],[Taxes]]</f>
        <v>50915.1</v>
      </c>
    </row>
    <row r="214" spans="1:11" x14ac:dyDescent="0.25">
      <c r="A214" s="5" t="s">
        <v>202</v>
      </c>
      <c r="B214" s="5" t="s">
        <v>1</v>
      </c>
      <c r="C214" s="5" t="s">
        <v>30</v>
      </c>
      <c r="D214" s="5" t="s">
        <v>3</v>
      </c>
      <c r="E214" s="6">
        <v>40438</v>
      </c>
      <c r="F214" s="5" t="s">
        <v>21</v>
      </c>
      <c r="G214" s="10">
        <v>59150</v>
      </c>
      <c r="H214" s="7">
        <v>4</v>
      </c>
      <c r="I214" s="12">
        <f>IF(OR(Table24[[#This Row],[Rating]]=4,Table24[[#This Row],[Rating]]=5), 0.05*Table24[[#This Row],[Salary]],0)</f>
        <v>2957.5</v>
      </c>
      <c r="J214" s="14">
        <f>VLOOKUP(Table24[[#This Row],[Salary]],'Tax rates'!A$2:C$8, 2) + VLOOKUP(Table24[[#This Row],[Salary]],'Tax rates'!A$2:C$8, 3) * (Table24[[#This Row],[Salary]] - VLOOKUP(Table24[[#This Row],[Salary]],'Tax rates'!A$2:C$8,1))</f>
        <v>8952.5</v>
      </c>
      <c r="K214" s="35">
        <f>Table24[[#This Row],[Salary]]-Table24[[#This Row],[Taxes]]</f>
        <v>50197.5</v>
      </c>
    </row>
    <row r="215" spans="1:11" x14ac:dyDescent="0.25">
      <c r="A215" s="5" t="s">
        <v>226</v>
      </c>
      <c r="B215" s="5" t="s">
        <v>1</v>
      </c>
      <c r="C215" s="5" t="s">
        <v>30</v>
      </c>
      <c r="D215" s="5" t="s">
        <v>3</v>
      </c>
      <c r="E215" s="6">
        <v>39703</v>
      </c>
      <c r="F215" s="5" t="s">
        <v>21</v>
      </c>
      <c r="G215" s="10">
        <v>46110</v>
      </c>
      <c r="H215" s="7">
        <v>4</v>
      </c>
      <c r="I215" s="12">
        <f>IF(OR(Table24[[#This Row],[Rating]]=4,Table24[[#This Row],[Rating]]=5), 0.05*Table24[[#This Row],[Salary]],0)</f>
        <v>2305.5</v>
      </c>
      <c r="J215" s="14">
        <f>VLOOKUP(Table24[[#This Row],[Salary]],'Tax rates'!A$2:C$8, 2) + VLOOKUP(Table24[[#This Row],[Salary]],'Tax rates'!A$2:C$8, 3) * (Table24[[#This Row],[Salary]] - VLOOKUP(Table24[[#This Row],[Salary]],'Tax rates'!A$2:C$8,1))</f>
        <v>6083.7</v>
      </c>
      <c r="K215" s="35">
        <f>Table24[[#This Row],[Salary]]-Table24[[#This Row],[Taxes]]</f>
        <v>40026.300000000003</v>
      </c>
    </row>
    <row r="216" spans="1:11" x14ac:dyDescent="0.25">
      <c r="A216" s="5" t="s">
        <v>151</v>
      </c>
      <c r="B216" s="5" t="s">
        <v>1</v>
      </c>
      <c r="C216" s="5" t="s">
        <v>30</v>
      </c>
      <c r="D216" s="5" t="s">
        <v>24</v>
      </c>
      <c r="E216" s="6">
        <v>36084</v>
      </c>
      <c r="F216" s="5" t="s">
        <v>25</v>
      </c>
      <c r="G216" s="10">
        <v>45750</v>
      </c>
      <c r="H216" s="7">
        <v>5</v>
      </c>
      <c r="I216" s="12">
        <f>IF(OR(Table24[[#This Row],[Rating]]=4,Table24[[#This Row],[Rating]]=5), 0.05*Table24[[#This Row],[Salary]],0)</f>
        <v>2287.5</v>
      </c>
      <c r="J216" s="14">
        <f>VLOOKUP(Table24[[#This Row],[Salary]],'Tax rates'!A$2:C$8, 2) + VLOOKUP(Table24[[#This Row],[Salary]],'Tax rates'!A$2:C$8, 3) * (Table24[[#This Row],[Salary]] - VLOOKUP(Table24[[#This Row],[Salary]],'Tax rates'!A$2:C$8,1))</f>
        <v>6004.5</v>
      </c>
      <c r="K216" s="35">
        <f>Table24[[#This Row],[Salary]]-Table24[[#This Row],[Taxes]]</f>
        <v>39745.5</v>
      </c>
    </row>
    <row r="217" spans="1:11" x14ac:dyDescent="0.25">
      <c r="A217" s="5" t="s">
        <v>378</v>
      </c>
      <c r="B217" s="5" t="s">
        <v>1</v>
      </c>
      <c r="C217" s="5" t="s">
        <v>30</v>
      </c>
      <c r="D217" s="5" t="s">
        <v>3</v>
      </c>
      <c r="E217" s="6">
        <v>37568</v>
      </c>
      <c r="F217" s="5" t="s">
        <v>25</v>
      </c>
      <c r="G217" s="10">
        <v>45100</v>
      </c>
      <c r="H217" s="7">
        <v>2</v>
      </c>
      <c r="I217" s="12">
        <f>IF(OR(Table24[[#This Row],[Rating]]=4,Table24[[#This Row],[Rating]]=5), 0.05*Table24[[#This Row],[Salary]],0)</f>
        <v>0</v>
      </c>
      <c r="J217" s="14">
        <f>VLOOKUP(Table24[[#This Row],[Salary]],'Tax rates'!A$2:C$8, 2) + VLOOKUP(Table24[[#This Row],[Salary]],'Tax rates'!A$2:C$8, 3) * (Table24[[#This Row],[Salary]] - VLOOKUP(Table24[[#This Row],[Salary]],'Tax rates'!A$2:C$8,1))</f>
        <v>5861.5</v>
      </c>
      <c r="K217" s="35">
        <f>Table24[[#This Row],[Salary]]-Table24[[#This Row],[Taxes]]</f>
        <v>39238.5</v>
      </c>
    </row>
    <row r="218" spans="1:11" x14ac:dyDescent="0.25">
      <c r="A218" s="5" t="s">
        <v>746</v>
      </c>
      <c r="B218" s="5" t="s">
        <v>1</v>
      </c>
      <c r="C218" s="5" t="s">
        <v>30</v>
      </c>
      <c r="D218" s="5" t="s">
        <v>3</v>
      </c>
      <c r="E218" s="6">
        <v>39446</v>
      </c>
      <c r="F218" s="5" t="s">
        <v>4</v>
      </c>
      <c r="G218" s="10">
        <v>44650</v>
      </c>
      <c r="H218" s="7">
        <v>1</v>
      </c>
      <c r="I218" s="12">
        <f>IF(OR(Table24[[#This Row],[Rating]]=4,Table24[[#This Row],[Rating]]=5), 0.05*Table24[[#This Row],[Salary]],0)</f>
        <v>0</v>
      </c>
      <c r="J218" s="14">
        <f>VLOOKUP(Table24[[#This Row],[Salary]],'Tax rates'!A$2:C$8, 2) + VLOOKUP(Table24[[#This Row],[Salary]],'Tax rates'!A$2:C$8, 3) * (Table24[[#This Row],[Salary]] - VLOOKUP(Table24[[#This Row],[Salary]],'Tax rates'!A$2:C$8,1))</f>
        <v>5762.5</v>
      </c>
      <c r="K218" s="35">
        <f>Table24[[#This Row],[Salary]]-Table24[[#This Row],[Taxes]]</f>
        <v>38887.5</v>
      </c>
    </row>
    <row r="219" spans="1:11" x14ac:dyDescent="0.25">
      <c r="A219" s="5" t="s">
        <v>648</v>
      </c>
      <c r="B219" s="5" t="s">
        <v>1</v>
      </c>
      <c r="C219" s="5" t="s">
        <v>30</v>
      </c>
      <c r="D219" s="5" t="s">
        <v>3</v>
      </c>
      <c r="E219" s="6">
        <v>39362</v>
      </c>
      <c r="F219" s="5" t="s">
        <v>25</v>
      </c>
      <c r="G219" s="10">
        <v>42020</v>
      </c>
      <c r="H219" s="7">
        <v>5</v>
      </c>
      <c r="I219" s="12">
        <f>IF(OR(Table24[[#This Row],[Rating]]=4,Table24[[#This Row],[Rating]]=5), 0.05*Table24[[#This Row],[Salary]],0)</f>
        <v>2101</v>
      </c>
      <c r="J219" s="14">
        <f>VLOOKUP(Table24[[#This Row],[Salary]],'Tax rates'!A$2:C$8, 2) + VLOOKUP(Table24[[#This Row],[Salary]],'Tax rates'!A$2:C$8, 3) * (Table24[[#This Row],[Salary]] - VLOOKUP(Table24[[#This Row],[Salary]],'Tax rates'!A$2:C$8,1))</f>
        <v>5183.8999999999996</v>
      </c>
      <c r="K219" s="35">
        <f>Table24[[#This Row],[Salary]]-Table24[[#This Row],[Taxes]]</f>
        <v>36836.1</v>
      </c>
    </row>
    <row r="220" spans="1:11" x14ac:dyDescent="0.25">
      <c r="A220" s="5" t="s">
        <v>422</v>
      </c>
      <c r="B220" s="5" t="s">
        <v>1</v>
      </c>
      <c r="C220" s="5" t="s">
        <v>30</v>
      </c>
      <c r="D220" s="5" t="s">
        <v>32</v>
      </c>
      <c r="E220" s="6">
        <v>36340</v>
      </c>
      <c r="F220" s="7"/>
      <c r="G220" s="10">
        <v>37016</v>
      </c>
      <c r="H220" s="7">
        <v>4</v>
      </c>
      <c r="I220" s="12">
        <f>IF(OR(Table24[[#This Row],[Rating]]=4,Table24[[#This Row],[Rating]]=5), 0.05*Table24[[#This Row],[Salary]],0)</f>
        <v>1850.8000000000002</v>
      </c>
      <c r="J220" s="14">
        <f>VLOOKUP(Table24[[#This Row],[Salary]],'Tax rates'!A$2:C$8, 2) + VLOOKUP(Table24[[#This Row],[Salary]],'Tax rates'!A$2:C$8, 3) * (Table24[[#This Row],[Salary]] - VLOOKUP(Table24[[#This Row],[Salary]],'Tax rates'!A$2:C$8,1))</f>
        <v>4251.42</v>
      </c>
      <c r="K220" s="35">
        <f>Table24[[#This Row],[Salary]]-Table24[[#This Row],[Taxes]]</f>
        <v>32764.58</v>
      </c>
    </row>
    <row r="221" spans="1:11" x14ac:dyDescent="0.25">
      <c r="A221" s="5" t="s">
        <v>316</v>
      </c>
      <c r="B221" s="5" t="s">
        <v>1</v>
      </c>
      <c r="C221" s="5" t="s">
        <v>30</v>
      </c>
      <c r="D221" s="5" t="s">
        <v>3</v>
      </c>
      <c r="E221" s="6">
        <v>38903</v>
      </c>
      <c r="F221" s="5" t="s">
        <v>11</v>
      </c>
      <c r="G221" s="10">
        <v>34060</v>
      </c>
      <c r="H221" s="7">
        <v>2</v>
      </c>
      <c r="I221" s="12">
        <f>IF(OR(Table24[[#This Row],[Rating]]=4,Table24[[#This Row],[Rating]]=5), 0.05*Table24[[#This Row],[Salary]],0)</f>
        <v>0</v>
      </c>
      <c r="J221" s="14">
        <f>VLOOKUP(Table24[[#This Row],[Salary]],'Tax rates'!A$2:C$8, 2) + VLOOKUP(Table24[[#This Row],[Salary]],'Tax rates'!A$2:C$8, 3) * (Table24[[#This Row],[Salary]] - VLOOKUP(Table24[[#This Row],[Salary]],'Tax rates'!A$2:C$8,1))</f>
        <v>3896.7</v>
      </c>
      <c r="K221" s="35">
        <f>Table24[[#This Row],[Salary]]-Table24[[#This Row],[Taxes]]</f>
        <v>30163.3</v>
      </c>
    </row>
    <row r="222" spans="1:11" x14ac:dyDescent="0.25">
      <c r="A222" s="5" t="s">
        <v>638</v>
      </c>
      <c r="B222" s="5" t="s">
        <v>1</v>
      </c>
      <c r="C222" s="5" t="s">
        <v>30</v>
      </c>
      <c r="D222" s="5" t="s">
        <v>24</v>
      </c>
      <c r="E222" s="6">
        <v>38173</v>
      </c>
      <c r="F222" s="5" t="s">
        <v>11</v>
      </c>
      <c r="G222" s="10">
        <v>32900</v>
      </c>
      <c r="H222" s="7">
        <v>2</v>
      </c>
      <c r="I222" s="12">
        <f>IF(OR(Table24[[#This Row],[Rating]]=4,Table24[[#This Row],[Rating]]=5), 0.05*Table24[[#This Row],[Salary]],0)</f>
        <v>0</v>
      </c>
      <c r="J222" s="14">
        <f>VLOOKUP(Table24[[#This Row],[Salary]],'Tax rates'!A$2:C$8, 2) + VLOOKUP(Table24[[#This Row],[Salary]],'Tax rates'!A$2:C$8, 3) * (Table24[[#This Row],[Salary]] - VLOOKUP(Table24[[#This Row],[Salary]],'Tax rates'!A$2:C$8,1))</f>
        <v>3757.5</v>
      </c>
      <c r="K222" s="35">
        <f>Table24[[#This Row],[Salary]]-Table24[[#This Row],[Taxes]]</f>
        <v>29142.5</v>
      </c>
    </row>
    <row r="223" spans="1:11" x14ac:dyDescent="0.25">
      <c r="A223" s="5" t="s">
        <v>251</v>
      </c>
      <c r="B223" s="5" t="s">
        <v>1</v>
      </c>
      <c r="C223" s="5" t="s">
        <v>30</v>
      </c>
      <c r="D223" s="5" t="s">
        <v>3</v>
      </c>
      <c r="E223" s="6">
        <v>38980</v>
      </c>
      <c r="F223" s="5" t="s">
        <v>25</v>
      </c>
      <c r="G223" s="10">
        <v>24340</v>
      </c>
      <c r="H223" s="7">
        <v>4</v>
      </c>
      <c r="I223" s="12">
        <f>IF(OR(Table24[[#This Row],[Rating]]=4,Table24[[#This Row],[Rating]]=5), 0.05*Table24[[#This Row],[Salary]],0)</f>
        <v>1217</v>
      </c>
      <c r="J223" s="14">
        <f>VLOOKUP(Table24[[#This Row],[Salary]],'Tax rates'!A$2:C$8, 2) + VLOOKUP(Table24[[#This Row],[Salary]],'Tax rates'!A$2:C$8, 3) * (Table24[[#This Row],[Salary]] - VLOOKUP(Table24[[#This Row],[Salary]],'Tax rates'!A$2:C$8,1))</f>
        <v>2730.3</v>
      </c>
      <c r="K223" s="35">
        <f>Table24[[#This Row],[Salary]]-Table24[[#This Row],[Taxes]]</f>
        <v>21609.7</v>
      </c>
    </row>
    <row r="224" spans="1:11" x14ac:dyDescent="0.25">
      <c r="A224" s="5" t="s">
        <v>40</v>
      </c>
      <c r="B224" s="5" t="s">
        <v>1</v>
      </c>
      <c r="C224" s="5" t="s">
        <v>30</v>
      </c>
      <c r="D224" s="5" t="s">
        <v>3</v>
      </c>
      <c r="E224" s="6">
        <v>37701</v>
      </c>
      <c r="F224" s="5" t="s">
        <v>25</v>
      </c>
      <c r="G224" s="10">
        <v>23560</v>
      </c>
      <c r="H224" s="7">
        <v>3</v>
      </c>
      <c r="I224" s="12">
        <f>IF(OR(Table24[[#This Row],[Rating]]=4,Table24[[#This Row],[Rating]]=5), 0.05*Table24[[#This Row],[Salary]],0)</f>
        <v>0</v>
      </c>
      <c r="J224" s="14">
        <f>VLOOKUP(Table24[[#This Row],[Salary]],'Tax rates'!A$2:C$8, 2) + VLOOKUP(Table24[[#This Row],[Salary]],'Tax rates'!A$2:C$8, 3) * (Table24[[#This Row],[Salary]] - VLOOKUP(Table24[[#This Row],[Salary]],'Tax rates'!A$2:C$8,1))</f>
        <v>2636.7</v>
      </c>
      <c r="K224" s="35">
        <f>Table24[[#This Row],[Salary]]-Table24[[#This Row],[Taxes]]</f>
        <v>20923.3</v>
      </c>
    </row>
    <row r="225" spans="1:11" x14ac:dyDescent="0.25">
      <c r="A225" s="5" t="s">
        <v>31</v>
      </c>
      <c r="B225" s="5" t="s">
        <v>1</v>
      </c>
      <c r="C225" s="5" t="s">
        <v>30</v>
      </c>
      <c r="D225" s="5" t="s">
        <v>32</v>
      </c>
      <c r="E225" s="6">
        <v>36028</v>
      </c>
      <c r="F225" s="7"/>
      <c r="G225" s="10">
        <v>16688</v>
      </c>
      <c r="H225" s="7">
        <v>3</v>
      </c>
      <c r="I225" s="12">
        <f>IF(OR(Table24[[#This Row],[Rating]]=4,Table24[[#This Row],[Rating]]=5), 0.05*Table24[[#This Row],[Salary]],0)</f>
        <v>0</v>
      </c>
      <c r="J225" s="14">
        <f>VLOOKUP(Table24[[#This Row],[Salary]],'Tax rates'!A$2:C$8, 2) + VLOOKUP(Table24[[#This Row],[Salary]],'Tax rates'!A$2:C$8, 3) * (Table24[[#This Row],[Salary]] - VLOOKUP(Table24[[#This Row],[Salary]],'Tax rates'!A$2:C$8,1))</f>
        <v>1812.06</v>
      </c>
      <c r="K225" s="35">
        <f>Table24[[#This Row],[Salary]]-Table24[[#This Row],[Taxes]]</f>
        <v>14875.94</v>
      </c>
    </row>
    <row r="226" spans="1:11" x14ac:dyDescent="0.25">
      <c r="A226" s="5" t="s">
        <v>425</v>
      </c>
      <c r="B226" s="5" t="s">
        <v>1</v>
      </c>
      <c r="C226" s="5" t="s">
        <v>20</v>
      </c>
      <c r="D226" s="5" t="s">
        <v>3</v>
      </c>
      <c r="E226" s="6">
        <v>41128</v>
      </c>
      <c r="F226" s="5" t="s">
        <v>11</v>
      </c>
      <c r="G226" s="10">
        <v>82760</v>
      </c>
      <c r="H226" s="7">
        <v>4</v>
      </c>
      <c r="I226" s="12">
        <f>IF(OR(Table24[[#This Row],[Rating]]=4,Table24[[#This Row],[Rating]]=5), 0.05*Table24[[#This Row],[Salary]],0)</f>
        <v>4138</v>
      </c>
      <c r="J226" s="14">
        <f>VLOOKUP(Table24[[#This Row],[Salary]],'Tax rates'!A$2:C$8, 2) + VLOOKUP(Table24[[#This Row],[Salary]],'Tax rates'!A$2:C$8, 3) * (Table24[[#This Row],[Salary]] - VLOOKUP(Table24[[#This Row],[Salary]],'Tax rates'!A$2:C$8,1))</f>
        <v>14151.9</v>
      </c>
      <c r="K226" s="35">
        <f>Table24[[#This Row],[Salary]]-Table24[[#This Row],[Taxes]]</f>
        <v>68608.100000000006</v>
      </c>
    </row>
    <row r="227" spans="1:11" x14ac:dyDescent="0.25">
      <c r="A227" s="5" t="s">
        <v>763</v>
      </c>
      <c r="B227" s="5" t="s">
        <v>1</v>
      </c>
      <c r="C227" s="5" t="s">
        <v>20</v>
      </c>
      <c r="D227" s="5" t="s">
        <v>3</v>
      </c>
      <c r="E227" s="6">
        <v>36269</v>
      </c>
      <c r="F227" s="5" t="s">
        <v>11</v>
      </c>
      <c r="G227" s="10">
        <v>61330</v>
      </c>
      <c r="H227" s="7">
        <v>1</v>
      </c>
      <c r="I227" s="12">
        <f>IF(OR(Table24[[#This Row],[Rating]]=4,Table24[[#This Row],[Rating]]=5), 0.05*Table24[[#This Row],[Salary]],0)</f>
        <v>0</v>
      </c>
      <c r="J227" s="14">
        <f>VLOOKUP(Table24[[#This Row],[Salary]],'Tax rates'!A$2:C$8, 2) + VLOOKUP(Table24[[#This Row],[Salary]],'Tax rates'!A$2:C$8, 3) * (Table24[[#This Row],[Salary]] - VLOOKUP(Table24[[#This Row],[Salary]],'Tax rates'!A$2:C$8,1))</f>
        <v>9432.1</v>
      </c>
      <c r="K227" s="35">
        <f>Table24[[#This Row],[Salary]]-Table24[[#This Row],[Taxes]]</f>
        <v>51897.9</v>
      </c>
    </row>
    <row r="228" spans="1:11" x14ac:dyDescent="0.25">
      <c r="A228" s="5" t="s">
        <v>462</v>
      </c>
      <c r="B228" s="5" t="s">
        <v>1</v>
      </c>
      <c r="C228" s="5" t="s">
        <v>20</v>
      </c>
      <c r="D228" s="5" t="s">
        <v>24</v>
      </c>
      <c r="E228" s="6">
        <v>39107</v>
      </c>
      <c r="F228" s="5" t="s">
        <v>9</v>
      </c>
      <c r="G228" s="10">
        <v>18655</v>
      </c>
      <c r="H228" s="7">
        <v>4</v>
      </c>
      <c r="I228" s="12">
        <f>IF(OR(Table24[[#This Row],[Rating]]=4,Table24[[#This Row],[Rating]]=5), 0.05*Table24[[#This Row],[Salary]],0)</f>
        <v>932.75</v>
      </c>
      <c r="J228" s="14">
        <f>VLOOKUP(Table24[[#This Row],[Salary]],'Tax rates'!A$2:C$8, 2) + VLOOKUP(Table24[[#This Row],[Salary]],'Tax rates'!A$2:C$8, 3) * (Table24[[#This Row],[Salary]] - VLOOKUP(Table24[[#This Row],[Salary]],'Tax rates'!A$2:C$8,1))</f>
        <v>2048.1</v>
      </c>
      <c r="K228" s="35">
        <f>Table24[[#This Row],[Salary]]-Table24[[#This Row],[Taxes]]</f>
        <v>16606.900000000001</v>
      </c>
    </row>
    <row r="229" spans="1:11" x14ac:dyDescent="0.25">
      <c r="A229" s="5" t="s">
        <v>522</v>
      </c>
      <c r="B229" s="5" t="s">
        <v>1</v>
      </c>
      <c r="C229" s="5" t="s">
        <v>20</v>
      </c>
      <c r="D229" s="5" t="s">
        <v>32</v>
      </c>
      <c r="E229" s="6">
        <v>39758</v>
      </c>
      <c r="F229" s="7"/>
      <c r="G229" s="10">
        <v>14712</v>
      </c>
      <c r="H229" s="7">
        <v>5</v>
      </c>
      <c r="I229" s="12">
        <f>IF(OR(Table24[[#This Row],[Rating]]=4,Table24[[#This Row],[Rating]]=5), 0.05*Table24[[#This Row],[Salary]],0)</f>
        <v>735.6</v>
      </c>
      <c r="J229" s="14">
        <f>VLOOKUP(Table24[[#This Row],[Salary]],'Tax rates'!A$2:C$8, 2) + VLOOKUP(Table24[[#This Row],[Salary]],'Tax rates'!A$2:C$8, 3) * (Table24[[#This Row],[Salary]] - VLOOKUP(Table24[[#This Row],[Salary]],'Tax rates'!A$2:C$8,1))</f>
        <v>1574.94</v>
      </c>
      <c r="K229" s="35">
        <f>Table24[[#This Row],[Salary]]-Table24[[#This Row],[Taxes]]</f>
        <v>13137.06</v>
      </c>
    </row>
    <row r="230" spans="1:11" x14ac:dyDescent="0.25">
      <c r="A230" s="5" t="s">
        <v>545</v>
      </c>
      <c r="B230" s="5" t="s">
        <v>1</v>
      </c>
      <c r="C230" s="5" t="s">
        <v>20</v>
      </c>
      <c r="D230" s="5" t="s">
        <v>32</v>
      </c>
      <c r="E230" s="6">
        <v>38960</v>
      </c>
      <c r="F230" s="7"/>
      <c r="G230" s="10">
        <v>12676</v>
      </c>
      <c r="H230" s="7">
        <v>2</v>
      </c>
      <c r="I230" s="12">
        <f>IF(OR(Table24[[#This Row],[Rating]]=4,Table24[[#This Row],[Rating]]=5), 0.05*Table24[[#This Row],[Salary]],0)</f>
        <v>0</v>
      </c>
      <c r="J230" s="14">
        <f>VLOOKUP(Table24[[#This Row],[Salary]],'Tax rates'!A$2:C$8, 2) + VLOOKUP(Table24[[#This Row],[Salary]],'Tax rates'!A$2:C$8, 3) * (Table24[[#This Row],[Salary]] - VLOOKUP(Table24[[#This Row],[Salary]],'Tax rates'!A$2:C$8,1))</f>
        <v>1330.62</v>
      </c>
      <c r="K230" s="35">
        <f>Table24[[#This Row],[Salary]]-Table24[[#This Row],[Taxes]]</f>
        <v>11345.380000000001</v>
      </c>
    </row>
    <row r="231" spans="1:11" x14ac:dyDescent="0.25">
      <c r="A231" s="5" t="s">
        <v>729</v>
      </c>
      <c r="B231" s="5" t="s">
        <v>1</v>
      </c>
      <c r="C231" s="5" t="s">
        <v>73</v>
      </c>
      <c r="D231" s="5" t="s">
        <v>3</v>
      </c>
      <c r="E231" s="6">
        <v>39414</v>
      </c>
      <c r="F231" s="5" t="s">
        <v>4</v>
      </c>
      <c r="G231" s="10">
        <v>73440</v>
      </c>
      <c r="H231" s="7">
        <v>1</v>
      </c>
      <c r="I231" s="12">
        <f>IF(OR(Table24[[#This Row],[Rating]]=4,Table24[[#This Row],[Rating]]=5), 0.05*Table24[[#This Row],[Salary]],0)</f>
        <v>0</v>
      </c>
      <c r="J231" s="14">
        <f>VLOOKUP(Table24[[#This Row],[Salary]],'Tax rates'!A$2:C$8, 2) + VLOOKUP(Table24[[#This Row],[Salary]],'Tax rates'!A$2:C$8, 3) * (Table24[[#This Row],[Salary]] - VLOOKUP(Table24[[#This Row],[Salary]],'Tax rates'!A$2:C$8,1))</f>
        <v>12096.3</v>
      </c>
      <c r="K231" s="35">
        <f>Table24[[#This Row],[Salary]]-Table24[[#This Row],[Taxes]]</f>
        <v>61343.7</v>
      </c>
    </row>
    <row r="232" spans="1:11" x14ac:dyDescent="0.25">
      <c r="A232" s="5" t="s">
        <v>215</v>
      </c>
      <c r="B232" s="5" t="s">
        <v>1</v>
      </c>
      <c r="C232" s="5" t="s">
        <v>73</v>
      </c>
      <c r="D232" s="5" t="s">
        <v>3</v>
      </c>
      <c r="E232" s="6">
        <v>36214</v>
      </c>
      <c r="F232" s="5" t="s">
        <v>9</v>
      </c>
      <c r="G232" s="10">
        <v>47850</v>
      </c>
      <c r="H232" s="7">
        <v>1</v>
      </c>
      <c r="I232" s="12">
        <f>IF(OR(Table24[[#This Row],[Rating]]=4,Table24[[#This Row],[Rating]]=5), 0.05*Table24[[#This Row],[Salary]],0)</f>
        <v>0</v>
      </c>
      <c r="J232" s="14">
        <f>VLOOKUP(Table24[[#This Row],[Salary]],'Tax rates'!A$2:C$8, 2) + VLOOKUP(Table24[[#This Row],[Salary]],'Tax rates'!A$2:C$8, 3) * (Table24[[#This Row],[Salary]] - VLOOKUP(Table24[[#This Row],[Salary]],'Tax rates'!A$2:C$8,1))</f>
        <v>6466.5</v>
      </c>
      <c r="K232" s="35">
        <f>Table24[[#This Row],[Salary]]-Table24[[#This Row],[Taxes]]</f>
        <v>41383.5</v>
      </c>
    </row>
    <row r="233" spans="1:11" x14ac:dyDescent="0.25">
      <c r="A233" s="5" t="s">
        <v>72</v>
      </c>
      <c r="B233" s="5" t="s">
        <v>1</v>
      </c>
      <c r="C233" s="5" t="s">
        <v>73</v>
      </c>
      <c r="D233" s="5" t="s">
        <v>3</v>
      </c>
      <c r="E233" s="6">
        <v>41018</v>
      </c>
      <c r="F233" s="5" t="s">
        <v>4</v>
      </c>
      <c r="G233" s="10">
        <v>46220</v>
      </c>
      <c r="H233" s="7">
        <v>3</v>
      </c>
      <c r="I233" s="12">
        <f>IF(OR(Table24[[#This Row],[Rating]]=4,Table24[[#This Row],[Rating]]=5), 0.05*Table24[[#This Row],[Salary]],0)</f>
        <v>0</v>
      </c>
      <c r="J233" s="14">
        <f>VLOOKUP(Table24[[#This Row],[Salary]],'Tax rates'!A$2:C$8, 2) + VLOOKUP(Table24[[#This Row],[Salary]],'Tax rates'!A$2:C$8, 3) * (Table24[[#This Row],[Salary]] - VLOOKUP(Table24[[#This Row],[Salary]],'Tax rates'!A$2:C$8,1))</f>
        <v>6107.9</v>
      </c>
      <c r="K233" s="35">
        <f>Table24[[#This Row],[Salary]]-Table24[[#This Row],[Taxes]]</f>
        <v>40112.1</v>
      </c>
    </row>
    <row r="234" spans="1:11" x14ac:dyDescent="0.25">
      <c r="A234" s="5" t="s">
        <v>89</v>
      </c>
      <c r="B234" s="5" t="s">
        <v>1</v>
      </c>
      <c r="C234" s="5" t="s">
        <v>73</v>
      </c>
      <c r="D234" s="5" t="s">
        <v>24</v>
      </c>
      <c r="E234" s="6">
        <v>39417</v>
      </c>
      <c r="F234" s="5" t="s">
        <v>21</v>
      </c>
      <c r="G234" s="10">
        <v>46095</v>
      </c>
      <c r="H234" s="7">
        <v>3</v>
      </c>
      <c r="I234" s="12">
        <f>IF(OR(Table24[[#This Row],[Rating]]=4,Table24[[#This Row],[Rating]]=5), 0.05*Table24[[#This Row],[Salary]],0)</f>
        <v>0</v>
      </c>
      <c r="J234" s="14">
        <f>VLOOKUP(Table24[[#This Row],[Salary]],'Tax rates'!A$2:C$8, 2) + VLOOKUP(Table24[[#This Row],[Salary]],'Tax rates'!A$2:C$8, 3) * (Table24[[#This Row],[Salary]] - VLOOKUP(Table24[[#This Row],[Salary]],'Tax rates'!A$2:C$8,1))</f>
        <v>6080.4</v>
      </c>
      <c r="K234" s="35">
        <f>Table24[[#This Row],[Salary]]-Table24[[#This Row],[Taxes]]</f>
        <v>40014.6</v>
      </c>
    </row>
    <row r="235" spans="1:11" x14ac:dyDescent="0.25">
      <c r="A235" s="5" t="s">
        <v>438</v>
      </c>
      <c r="B235" s="5" t="s">
        <v>1</v>
      </c>
      <c r="C235" s="5" t="s">
        <v>138</v>
      </c>
      <c r="D235" s="5" t="s">
        <v>3</v>
      </c>
      <c r="E235" s="6">
        <v>39646</v>
      </c>
      <c r="F235" s="5" t="s">
        <v>11</v>
      </c>
      <c r="G235" s="10">
        <v>69060</v>
      </c>
      <c r="H235" s="7">
        <v>1</v>
      </c>
      <c r="I235" s="12">
        <f>IF(OR(Table24[[#This Row],[Rating]]=4,Table24[[#This Row],[Rating]]=5), 0.05*Table24[[#This Row],[Salary]],0)</f>
        <v>0</v>
      </c>
      <c r="J235" s="14">
        <f>VLOOKUP(Table24[[#This Row],[Salary]],'Tax rates'!A$2:C$8, 2) + VLOOKUP(Table24[[#This Row],[Salary]],'Tax rates'!A$2:C$8, 3) * (Table24[[#This Row],[Salary]] - VLOOKUP(Table24[[#This Row],[Salary]],'Tax rates'!A$2:C$8,1))</f>
        <v>11132.7</v>
      </c>
      <c r="K235" s="35">
        <f>Table24[[#This Row],[Salary]]-Table24[[#This Row],[Taxes]]</f>
        <v>57927.3</v>
      </c>
    </row>
    <row r="236" spans="1:11" x14ac:dyDescent="0.25">
      <c r="A236" s="5" t="s">
        <v>407</v>
      </c>
      <c r="B236" s="5" t="s">
        <v>1</v>
      </c>
      <c r="C236" s="5" t="s">
        <v>138</v>
      </c>
      <c r="D236" s="5" t="s">
        <v>3</v>
      </c>
      <c r="E236" s="6">
        <v>39147</v>
      </c>
      <c r="F236" s="5" t="s">
        <v>11</v>
      </c>
      <c r="G236" s="10">
        <v>43680</v>
      </c>
      <c r="H236" s="7">
        <v>5</v>
      </c>
      <c r="I236" s="12">
        <f>IF(OR(Table24[[#This Row],[Rating]]=4,Table24[[#This Row],[Rating]]=5), 0.05*Table24[[#This Row],[Salary]],0)</f>
        <v>2184</v>
      </c>
      <c r="J236" s="14">
        <f>VLOOKUP(Table24[[#This Row],[Salary]],'Tax rates'!A$2:C$8, 2) + VLOOKUP(Table24[[#This Row],[Salary]],'Tax rates'!A$2:C$8, 3) * (Table24[[#This Row],[Salary]] - VLOOKUP(Table24[[#This Row],[Salary]],'Tax rates'!A$2:C$8,1))</f>
        <v>5549.1</v>
      </c>
      <c r="K236" s="35">
        <f>Table24[[#This Row],[Salary]]-Table24[[#This Row],[Taxes]]</f>
        <v>38130.9</v>
      </c>
    </row>
    <row r="237" spans="1:11" x14ac:dyDescent="0.25">
      <c r="A237" s="5" t="s">
        <v>137</v>
      </c>
      <c r="B237" s="5" t="s">
        <v>1</v>
      </c>
      <c r="C237" s="5" t="s">
        <v>138</v>
      </c>
      <c r="D237" s="5" t="s">
        <v>24</v>
      </c>
      <c r="E237" s="6">
        <v>40572</v>
      </c>
      <c r="F237" s="5" t="s">
        <v>11</v>
      </c>
      <c r="G237" s="10">
        <v>10520</v>
      </c>
      <c r="H237" s="7">
        <v>4</v>
      </c>
      <c r="I237" s="12">
        <f>IF(OR(Table24[[#This Row],[Rating]]=4,Table24[[#This Row],[Rating]]=5), 0.05*Table24[[#This Row],[Salary]],0)</f>
        <v>526</v>
      </c>
      <c r="J237" s="14">
        <f>VLOOKUP(Table24[[#This Row],[Salary]],'Tax rates'!A$2:C$8, 2) + VLOOKUP(Table24[[#This Row],[Salary]],'Tax rates'!A$2:C$8, 3) * (Table24[[#This Row],[Salary]] - VLOOKUP(Table24[[#This Row],[Salary]],'Tax rates'!A$2:C$8,1))</f>
        <v>1071.9000000000001</v>
      </c>
      <c r="K237" s="35">
        <f>Table24[[#This Row],[Salary]]-Table24[[#This Row],[Taxes]]</f>
        <v>9448.1</v>
      </c>
    </row>
    <row r="238" spans="1:11" x14ac:dyDescent="0.25">
      <c r="A238" s="5" t="s">
        <v>684</v>
      </c>
      <c r="B238" s="5" t="s">
        <v>1</v>
      </c>
      <c r="C238" s="5" t="s">
        <v>75</v>
      </c>
      <c r="D238" s="5" t="s">
        <v>16</v>
      </c>
      <c r="E238" s="6">
        <v>40368</v>
      </c>
      <c r="F238" s="7"/>
      <c r="G238" s="10">
        <v>89310</v>
      </c>
      <c r="H238" s="7">
        <v>5</v>
      </c>
      <c r="I238" s="12">
        <f>IF(OR(Table24[[#This Row],[Rating]]=4,Table24[[#This Row],[Rating]]=5), 0.05*Table24[[#This Row],[Salary]],0)</f>
        <v>4465.5</v>
      </c>
      <c r="J238" s="14">
        <f>VLOOKUP(Table24[[#This Row],[Salary]],'Tax rates'!A$2:C$8, 2) + VLOOKUP(Table24[[#This Row],[Salary]],'Tax rates'!A$2:C$8, 3) * (Table24[[#This Row],[Salary]] - VLOOKUP(Table24[[#This Row],[Salary]],'Tax rates'!A$2:C$8,1))</f>
        <v>15723.9</v>
      </c>
      <c r="K238" s="35">
        <f>Table24[[#This Row],[Salary]]-Table24[[#This Row],[Taxes]]</f>
        <v>73586.100000000006</v>
      </c>
    </row>
    <row r="239" spans="1:11" x14ac:dyDescent="0.25">
      <c r="A239" s="5" t="s">
        <v>352</v>
      </c>
      <c r="B239" s="5" t="s">
        <v>1</v>
      </c>
      <c r="C239" s="5" t="s">
        <v>75</v>
      </c>
      <c r="D239" s="5" t="s">
        <v>3</v>
      </c>
      <c r="E239" s="6">
        <v>37785</v>
      </c>
      <c r="F239" s="5" t="s">
        <v>11</v>
      </c>
      <c r="G239" s="10">
        <v>87280</v>
      </c>
      <c r="H239" s="7">
        <v>4</v>
      </c>
      <c r="I239" s="12">
        <f>IF(OR(Table24[[#This Row],[Rating]]=4,Table24[[#This Row],[Rating]]=5), 0.05*Table24[[#This Row],[Salary]],0)</f>
        <v>4364</v>
      </c>
      <c r="J239" s="14">
        <f>VLOOKUP(Table24[[#This Row],[Salary]],'Tax rates'!A$2:C$8, 2) + VLOOKUP(Table24[[#This Row],[Salary]],'Tax rates'!A$2:C$8, 3) * (Table24[[#This Row],[Salary]] - VLOOKUP(Table24[[#This Row],[Salary]],'Tax rates'!A$2:C$8,1))</f>
        <v>15236.7</v>
      </c>
      <c r="K239" s="35">
        <f>Table24[[#This Row],[Salary]]-Table24[[#This Row],[Taxes]]</f>
        <v>72043.3</v>
      </c>
    </row>
    <row r="240" spans="1:11" x14ac:dyDescent="0.25">
      <c r="A240" s="5" t="s">
        <v>315</v>
      </c>
      <c r="B240" s="5" t="s">
        <v>1</v>
      </c>
      <c r="C240" s="5" t="s">
        <v>75</v>
      </c>
      <c r="D240" s="5" t="s">
        <v>3</v>
      </c>
      <c r="E240" s="6">
        <v>37348</v>
      </c>
      <c r="F240" s="5" t="s">
        <v>25</v>
      </c>
      <c r="G240" s="10">
        <v>85880</v>
      </c>
      <c r="H240" s="7">
        <v>3</v>
      </c>
      <c r="I240" s="12">
        <f>IF(OR(Table24[[#This Row],[Rating]]=4,Table24[[#This Row],[Rating]]=5), 0.05*Table24[[#This Row],[Salary]],0)</f>
        <v>0</v>
      </c>
      <c r="J240" s="14">
        <f>VLOOKUP(Table24[[#This Row],[Salary]],'Tax rates'!A$2:C$8, 2) + VLOOKUP(Table24[[#This Row],[Salary]],'Tax rates'!A$2:C$8, 3) * (Table24[[#This Row],[Salary]] - VLOOKUP(Table24[[#This Row],[Salary]],'Tax rates'!A$2:C$8,1))</f>
        <v>14900.7</v>
      </c>
      <c r="K240" s="35">
        <f>Table24[[#This Row],[Salary]]-Table24[[#This Row],[Taxes]]</f>
        <v>70979.3</v>
      </c>
    </row>
    <row r="241" spans="1:11" x14ac:dyDescent="0.25">
      <c r="A241" s="5" t="s">
        <v>394</v>
      </c>
      <c r="B241" s="5" t="s">
        <v>1</v>
      </c>
      <c r="C241" s="5" t="s">
        <v>75</v>
      </c>
      <c r="D241" s="5" t="s">
        <v>16</v>
      </c>
      <c r="E241" s="6">
        <v>38856</v>
      </c>
      <c r="F241" s="7"/>
      <c r="G241" s="10">
        <v>84200</v>
      </c>
      <c r="H241" s="7">
        <v>2</v>
      </c>
      <c r="I241" s="12">
        <f>IF(OR(Table24[[#This Row],[Rating]]=4,Table24[[#This Row],[Rating]]=5), 0.05*Table24[[#This Row],[Salary]],0)</f>
        <v>0</v>
      </c>
      <c r="J241" s="14">
        <f>VLOOKUP(Table24[[#This Row],[Salary]],'Tax rates'!A$2:C$8, 2) + VLOOKUP(Table24[[#This Row],[Salary]],'Tax rates'!A$2:C$8, 3) * (Table24[[#This Row],[Salary]] - VLOOKUP(Table24[[#This Row],[Salary]],'Tax rates'!A$2:C$8,1))</f>
        <v>14497.5</v>
      </c>
      <c r="K241" s="35">
        <f>Table24[[#This Row],[Salary]]-Table24[[#This Row],[Taxes]]</f>
        <v>69702.5</v>
      </c>
    </row>
    <row r="242" spans="1:11" x14ac:dyDescent="0.25">
      <c r="A242" s="5" t="s">
        <v>498</v>
      </c>
      <c r="B242" s="5" t="s">
        <v>1</v>
      </c>
      <c r="C242" s="5" t="s">
        <v>75</v>
      </c>
      <c r="D242" s="5" t="s">
        <v>16</v>
      </c>
      <c r="E242" s="6">
        <v>39959</v>
      </c>
      <c r="F242" s="7"/>
      <c r="G242" s="10">
        <v>79460</v>
      </c>
      <c r="H242" s="7">
        <v>5</v>
      </c>
      <c r="I242" s="12">
        <f>IF(OR(Table24[[#This Row],[Rating]]=4,Table24[[#This Row],[Rating]]=5), 0.05*Table24[[#This Row],[Salary]],0)</f>
        <v>3973</v>
      </c>
      <c r="J242" s="14">
        <f>VLOOKUP(Table24[[#This Row],[Salary]],'Tax rates'!A$2:C$8, 2) + VLOOKUP(Table24[[#This Row],[Salary]],'Tax rates'!A$2:C$8, 3) * (Table24[[#This Row],[Salary]] - VLOOKUP(Table24[[#This Row],[Salary]],'Tax rates'!A$2:C$8,1))</f>
        <v>13420.7</v>
      </c>
      <c r="K242" s="35">
        <f>Table24[[#This Row],[Salary]]-Table24[[#This Row],[Taxes]]</f>
        <v>66039.3</v>
      </c>
    </row>
    <row r="243" spans="1:11" x14ac:dyDescent="0.25">
      <c r="A243" s="5" t="s">
        <v>201</v>
      </c>
      <c r="B243" s="5" t="s">
        <v>1</v>
      </c>
      <c r="C243" s="5" t="s">
        <v>75</v>
      </c>
      <c r="D243" s="5" t="s">
        <v>3</v>
      </c>
      <c r="E243" s="6">
        <v>40320</v>
      </c>
      <c r="F243" s="5" t="s">
        <v>21</v>
      </c>
      <c r="G243" s="10">
        <v>77580</v>
      </c>
      <c r="H243" s="7">
        <v>3</v>
      </c>
      <c r="I243" s="12">
        <f>IF(OR(Table24[[#This Row],[Rating]]=4,Table24[[#This Row],[Rating]]=5), 0.05*Table24[[#This Row],[Salary]],0)</f>
        <v>0</v>
      </c>
      <c r="J243" s="14">
        <f>VLOOKUP(Table24[[#This Row],[Salary]],'Tax rates'!A$2:C$8, 2) + VLOOKUP(Table24[[#This Row],[Salary]],'Tax rates'!A$2:C$8, 3) * (Table24[[#This Row],[Salary]] - VLOOKUP(Table24[[#This Row],[Salary]],'Tax rates'!A$2:C$8,1))</f>
        <v>13007.1</v>
      </c>
      <c r="K243" s="35">
        <f>Table24[[#This Row],[Salary]]-Table24[[#This Row],[Taxes]]</f>
        <v>64572.9</v>
      </c>
    </row>
    <row r="244" spans="1:11" x14ac:dyDescent="0.25">
      <c r="A244" s="5" t="s">
        <v>751</v>
      </c>
      <c r="B244" s="5" t="s">
        <v>1</v>
      </c>
      <c r="C244" s="5" t="s">
        <v>75</v>
      </c>
      <c r="D244" s="5" t="s">
        <v>3</v>
      </c>
      <c r="E244" s="6">
        <v>39588</v>
      </c>
      <c r="F244" s="5" t="s">
        <v>25</v>
      </c>
      <c r="G244" s="10">
        <v>74670</v>
      </c>
      <c r="H244" s="7">
        <v>5</v>
      </c>
      <c r="I244" s="12">
        <f>IF(OR(Table24[[#This Row],[Rating]]=4,Table24[[#This Row],[Rating]]=5), 0.05*Table24[[#This Row],[Salary]],0)</f>
        <v>3733.5</v>
      </c>
      <c r="J244" s="14">
        <f>VLOOKUP(Table24[[#This Row],[Salary]],'Tax rates'!A$2:C$8, 2) + VLOOKUP(Table24[[#This Row],[Salary]],'Tax rates'!A$2:C$8, 3) * (Table24[[#This Row],[Salary]] - VLOOKUP(Table24[[#This Row],[Salary]],'Tax rates'!A$2:C$8,1))</f>
        <v>12366.9</v>
      </c>
      <c r="K244" s="35">
        <f>Table24[[#This Row],[Salary]]-Table24[[#This Row],[Taxes]]</f>
        <v>62303.1</v>
      </c>
    </row>
    <row r="245" spans="1:11" x14ac:dyDescent="0.25">
      <c r="A245" s="5" t="s">
        <v>570</v>
      </c>
      <c r="B245" s="5" t="s">
        <v>1</v>
      </c>
      <c r="C245" s="5" t="s">
        <v>75</v>
      </c>
      <c r="D245" s="5" t="s">
        <v>3</v>
      </c>
      <c r="E245" s="6">
        <v>41200</v>
      </c>
      <c r="F245" s="5" t="s">
        <v>11</v>
      </c>
      <c r="G245" s="10">
        <v>71670</v>
      </c>
      <c r="H245" s="7">
        <v>4</v>
      </c>
      <c r="I245" s="12">
        <f>IF(OR(Table24[[#This Row],[Rating]]=4,Table24[[#This Row],[Rating]]=5), 0.05*Table24[[#This Row],[Salary]],0)</f>
        <v>3583.5</v>
      </c>
      <c r="J245" s="14">
        <f>VLOOKUP(Table24[[#This Row],[Salary]],'Tax rates'!A$2:C$8, 2) + VLOOKUP(Table24[[#This Row],[Salary]],'Tax rates'!A$2:C$8, 3) * (Table24[[#This Row],[Salary]] - VLOOKUP(Table24[[#This Row],[Salary]],'Tax rates'!A$2:C$8,1))</f>
        <v>11706.9</v>
      </c>
      <c r="K245" s="35">
        <f>Table24[[#This Row],[Salary]]-Table24[[#This Row],[Taxes]]</f>
        <v>59963.1</v>
      </c>
    </row>
    <row r="246" spans="1:11" x14ac:dyDescent="0.25">
      <c r="A246" s="5" t="s">
        <v>465</v>
      </c>
      <c r="B246" s="5" t="s">
        <v>1</v>
      </c>
      <c r="C246" s="5" t="s">
        <v>75</v>
      </c>
      <c r="D246" s="5" t="s">
        <v>3</v>
      </c>
      <c r="E246" s="6">
        <v>40596</v>
      </c>
      <c r="F246" s="5" t="s">
        <v>21</v>
      </c>
      <c r="G246" s="10">
        <v>68910</v>
      </c>
      <c r="H246" s="7">
        <v>5</v>
      </c>
      <c r="I246" s="12">
        <f>IF(OR(Table24[[#This Row],[Rating]]=4,Table24[[#This Row],[Rating]]=5), 0.05*Table24[[#This Row],[Salary]],0)</f>
        <v>3445.5</v>
      </c>
      <c r="J246" s="14">
        <f>VLOOKUP(Table24[[#This Row],[Salary]],'Tax rates'!A$2:C$8, 2) + VLOOKUP(Table24[[#This Row],[Salary]],'Tax rates'!A$2:C$8, 3) * (Table24[[#This Row],[Salary]] - VLOOKUP(Table24[[#This Row],[Salary]],'Tax rates'!A$2:C$8,1))</f>
        <v>11099.7</v>
      </c>
      <c r="K246" s="35">
        <f>Table24[[#This Row],[Salary]]-Table24[[#This Row],[Taxes]]</f>
        <v>57810.3</v>
      </c>
    </row>
    <row r="247" spans="1:11" x14ac:dyDescent="0.25">
      <c r="A247" s="5" t="s">
        <v>575</v>
      </c>
      <c r="B247" s="5" t="s">
        <v>1</v>
      </c>
      <c r="C247" s="5" t="s">
        <v>75</v>
      </c>
      <c r="D247" s="5" t="s">
        <v>3</v>
      </c>
      <c r="E247" s="6">
        <v>35829</v>
      </c>
      <c r="F247" s="5" t="s">
        <v>4</v>
      </c>
      <c r="G247" s="10">
        <v>61030</v>
      </c>
      <c r="H247" s="7">
        <v>3</v>
      </c>
      <c r="I247" s="12">
        <f>IF(OR(Table24[[#This Row],[Rating]]=4,Table24[[#This Row],[Rating]]=5), 0.05*Table24[[#This Row],[Salary]],0)</f>
        <v>0</v>
      </c>
      <c r="J247" s="14">
        <f>VLOOKUP(Table24[[#This Row],[Salary]],'Tax rates'!A$2:C$8, 2) + VLOOKUP(Table24[[#This Row],[Salary]],'Tax rates'!A$2:C$8, 3) * (Table24[[#This Row],[Salary]] - VLOOKUP(Table24[[#This Row],[Salary]],'Tax rates'!A$2:C$8,1))</f>
        <v>9366.1</v>
      </c>
      <c r="K247" s="35">
        <f>Table24[[#This Row],[Salary]]-Table24[[#This Row],[Taxes]]</f>
        <v>51663.9</v>
      </c>
    </row>
    <row r="248" spans="1:11" x14ac:dyDescent="0.25">
      <c r="A248" s="5" t="s">
        <v>775</v>
      </c>
      <c r="B248" s="5" t="s">
        <v>1</v>
      </c>
      <c r="C248" s="5" t="s">
        <v>75</v>
      </c>
      <c r="D248" s="5" t="s">
        <v>16</v>
      </c>
      <c r="E248" s="6">
        <v>39765</v>
      </c>
      <c r="F248" s="7"/>
      <c r="G248" s="10">
        <v>46670</v>
      </c>
      <c r="H248" s="7">
        <v>3</v>
      </c>
      <c r="I248" s="12">
        <f>IF(OR(Table24[[#This Row],[Rating]]=4,Table24[[#This Row],[Rating]]=5), 0.05*Table24[[#This Row],[Salary]],0)</f>
        <v>0</v>
      </c>
      <c r="J248" s="14">
        <f>VLOOKUP(Table24[[#This Row],[Salary]],'Tax rates'!A$2:C$8, 2) + VLOOKUP(Table24[[#This Row],[Salary]],'Tax rates'!A$2:C$8, 3) * (Table24[[#This Row],[Salary]] - VLOOKUP(Table24[[#This Row],[Salary]],'Tax rates'!A$2:C$8,1))</f>
        <v>6206.9</v>
      </c>
      <c r="K248" s="35">
        <f>Table24[[#This Row],[Salary]]-Table24[[#This Row],[Taxes]]</f>
        <v>40463.1</v>
      </c>
    </row>
    <row r="249" spans="1:11" x14ac:dyDescent="0.25">
      <c r="A249" s="5" t="s">
        <v>658</v>
      </c>
      <c r="B249" s="5" t="s">
        <v>1</v>
      </c>
      <c r="C249" s="5" t="s">
        <v>75</v>
      </c>
      <c r="D249" s="5" t="s">
        <v>24</v>
      </c>
      <c r="E249" s="6">
        <v>39662</v>
      </c>
      <c r="F249" s="5" t="s">
        <v>9</v>
      </c>
      <c r="G249" s="10">
        <v>38920</v>
      </c>
      <c r="H249" s="7">
        <v>4</v>
      </c>
      <c r="I249" s="12">
        <f>IF(OR(Table24[[#This Row],[Rating]]=4,Table24[[#This Row],[Rating]]=5), 0.05*Table24[[#This Row],[Salary]],0)</f>
        <v>1946</v>
      </c>
      <c r="J249" s="14">
        <f>VLOOKUP(Table24[[#This Row],[Salary]],'Tax rates'!A$2:C$8, 2) + VLOOKUP(Table24[[#This Row],[Salary]],'Tax rates'!A$2:C$8, 3) * (Table24[[#This Row],[Salary]] - VLOOKUP(Table24[[#This Row],[Salary]],'Tax rates'!A$2:C$8,1))</f>
        <v>4501.8999999999996</v>
      </c>
      <c r="K249" s="35">
        <f>Table24[[#This Row],[Salary]]-Table24[[#This Row],[Taxes]]</f>
        <v>34418.1</v>
      </c>
    </row>
    <row r="250" spans="1:11" x14ac:dyDescent="0.25">
      <c r="A250" s="5" t="s">
        <v>161</v>
      </c>
      <c r="B250" s="5" t="s">
        <v>1</v>
      </c>
      <c r="C250" s="5" t="s">
        <v>75</v>
      </c>
      <c r="D250" s="5" t="s">
        <v>3</v>
      </c>
      <c r="E250" s="6">
        <v>36506</v>
      </c>
      <c r="F250" s="5" t="s">
        <v>11</v>
      </c>
      <c r="G250" s="10">
        <v>32100</v>
      </c>
      <c r="H250" s="7">
        <v>1</v>
      </c>
      <c r="I250" s="12">
        <f>IF(OR(Table24[[#This Row],[Rating]]=4,Table24[[#This Row],[Rating]]=5), 0.05*Table24[[#This Row],[Salary]],0)</f>
        <v>0</v>
      </c>
      <c r="J250" s="14">
        <f>VLOOKUP(Table24[[#This Row],[Salary]],'Tax rates'!A$2:C$8, 2) + VLOOKUP(Table24[[#This Row],[Salary]],'Tax rates'!A$2:C$8, 3) * (Table24[[#This Row],[Salary]] - VLOOKUP(Table24[[#This Row],[Salary]],'Tax rates'!A$2:C$8,1))</f>
        <v>3661.5</v>
      </c>
      <c r="K250" s="35">
        <f>Table24[[#This Row],[Salary]]-Table24[[#This Row],[Taxes]]</f>
        <v>28438.5</v>
      </c>
    </row>
    <row r="251" spans="1:11" x14ac:dyDescent="0.25">
      <c r="A251" s="5" t="s">
        <v>600</v>
      </c>
      <c r="B251" s="5" t="s">
        <v>1</v>
      </c>
      <c r="C251" s="5" t="s">
        <v>75</v>
      </c>
      <c r="D251" s="5" t="s">
        <v>3</v>
      </c>
      <c r="E251" s="6">
        <v>41051</v>
      </c>
      <c r="F251" s="5" t="s">
        <v>25</v>
      </c>
      <c r="G251" s="10">
        <v>31830</v>
      </c>
      <c r="H251" s="7">
        <v>3</v>
      </c>
      <c r="I251" s="12">
        <f>IF(OR(Table24[[#This Row],[Rating]]=4,Table24[[#This Row],[Rating]]=5), 0.05*Table24[[#This Row],[Salary]],0)</f>
        <v>0</v>
      </c>
      <c r="J251" s="14">
        <f>VLOOKUP(Table24[[#This Row],[Salary]],'Tax rates'!A$2:C$8, 2) + VLOOKUP(Table24[[#This Row],[Salary]],'Tax rates'!A$2:C$8, 3) * (Table24[[#This Row],[Salary]] - VLOOKUP(Table24[[#This Row],[Salary]],'Tax rates'!A$2:C$8,1))</f>
        <v>3629.1</v>
      </c>
      <c r="K251" s="35">
        <f>Table24[[#This Row],[Salary]]-Table24[[#This Row],[Taxes]]</f>
        <v>28200.9</v>
      </c>
    </row>
    <row r="252" spans="1:11" x14ac:dyDescent="0.25">
      <c r="A252" s="5" t="s">
        <v>451</v>
      </c>
      <c r="B252" s="5" t="s">
        <v>1</v>
      </c>
      <c r="C252" s="5" t="s">
        <v>75</v>
      </c>
      <c r="D252" s="5" t="s">
        <v>32</v>
      </c>
      <c r="E252" s="6">
        <v>36602</v>
      </c>
      <c r="F252" s="7"/>
      <c r="G252" s="10">
        <v>30080</v>
      </c>
      <c r="H252" s="7">
        <v>3</v>
      </c>
      <c r="I252" s="12">
        <f>IF(OR(Table24[[#This Row],[Rating]]=4,Table24[[#This Row],[Rating]]=5), 0.05*Table24[[#This Row],[Salary]],0)</f>
        <v>0</v>
      </c>
      <c r="J252" s="14">
        <f>VLOOKUP(Table24[[#This Row],[Salary]],'Tax rates'!A$2:C$8, 2) + VLOOKUP(Table24[[#This Row],[Salary]],'Tax rates'!A$2:C$8, 3) * (Table24[[#This Row],[Salary]] - VLOOKUP(Table24[[#This Row],[Salary]],'Tax rates'!A$2:C$8,1))</f>
        <v>3419.1</v>
      </c>
      <c r="K252" s="35">
        <f>Table24[[#This Row],[Salary]]-Table24[[#This Row],[Taxes]]</f>
        <v>26660.9</v>
      </c>
    </row>
    <row r="253" spans="1:11" x14ac:dyDescent="0.25">
      <c r="A253" s="5" t="s">
        <v>520</v>
      </c>
      <c r="B253" s="5" t="s">
        <v>1</v>
      </c>
      <c r="C253" s="5" t="s">
        <v>75</v>
      </c>
      <c r="D253" s="5" t="s">
        <v>3</v>
      </c>
      <c r="E253" s="6">
        <v>37018</v>
      </c>
      <c r="F253" s="5" t="s">
        <v>11</v>
      </c>
      <c r="G253" s="10">
        <v>28650</v>
      </c>
      <c r="H253" s="7">
        <v>4</v>
      </c>
      <c r="I253" s="12">
        <f>IF(OR(Table24[[#This Row],[Rating]]=4,Table24[[#This Row],[Rating]]=5), 0.05*Table24[[#This Row],[Salary]],0)</f>
        <v>1432.5</v>
      </c>
      <c r="J253" s="14">
        <f>VLOOKUP(Table24[[#This Row],[Salary]],'Tax rates'!A$2:C$8, 2) + VLOOKUP(Table24[[#This Row],[Salary]],'Tax rates'!A$2:C$8, 3) * (Table24[[#This Row],[Salary]] - VLOOKUP(Table24[[#This Row],[Salary]],'Tax rates'!A$2:C$8,1))</f>
        <v>3247.5</v>
      </c>
      <c r="K253" s="35">
        <f>Table24[[#This Row],[Salary]]-Table24[[#This Row],[Taxes]]</f>
        <v>25402.5</v>
      </c>
    </row>
    <row r="254" spans="1:11" x14ac:dyDescent="0.25">
      <c r="A254" s="5" t="s">
        <v>654</v>
      </c>
      <c r="B254" s="5" t="s">
        <v>1</v>
      </c>
      <c r="C254" s="5" t="s">
        <v>75</v>
      </c>
      <c r="D254" s="5" t="s">
        <v>3</v>
      </c>
      <c r="E254" s="6">
        <v>37008</v>
      </c>
      <c r="F254" s="5" t="s">
        <v>4</v>
      </c>
      <c r="G254" s="10">
        <v>27180</v>
      </c>
      <c r="H254" s="7">
        <v>4</v>
      </c>
      <c r="I254" s="12">
        <f>IF(OR(Table24[[#This Row],[Rating]]=4,Table24[[#This Row],[Rating]]=5), 0.05*Table24[[#This Row],[Salary]],0)</f>
        <v>1359</v>
      </c>
      <c r="J254" s="14">
        <f>VLOOKUP(Table24[[#This Row],[Salary]],'Tax rates'!A$2:C$8, 2) + VLOOKUP(Table24[[#This Row],[Salary]],'Tax rates'!A$2:C$8, 3) * (Table24[[#This Row],[Salary]] - VLOOKUP(Table24[[#This Row],[Salary]],'Tax rates'!A$2:C$8,1))</f>
        <v>3071.1</v>
      </c>
      <c r="K254" s="35">
        <f>Table24[[#This Row],[Salary]]-Table24[[#This Row],[Taxes]]</f>
        <v>24108.9</v>
      </c>
    </row>
    <row r="255" spans="1:11" x14ac:dyDescent="0.25">
      <c r="A255" s="5" t="s">
        <v>118</v>
      </c>
      <c r="B255" s="5" t="s">
        <v>1</v>
      </c>
      <c r="C255" s="5" t="s">
        <v>75</v>
      </c>
      <c r="D255" s="5" t="s">
        <v>32</v>
      </c>
      <c r="E255" s="6">
        <v>40925</v>
      </c>
      <c r="F255" s="7"/>
      <c r="G255" s="10">
        <v>14568</v>
      </c>
      <c r="H255" s="7">
        <v>3</v>
      </c>
      <c r="I255" s="12">
        <f>IF(OR(Table24[[#This Row],[Rating]]=4,Table24[[#This Row],[Rating]]=5), 0.05*Table24[[#This Row],[Salary]],0)</f>
        <v>0</v>
      </c>
      <c r="J255" s="14">
        <f>VLOOKUP(Table24[[#This Row],[Salary]],'Tax rates'!A$2:C$8, 2) + VLOOKUP(Table24[[#This Row],[Salary]],'Tax rates'!A$2:C$8, 3) * (Table24[[#This Row],[Salary]] - VLOOKUP(Table24[[#This Row],[Salary]],'Tax rates'!A$2:C$8,1))</f>
        <v>1557.6599999999999</v>
      </c>
      <c r="K255" s="35">
        <f>Table24[[#This Row],[Salary]]-Table24[[#This Row],[Taxes]]</f>
        <v>13010.34</v>
      </c>
    </row>
    <row r="256" spans="1:11" x14ac:dyDescent="0.25">
      <c r="A256" s="5" t="s">
        <v>285</v>
      </c>
      <c r="B256" s="5" t="s">
        <v>1</v>
      </c>
      <c r="C256" s="5" t="s">
        <v>75</v>
      </c>
      <c r="D256" s="5" t="s">
        <v>24</v>
      </c>
      <c r="E256" s="6">
        <v>40777</v>
      </c>
      <c r="F256" s="5" t="s">
        <v>25</v>
      </c>
      <c r="G256" s="10">
        <v>13800</v>
      </c>
      <c r="H256" s="7">
        <v>3</v>
      </c>
      <c r="I256" s="12">
        <f>IF(OR(Table24[[#This Row],[Rating]]=4,Table24[[#This Row],[Rating]]=5), 0.05*Table24[[#This Row],[Salary]],0)</f>
        <v>0</v>
      </c>
      <c r="J256" s="14">
        <f>VLOOKUP(Table24[[#This Row],[Salary]],'Tax rates'!A$2:C$8, 2) + VLOOKUP(Table24[[#This Row],[Salary]],'Tax rates'!A$2:C$8, 3) * (Table24[[#This Row],[Salary]] - VLOOKUP(Table24[[#This Row],[Salary]],'Tax rates'!A$2:C$8,1))</f>
        <v>1465.5</v>
      </c>
      <c r="K256" s="35">
        <f>Table24[[#This Row],[Salary]]-Table24[[#This Row],[Taxes]]</f>
        <v>12334.5</v>
      </c>
    </row>
    <row r="257" spans="1:11" x14ac:dyDescent="0.25">
      <c r="A257" s="5" t="s">
        <v>387</v>
      </c>
      <c r="B257" s="5" t="s">
        <v>1</v>
      </c>
      <c r="C257" s="5" t="s">
        <v>166</v>
      </c>
      <c r="D257" s="5" t="s">
        <v>3</v>
      </c>
      <c r="E257" s="6">
        <v>37883</v>
      </c>
      <c r="F257" s="5" t="s">
        <v>4</v>
      </c>
      <c r="G257" s="10">
        <v>86530</v>
      </c>
      <c r="H257" s="7">
        <v>1</v>
      </c>
      <c r="I257" s="12">
        <f>IF(OR(Table24[[#This Row],[Rating]]=4,Table24[[#This Row],[Rating]]=5), 0.05*Table24[[#This Row],[Salary]],0)</f>
        <v>0</v>
      </c>
      <c r="J257" s="14">
        <f>VLOOKUP(Table24[[#This Row],[Salary]],'Tax rates'!A$2:C$8, 2) + VLOOKUP(Table24[[#This Row],[Salary]],'Tax rates'!A$2:C$8, 3) * (Table24[[#This Row],[Salary]] - VLOOKUP(Table24[[#This Row],[Salary]],'Tax rates'!A$2:C$8,1))</f>
        <v>15056.7</v>
      </c>
      <c r="K257" s="35">
        <f>Table24[[#This Row],[Salary]]-Table24[[#This Row],[Taxes]]</f>
        <v>71473.3</v>
      </c>
    </row>
    <row r="258" spans="1:11" x14ac:dyDescent="0.25">
      <c r="A258" s="5" t="s">
        <v>312</v>
      </c>
      <c r="B258" s="5" t="s">
        <v>1</v>
      </c>
      <c r="C258" s="5" t="s">
        <v>166</v>
      </c>
      <c r="D258" s="5" t="s">
        <v>16</v>
      </c>
      <c r="E258" s="6">
        <v>38755</v>
      </c>
      <c r="F258" s="7"/>
      <c r="G258" s="10">
        <v>78860</v>
      </c>
      <c r="H258" s="7">
        <v>2</v>
      </c>
      <c r="I258" s="12">
        <f>IF(OR(Table24[[#This Row],[Rating]]=4,Table24[[#This Row],[Rating]]=5), 0.05*Table24[[#This Row],[Salary]],0)</f>
        <v>0</v>
      </c>
      <c r="J258" s="14">
        <f>VLOOKUP(Table24[[#This Row],[Salary]],'Tax rates'!A$2:C$8, 2) + VLOOKUP(Table24[[#This Row],[Salary]],'Tax rates'!A$2:C$8, 3) * (Table24[[#This Row],[Salary]] - VLOOKUP(Table24[[#This Row],[Salary]],'Tax rates'!A$2:C$8,1))</f>
        <v>13288.7</v>
      </c>
      <c r="K258" s="35">
        <f>Table24[[#This Row],[Salary]]-Table24[[#This Row],[Taxes]]</f>
        <v>65571.3</v>
      </c>
    </row>
    <row r="259" spans="1:11" x14ac:dyDescent="0.25">
      <c r="A259" s="5" t="s">
        <v>395</v>
      </c>
      <c r="B259" s="5" t="s">
        <v>1</v>
      </c>
      <c r="C259" s="5" t="s">
        <v>166</v>
      </c>
      <c r="D259" s="5" t="s">
        <v>3</v>
      </c>
      <c r="E259" s="6">
        <v>39923</v>
      </c>
      <c r="F259" s="5" t="s">
        <v>4</v>
      </c>
      <c r="G259" s="10">
        <v>76440</v>
      </c>
      <c r="H259" s="7">
        <v>3</v>
      </c>
      <c r="I259" s="12">
        <f>IF(OR(Table24[[#This Row],[Rating]]=4,Table24[[#This Row],[Rating]]=5), 0.05*Table24[[#This Row],[Salary]],0)</f>
        <v>0</v>
      </c>
      <c r="J259" s="14">
        <f>VLOOKUP(Table24[[#This Row],[Salary]],'Tax rates'!A$2:C$8, 2) + VLOOKUP(Table24[[#This Row],[Salary]],'Tax rates'!A$2:C$8, 3) * (Table24[[#This Row],[Salary]] - VLOOKUP(Table24[[#This Row],[Salary]],'Tax rates'!A$2:C$8,1))</f>
        <v>12756.3</v>
      </c>
      <c r="K259" s="35">
        <f>Table24[[#This Row],[Salary]]-Table24[[#This Row],[Taxes]]</f>
        <v>63683.7</v>
      </c>
    </row>
    <row r="260" spans="1:11" x14ac:dyDescent="0.25">
      <c r="A260" s="5" t="s">
        <v>683</v>
      </c>
      <c r="B260" s="5" t="s">
        <v>1</v>
      </c>
      <c r="C260" s="5" t="s">
        <v>166</v>
      </c>
      <c r="D260" s="5" t="s">
        <v>16</v>
      </c>
      <c r="E260" s="6">
        <v>40253</v>
      </c>
      <c r="F260" s="7"/>
      <c r="G260" s="10">
        <v>59350</v>
      </c>
      <c r="H260" s="7">
        <v>5</v>
      </c>
      <c r="I260" s="12">
        <f>IF(OR(Table24[[#This Row],[Rating]]=4,Table24[[#This Row],[Rating]]=5), 0.05*Table24[[#This Row],[Salary]],0)</f>
        <v>2967.5</v>
      </c>
      <c r="J260" s="14">
        <f>VLOOKUP(Table24[[#This Row],[Salary]],'Tax rates'!A$2:C$8, 2) + VLOOKUP(Table24[[#This Row],[Salary]],'Tax rates'!A$2:C$8, 3) * (Table24[[#This Row],[Salary]] - VLOOKUP(Table24[[#This Row],[Salary]],'Tax rates'!A$2:C$8,1))</f>
        <v>8996.5</v>
      </c>
      <c r="K260" s="35">
        <f>Table24[[#This Row],[Salary]]-Table24[[#This Row],[Taxes]]</f>
        <v>50353.5</v>
      </c>
    </row>
    <row r="261" spans="1:11" x14ac:dyDescent="0.25">
      <c r="A261" s="5" t="s">
        <v>475</v>
      </c>
      <c r="B261" s="5" t="s">
        <v>1</v>
      </c>
      <c r="C261" s="5" t="s">
        <v>57</v>
      </c>
      <c r="D261" s="5" t="s">
        <v>3</v>
      </c>
      <c r="E261" s="6">
        <v>39197</v>
      </c>
      <c r="F261" s="5" t="s">
        <v>4</v>
      </c>
      <c r="G261" s="10">
        <v>63190</v>
      </c>
      <c r="H261" s="7">
        <v>1</v>
      </c>
      <c r="I261" s="12">
        <f>IF(OR(Table24[[#This Row],[Rating]]=4,Table24[[#This Row],[Rating]]=5), 0.05*Table24[[#This Row],[Salary]],0)</f>
        <v>0</v>
      </c>
      <c r="J261" s="14">
        <f>VLOOKUP(Table24[[#This Row],[Salary]],'Tax rates'!A$2:C$8, 2) + VLOOKUP(Table24[[#This Row],[Salary]],'Tax rates'!A$2:C$8, 3) * (Table24[[#This Row],[Salary]] - VLOOKUP(Table24[[#This Row],[Salary]],'Tax rates'!A$2:C$8,1))</f>
        <v>9841.2999999999993</v>
      </c>
      <c r="K261" s="35">
        <f>Table24[[#This Row],[Salary]]-Table24[[#This Row],[Taxes]]</f>
        <v>53348.7</v>
      </c>
    </row>
    <row r="262" spans="1:11" x14ac:dyDescent="0.25">
      <c r="A262" s="5" t="s">
        <v>191</v>
      </c>
      <c r="B262" s="5" t="s">
        <v>1</v>
      </c>
      <c r="C262" s="5" t="s">
        <v>57</v>
      </c>
      <c r="D262" s="5" t="s">
        <v>16</v>
      </c>
      <c r="E262" s="6">
        <v>39623</v>
      </c>
      <c r="F262" s="7"/>
      <c r="G262" s="10">
        <v>60060</v>
      </c>
      <c r="H262" s="7">
        <v>2</v>
      </c>
      <c r="I262" s="12">
        <f>IF(OR(Table24[[#This Row],[Rating]]=4,Table24[[#This Row],[Rating]]=5), 0.05*Table24[[#This Row],[Salary]],0)</f>
        <v>0</v>
      </c>
      <c r="J262" s="14">
        <f>VLOOKUP(Table24[[#This Row],[Salary]],'Tax rates'!A$2:C$8, 2) + VLOOKUP(Table24[[#This Row],[Salary]],'Tax rates'!A$2:C$8, 3) * (Table24[[#This Row],[Salary]] - VLOOKUP(Table24[[#This Row],[Salary]],'Tax rates'!A$2:C$8,1))</f>
        <v>9152.7000000000007</v>
      </c>
      <c r="K262" s="35">
        <f>Table24[[#This Row],[Salary]]-Table24[[#This Row],[Taxes]]</f>
        <v>50907.3</v>
      </c>
    </row>
    <row r="263" spans="1:11" x14ac:dyDescent="0.25">
      <c r="A263" s="5" t="s">
        <v>56</v>
      </c>
      <c r="B263" s="5" t="s">
        <v>1</v>
      </c>
      <c r="C263" s="5" t="s">
        <v>57</v>
      </c>
      <c r="D263" s="5" t="s">
        <v>3</v>
      </c>
      <c r="E263" s="6">
        <v>39683</v>
      </c>
      <c r="F263" s="5" t="s">
        <v>4</v>
      </c>
      <c r="G263" s="10">
        <v>47350</v>
      </c>
      <c r="H263" s="7">
        <v>5</v>
      </c>
      <c r="I263" s="12">
        <f>IF(OR(Table24[[#This Row],[Rating]]=4,Table24[[#This Row],[Rating]]=5), 0.05*Table24[[#This Row],[Salary]],0)</f>
        <v>2367.5</v>
      </c>
      <c r="J263" s="14">
        <f>VLOOKUP(Table24[[#This Row],[Salary]],'Tax rates'!A$2:C$8, 2) + VLOOKUP(Table24[[#This Row],[Salary]],'Tax rates'!A$2:C$8, 3) * (Table24[[#This Row],[Salary]] - VLOOKUP(Table24[[#This Row],[Salary]],'Tax rates'!A$2:C$8,1))</f>
        <v>6356.5</v>
      </c>
      <c r="K263" s="35">
        <f>Table24[[#This Row],[Salary]]-Table24[[#This Row],[Taxes]]</f>
        <v>40993.5</v>
      </c>
    </row>
    <row r="264" spans="1:11" x14ac:dyDescent="0.25">
      <c r="A264" s="5" t="s">
        <v>309</v>
      </c>
      <c r="B264" s="5" t="s">
        <v>1</v>
      </c>
      <c r="C264" s="5" t="s">
        <v>23</v>
      </c>
      <c r="D264" s="5" t="s">
        <v>3</v>
      </c>
      <c r="E264" s="6">
        <v>39120</v>
      </c>
      <c r="F264" s="5" t="s">
        <v>4</v>
      </c>
      <c r="G264" s="10">
        <v>88850</v>
      </c>
      <c r="H264" s="7">
        <v>3</v>
      </c>
      <c r="I264" s="12">
        <f>IF(OR(Table24[[#This Row],[Rating]]=4,Table24[[#This Row],[Rating]]=5), 0.05*Table24[[#This Row],[Salary]],0)</f>
        <v>0</v>
      </c>
      <c r="J264" s="14">
        <f>VLOOKUP(Table24[[#This Row],[Salary]],'Tax rates'!A$2:C$8, 2) + VLOOKUP(Table24[[#This Row],[Salary]],'Tax rates'!A$2:C$8, 3) * (Table24[[#This Row],[Salary]] - VLOOKUP(Table24[[#This Row],[Salary]],'Tax rates'!A$2:C$8,1))</f>
        <v>15613.5</v>
      </c>
      <c r="K264" s="35">
        <f>Table24[[#This Row],[Salary]]-Table24[[#This Row],[Taxes]]</f>
        <v>73236.5</v>
      </c>
    </row>
    <row r="265" spans="1:11" x14ac:dyDescent="0.25">
      <c r="A265" s="5" t="s">
        <v>689</v>
      </c>
      <c r="B265" s="5" t="s">
        <v>1</v>
      </c>
      <c r="C265" s="5" t="s">
        <v>23</v>
      </c>
      <c r="D265" s="5" t="s">
        <v>3</v>
      </c>
      <c r="E265" s="6">
        <v>40947</v>
      </c>
      <c r="F265" s="5" t="s">
        <v>4</v>
      </c>
      <c r="G265" s="10">
        <v>79770</v>
      </c>
      <c r="H265" s="7">
        <v>4</v>
      </c>
      <c r="I265" s="12">
        <f>IF(OR(Table24[[#This Row],[Rating]]=4,Table24[[#This Row],[Rating]]=5), 0.05*Table24[[#This Row],[Salary]],0)</f>
        <v>3988.5</v>
      </c>
      <c r="J265" s="14">
        <f>VLOOKUP(Table24[[#This Row],[Salary]],'Tax rates'!A$2:C$8, 2) + VLOOKUP(Table24[[#This Row],[Salary]],'Tax rates'!A$2:C$8, 3) * (Table24[[#This Row],[Salary]] - VLOOKUP(Table24[[#This Row],[Salary]],'Tax rates'!A$2:C$8,1))</f>
        <v>13488.9</v>
      </c>
      <c r="K265" s="35">
        <f>Table24[[#This Row],[Salary]]-Table24[[#This Row],[Taxes]]</f>
        <v>66281.100000000006</v>
      </c>
    </row>
    <row r="266" spans="1:11" x14ac:dyDescent="0.25">
      <c r="A266" s="5" t="s">
        <v>532</v>
      </c>
      <c r="B266" s="5" t="s">
        <v>1</v>
      </c>
      <c r="C266" s="5" t="s">
        <v>23</v>
      </c>
      <c r="D266" s="5" t="s">
        <v>3</v>
      </c>
      <c r="E266" s="6">
        <v>41183</v>
      </c>
      <c r="F266" s="5" t="s">
        <v>9</v>
      </c>
      <c r="G266" s="10">
        <v>75370</v>
      </c>
      <c r="H266" s="7">
        <v>2</v>
      </c>
      <c r="I266" s="12">
        <f>IF(OR(Table24[[#This Row],[Rating]]=4,Table24[[#This Row],[Rating]]=5), 0.05*Table24[[#This Row],[Salary]],0)</f>
        <v>0</v>
      </c>
      <c r="J266" s="14">
        <f>VLOOKUP(Table24[[#This Row],[Salary]],'Tax rates'!A$2:C$8, 2) + VLOOKUP(Table24[[#This Row],[Salary]],'Tax rates'!A$2:C$8, 3) * (Table24[[#This Row],[Salary]] - VLOOKUP(Table24[[#This Row],[Salary]],'Tax rates'!A$2:C$8,1))</f>
        <v>12520.9</v>
      </c>
      <c r="K266" s="35">
        <f>Table24[[#This Row],[Salary]]-Table24[[#This Row],[Taxes]]</f>
        <v>62849.1</v>
      </c>
    </row>
    <row r="267" spans="1:11" x14ac:dyDescent="0.25">
      <c r="A267" s="5" t="s">
        <v>267</v>
      </c>
      <c r="B267" s="5" t="s">
        <v>1</v>
      </c>
      <c r="C267" s="5" t="s">
        <v>23</v>
      </c>
      <c r="D267" s="5" t="s">
        <v>3</v>
      </c>
      <c r="E267" s="6">
        <v>35903</v>
      </c>
      <c r="F267" s="5" t="s">
        <v>4</v>
      </c>
      <c r="G267" s="10">
        <v>68520</v>
      </c>
      <c r="H267" s="7">
        <v>5</v>
      </c>
      <c r="I267" s="12">
        <f>IF(OR(Table24[[#This Row],[Rating]]=4,Table24[[#This Row],[Rating]]=5), 0.05*Table24[[#This Row],[Salary]],0)</f>
        <v>3426</v>
      </c>
      <c r="J267" s="14">
        <f>VLOOKUP(Table24[[#This Row],[Salary]],'Tax rates'!A$2:C$8, 2) + VLOOKUP(Table24[[#This Row],[Salary]],'Tax rates'!A$2:C$8, 3) * (Table24[[#This Row],[Salary]] - VLOOKUP(Table24[[#This Row],[Salary]],'Tax rates'!A$2:C$8,1))</f>
        <v>11013.9</v>
      </c>
      <c r="K267" s="35">
        <f>Table24[[#This Row],[Salary]]-Table24[[#This Row],[Taxes]]</f>
        <v>57506.1</v>
      </c>
    </row>
    <row r="268" spans="1:11" x14ac:dyDescent="0.25">
      <c r="A268" s="5" t="s">
        <v>695</v>
      </c>
      <c r="B268" s="5" t="s">
        <v>1</v>
      </c>
      <c r="C268" s="5" t="s">
        <v>23</v>
      </c>
      <c r="D268" s="5" t="s">
        <v>3</v>
      </c>
      <c r="E268" s="6">
        <v>41233</v>
      </c>
      <c r="F268" s="5" t="s">
        <v>25</v>
      </c>
      <c r="G268" s="10">
        <v>68010</v>
      </c>
      <c r="H268" s="7">
        <v>1</v>
      </c>
      <c r="I268" s="12">
        <f>IF(OR(Table24[[#This Row],[Rating]]=4,Table24[[#This Row],[Rating]]=5), 0.05*Table24[[#This Row],[Salary]],0)</f>
        <v>0</v>
      </c>
      <c r="J268" s="14">
        <f>VLOOKUP(Table24[[#This Row],[Salary]],'Tax rates'!A$2:C$8, 2) + VLOOKUP(Table24[[#This Row],[Salary]],'Tax rates'!A$2:C$8, 3) * (Table24[[#This Row],[Salary]] - VLOOKUP(Table24[[#This Row],[Salary]],'Tax rates'!A$2:C$8,1))</f>
        <v>10901.7</v>
      </c>
      <c r="K268" s="35">
        <f>Table24[[#This Row],[Salary]]-Table24[[#This Row],[Taxes]]</f>
        <v>57108.3</v>
      </c>
    </row>
    <row r="269" spans="1:11" x14ac:dyDescent="0.25">
      <c r="A269" s="5" t="s">
        <v>774</v>
      </c>
      <c r="B269" s="5" t="s">
        <v>1</v>
      </c>
      <c r="C269" s="5" t="s">
        <v>23</v>
      </c>
      <c r="D269" s="5" t="s">
        <v>3</v>
      </c>
      <c r="E269" s="6">
        <v>40492</v>
      </c>
      <c r="F269" s="5" t="s">
        <v>9</v>
      </c>
      <c r="G269" s="10">
        <v>67230</v>
      </c>
      <c r="H269" s="7">
        <v>4</v>
      </c>
      <c r="I269" s="12">
        <f>IF(OR(Table24[[#This Row],[Rating]]=4,Table24[[#This Row],[Rating]]=5), 0.05*Table24[[#This Row],[Salary]],0)</f>
        <v>3361.5</v>
      </c>
      <c r="J269" s="14">
        <f>VLOOKUP(Table24[[#This Row],[Salary]],'Tax rates'!A$2:C$8, 2) + VLOOKUP(Table24[[#This Row],[Salary]],'Tax rates'!A$2:C$8, 3) * (Table24[[#This Row],[Salary]] - VLOOKUP(Table24[[#This Row],[Salary]],'Tax rates'!A$2:C$8,1))</f>
        <v>10730.1</v>
      </c>
      <c r="K269" s="35">
        <f>Table24[[#This Row],[Salary]]-Table24[[#This Row],[Taxes]]</f>
        <v>56499.9</v>
      </c>
    </row>
    <row r="270" spans="1:11" x14ac:dyDescent="0.25">
      <c r="A270" s="5" t="s">
        <v>345</v>
      </c>
      <c r="B270" s="5" t="s">
        <v>1</v>
      </c>
      <c r="C270" s="5" t="s">
        <v>23</v>
      </c>
      <c r="D270" s="5" t="s">
        <v>3</v>
      </c>
      <c r="E270" s="6">
        <v>40762</v>
      </c>
      <c r="F270" s="5" t="s">
        <v>21</v>
      </c>
      <c r="G270" s="10">
        <v>61470</v>
      </c>
      <c r="H270" s="7">
        <v>5</v>
      </c>
      <c r="I270" s="12">
        <f>IF(OR(Table24[[#This Row],[Rating]]=4,Table24[[#This Row],[Rating]]=5), 0.05*Table24[[#This Row],[Salary]],0)</f>
        <v>3073.5</v>
      </c>
      <c r="J270" s="14">
        <f>VLOOKUP(Table24[[#This Row],[Salary]],'Tax rates'!A$2:C$8, 2) + VLOOKUP(Table24[[#This Row],[Salary]],'Tax rates'!A$2:C$8, 3) * (Table24[[#This Row],[Salary]] - VLOOKUP(Table24[[#This Row],[Salary]],'Tax rates'!A$2:C$8,1))</f>
        <v>9462.9</v>
      </c>
      <c r="K270" s="35">
        <f>Table24[[#This Row],[Salary]]-Table24[[#This Row],[Taxes]]</f>
        <v>52007.1</v>
      </c>
    </row>
    <row r="271" spans="1:11" x14ac:dyDescent="0.25">
      <c r="A271" s="5" t="s">
        <v>433</v>
      </c>
      <c r="B271" s="5" t="s">
        <v>1</v>
      </c>
      <c r="C271" s="5" t="s">
        <v>23</v>
      </c>
      <c r="D271" s="5" t="s">
        <v>3</v>
      </c>
      <c r="E271" s="6">
        <v>39404</v>
      </c>
      <c r="F271" s="5" t="s">
        <v>21</v>
      </c>
      <c r="G271" s="10">
        <v>50990</v>
      </c>
      <c r="H271" s="7">
        <v>4</v>
      </c>
      <c r="I271" s="12">
        <f>IF(OR(Table24[[#This Row],[Rating]]=4,Table24[[#This Row],[Rating]]=5), 0.05*Table24[[#This Row],[Salary]],0)</f>
        <v>2549.5</v>
      </c>
      <c r="J271" s="14">
        <f>VLOOKUP(Table24[[#This Row],[Salary]],'Tax rates'!A$2:C$8, 2) + VLOOKUP(Table24[[#This Row],[Salary]],'Tax rates'!A$2:C$8, 3) * (Table24[[#This Row],[Salary]] - VLOOKUP(Table24[[#This Row],[Salary]],'Tax rates'!A$2:C$8,1))</f>
        <v>7157.3</v>
      </c>
      <c r="K271" s="35">
        <f>Table24[[#This Row],[Salary]]-Table24[[#This Row],[Taxes]]</f>
        <v>43832.7</v>
      </c>
    </row>
    <row r="272" spans="1:11" x14ac:dyDescent="0.25">
      <c r="A272" s="5" t="s">
        <v>250</v>
      </c>
      <c r="B272" s="5" t="s">
        <v>1</v>
      </c>
      <c r="C272" s="5" t="s">
        <v>23</v>
      </c>
      <c r="D272" s="5" t="s">
        <v>3</v>
      </c>
      <c r="E272" s="6">
        <v>38807</v>
      </c>
      <c r="F272" s="5" t="s">
        <v>4</v>
      </c>
      <c r="G272" s="10">
        <v>47060</v>
      </c>
      <c r="H272" s="7">
        <v>4</v>
      </c>
      <c r="I272" s="12">
        <f>IF(OR(Table24[[#This Row],[Rating]]=4,Table24[[#This Row],[Rating]]=5), 0.05*Table24[[#This Row],[Salary]],0)</f>
        <v>2353</v>
      </c>
      <c r="J272" s="14">
        <f>VLOOKUP(Table24[[#This Row],[Salary]],'Tax rates'!A$2:C$8, 2) + VLOOKUP(Table24[[#This Row],[Salary]],'Tax rates'!A$2:C$8, 3) * (Table24[[#This Row],[Salary]] - VLOOKUP(Table24[[#This Row],[Salary]],'Tax rates'!A$2:C$8,1))</f>
        <v>6292.7</v>
      </c>
      <c r="K272" s="35">
        <f>Table24[[#This Row],[Salary]]-Table24[[#This Row],[Taxes]]</f>
        <v>40767.300000000003</v>
      </c>
    </row>
    <row r="273" spans="1:11" x14ac:dyDescent="0.25">
      <c r="A273" s="5" t="s">
        <v>606</v>
      </c>
      <c r="B273" s="5" t="s">
        <v>1</v>
      </c>
      <c r="C273" s="5" t="s">
        <v>23</v>
      </c>
      <c r="D273" s="5" t="s">
        <v>32</v>
      </c>
      <c r="E273" s="6">
        <v>38144</v>
      </c>
      <c r="F273" s="7"/>
      <c r="G273" s="10">
        <v>33512</v>
      </c>
      <c r="H273" s="7">
        <v>4</v>
      </c>
      <c r="I273" s="12">
        <f>IF(OR(Table24[[#This Row],[Rating]]=4,Table24[[#This Row],[Rating]]=5), 0.05*Table24[[#This Row],[Salary]],0)</f>
        <v>1675.6000000000001</v>
      </c>
      <c r="J273" s="14">
        <f>VLOOKUP(Table24[[#This Row],[Salary]],'Tax rates'!A$2:C$8, 2) + VLOOKUP(Table24[[#This Row],[Salary]],'Tax rates'!A$2:C$8, 3) * (Table24[[#This Row],[Salary]] - VLOOKUP(Table24[[#This Row],[Salary]],'Tax rates'!A$2:C$8,1))</f>
        <v>3830.94</v>
      </c>
      <c r="K273" s="35">
        <f>Table24[[#This Row],[Salary]]-Table24[[#This Row],[Taxes]]</f>
        <v>29681.06</v>
      </c>
    </row>
    <row r="274" spans="1:11" x14ac:dyDescent="0.25">
      <c r="A274" s="5" t="s">
        <v>726</v>
      </c>
      <c r="B274" s="5" t="s">
        <v>1</v>
      </c>
      <c r="C274" s="5" t="s">
        <v>23</v>
      </c>
      <c r="D274" s="5" t="s">
        <v>16</v>
      </c>
      <c r="E274" s="6">
        <v>41116</v>
      </c>
      <c r="F274" s="7"/>
      <c r="G274" s="10">
        <v>32650</v>
      </c>
      <c r="H274" s="7">
        <v>1</v>
      </c>
      <c r="I274" s="12">
        <f>IF(OR(Table24[[#This Row],[Rating]]=4,Table24[[#This Row],[Rating]]=5), 0.05*Table24[[#This Row],[Salary]],0)</f>
        <v>0</v>
      </c>
      <c r="J274" s="14">
        <f>VLOOKUP(Table24[[#This Row],[Salary]],'Tax rates'!A$2:C$8, 2) + VLOOKUP(Table24[[#This Row],[Salary]],'Tax rates'!A$2:C$8, 3) * (Table24[[#This Row],[Salary]] - VLOOKUP(Table24[[#This Row],[Salary]],'Tax rates'!A$2:C$8,1))</f>
        <v>3727.5</v>
      </c>
      <c r="K274" s="35">
        <f>Table24[[#This Row],[Salary]]-Table24[[#This Row],[Taxes]]</f>
        <v>28922.5</v>
      </c>
    </row>
    <row r="275" spans="1:11" x14ac:dyDescent="0.25">
      <c r="A275" s="5" t="s">
        <v>505</v>
      </c>
      <c r="B275" s="5" t="s">
        <v>1</v>
      </c>
      <c r="C275" s="5" t="s">
        <v>23</v>
      </c>
      <c r="D275" s="5" t="s">
        <v>24</v>
      </c>
      <c r="E275" s="6">
        <v>36695</v>
      </c>
      <c r="F275" s="5" t="s">
        <v>11</v>
      </c>
      <c r="G275" s="10">
        <v>29005</v>
      </c>
      <c r="H275" s="7">
        <v>1</v>
      </c>
      <c r="I275" s="12">
        <f>IF(OR(Table24[[#This Row],[Rating]]=4,Table24[[#This Row],[Rating]]=5), 0.05*Table24[[#This Row],[Salary]],0)</f>
        <v>0</v>
      </c>
      <c r="J275" s="14">
        <f>VLOOKUP(Table24[[#This Row],[Salary]],'Tax rates'!A$2:C$8, 2) + VLOOKUP(Table24[[#This Row],[Salary]],'Tax rates'!A$2:C$8, 3) * (Table24[[#This Row],[Salary]] - VLOOKUP(Table24[[#This Row],[Salary]],'Tax rates'!A$2:C$8,1))</f>
        <v>3290.1</v>
      </c>
      <c r="K275" s="35">
        <f>Table24[[#This Row],[Salary]]-Table24[[#This Row],[Taxes]]</f>
        <v>25714.9</v>
      </c>
    </row>
    <row r="276" spans="1:11" x14ac:dyDescent="0.25">
      <c r="A276" s="5" t="s">
        <v>337</v>
      </c>
      <c r="B276" s="5" t="s">
        <v>1</v>
      </c>
      <c r="C276" s="5" t="s">
        <v>23</v>
      </c>
      <c r="D276" s="5" t="s">
        <v>3</v>
      </c>
      <c r="E276" s="6">
        <v>38916</v>
      </c>
      <c r="F276" s="5" t="s">
        <v>25</v>
      </c>
      <c r="G276" s="10">
        <v>27560</v>
      </c>
      <c r="H276" s="7">
        <v>2</v>
      </c>
      <c r="I276" s="12">
        <f>IF(OR(Table24[[#This Row],[Rating]]=4,Table24[[#This Row],[Rating]]=5), 0.05*Table24[[#This Row],[Salary]],0)</f>
        <v>0</v>
      </c>
      <c r="J276" s="14">
        <f>VLOOKUP(Table24[[#This Row],[Salary]],'Tax rates'!A$2:C$8, 2) + VLOOKUP(Table24[[#This Row],[Salary]],'Tax rates'!A$2:C$8, 3) * (Table24[[#This Row],[Salary]] - VLOOKUP(Table24[[#This Row],[Salary]],'Tax rates'!A$2:C$8,1))</f>
        <v>3116.7</v>
      </c>
      <c r="K276" s="35">
        <f>Table24[[#This Row],[Salary]]-Table24[[#This Row],[Taxes]]</f>
        <v>24443.3</v>
      </c>
    </row>
    <row r="277" spans="1:11" x14ac:dyDescent="0.25">
      <c r="A277" s="5" t="s">
        <v>210</v>
      </c>
      <c r="B277" s="5" t="s">
        <v>1</v>
      </c>
      <c r="C277" s="5" t="s">
        <v>92</v>
      </c>
      <c r="D277" s="5" t="s">
        <v>32</v>
      </c>
      <c r="E277" s="6">
        <v>37946</v>
      </c>
      <c r="F277" s="5" t="s">
        <v>4</v>
      </c>
      <c r="G277" s="10">
        <v>85130</v>
      </c>
      <c r="H277" s="7">
        <v>5</v>
      </c>
      <c r="I277" s="12">
        <f>IF(OR(Table24[[#This Row],[Rating]]=4,Table24[[#This Row],[Rating]]=5), 0.05*Table24[[#This Row],[Salary]],0)</f>
        <v>4256.5</v>
      </c>
      <c r="J277" s="14">
        <f>VLOOKUP(Table24[[#This Row],[Salary]],'Tax rates'!A$2:C$8, 2) + VLOOKUP(Table24[[#This Row],[Salary]],'Tax rates'!A$2:C$8, 3) * (Table24[[#This Row],[Salary]] - VLOOKUP(Table24[[#This Row],[Salary]],'Tax rates'!A$2:C$8,1))</f>
        <v>14720.7</v>
      </c>
      <c r="K277" s="35">
        <f>Table24[[#This Row],[Salary]]-Table24[[#This Row],[Taxes]]</f>
        <v>70409.3</v>
      </c>
    </row>
    <row r="278" spans="1:11" x14ac:dyDescent="0.25">
      <c r="A278" s="5" t="s">
        <v>277</v>
      </c>
      <c r="B278" s="5" t="s">
        <v>1</v>
      </c>
      <c r="C278" s="5" t="s">
        <v>92</v>
      </c>
      <c r="D278" s="5" t="s">
        <v>24</v>
      </c>
      <c r="E278" s="6">
        <v>37505</v>
      </c>
      <c r="F278" s="5" t="s">
        <v>9</v>
      </c>
      <c r="G278" s="10">
        <v>51800</v>
      </c>
      <c r="H278" s="7">
        <v>1</v>
      </c>
      <c r="I278" s="12">
        <f>IF(OR(Table24[[#This Row],[Rating]]=4,Table24[[#This Row],[Rating]]=5), 0.05*Table24[[#This Row],[Salary]],0)</f>
        <v>0</v>
      </c>
      <c r="J278" s="14">
        <f>VLOOKUP(Table24[[#This Row],[Salary]],'Tax rates'!A$2:C$8, 2) + VLOOKUP(Table24[[#This Row],[Salary]],'Tax rates'!A$2:C$8, 3) * (Table24[[#This Row],[Salary]] - VLOOKUP(Table24[[#This Row],[Salary]],'Tax rates'!A$2:C$8,1))</f>
        <v>7335.5</v>
      </c>
      <c r="K278" s="35">
        <f>Table24[[#This Row],[Salary]]-Table24[[#This Row],[Taxes]]</f>
        <v>44464.5</v>
      </c>
    </row>
    <row r="279" spans="1:11" x14ac:dyDescent="0.25">
      <c r="A279" s="5" t="s">
        <v>119</v>
      </c>
      <c r="B279" s="5" t="s">
        <v>1</v>
      </c>
      <c r="C279" s="5" t="s">
        <v>18</v>
      </c>
      <c r="D279" s="5" t="s">
        <v>3</v>
      </c>
      <c r="E279" s="6">
        <v>35932</v>
      </c>
      <c r="F279" s="5" t="s">
        <v>11</v>
      </c>
      <c r="G279" s="10">
        <v>89740</v>
      </c>
      <c r="H279" s="7">
        <v>5</v>
      </c>
      <c r="I279" s="12">
        <f>IF(OR(Table24[[#This Row],[Rating]]=4,Table24[[#This Row],[Rating]]=5), 0.05*Table24[[#This Row],[Salary]],0)</f>
        <v>4487</v>
      </c>
      <c r="J279" s="14">
        <f>VLOOKUP(Table24[[#This Row],[Salary]],'Tax rates'!A$2:C$8, 2) + VLOOKUP(Table24[[#This Row],[Salary]],'Tax rates'!A$2:C$8, 3) * (Table24[[#This Row],[Salary]] - VLOOKUP(Table24[[#This Row],[Salary]],'Tax rates'!A$2:C$8,1))</f>
        <v>15827.1</v>
      </c>
      <c r="K279" s="35">
        <f>Table24[[#This Row],[Salary]]-Table24[[#This Row],[Taxes]]</f>
        <v>73912.899999999994</v>
      </c>
    </row>
    <row r="280" spans="1:11" x14ac:dyDescent="0.25">
      <c r="A280" s="5" t="s">
        <v>364</v>
      </c>
      <c r="B280" s="5" t="s">
        <v>1</v>
      </c>
      <c r="C280" s="5" t="s">
        <v>18</v>
      </c>
      <c r="D280" s="5" t="s">
        <v>16</v>
      </c>
      <c r="E280" s="6">
        <v>36718</v>
      </c>
      <c r="F280" s="7"/>
      <c r="G280" s="10">
        <v>89520</v>
      </c>
      <c r="H280" s="7">
        <v>5</v>
      </c>
      <c r="I280" s="12">
        <f>IF(OR(Table24[[#This Row],[Rating]]=4,Table24[[#This Row],[Rating]]=5), 0.05*Table24[[#This Row],[Salary]],0)</f>
        <v>4476</v>
      </c>
      <c r="J280" s="14">
        <f>VLOOKUP(Table24[[#This Row],[Salary]],'Tax rates'!A$2:C$8, 2) + VLOOKUP(Table24[[#This Row],[Salary]],'Tax rates'!A$2:C$8, 3) * (Table24[[#This Row],[Salary]] - VLOOKUP(Table24[[#This Row],[Salary]],'Tax rates'!A$2:C$8,1))</f>
        <v>15774.3</v>
      </c>
      <c r="K280" s="35">
        <f>Table24[[#This Row],[Salary]]-Table24[[#This Row],[Taxes]]</f>
        <v>73745.7</v>
      </c>
    </row>
    <row r="281" spans="1:11" x14ac:dyDescent="0.25">
      <c r="A281" s="5" t="s">
        <v>704</v>
      </c>
      <c r="B281" s="5" t="s">
        <v>1</v>
      </c>
      <c r="C281" s="5" t="s">
        <v>18</v>
      </c>
      <c r="D281" s="5" t="s">
        <v>16</v>
      </c>
      <c r="E281" s="6">
        <v>40449</v>
      </c>
      <c r="F281" s="7"/>
      <c r="G281" s="10">
        <v>88840</v>
      </c>
      <c r="H281" s="7">
        <v>5</v>
      </c>
      <c r="I281" s="12">
        <f>IF(OR(Table24[[#This Row],[Rating]]=4,Table24[[#This Row],[Rating]]=5), 0.05*Table24[[#This Row],[Salary]],0)</f>
        <v>4442</v>
      </c>
      <c r="J281" s="14">
        <f>VLOOKUP(Table24[[#This Row],[Salary]],'Tax rates'!A$2:C$8, 2) + VLOOKUP(Table24[[#This Row],[Salary]],'Tax rates'!A$2:C$8, 3) * (Table24[[#This Row],[Salary]] - VLOOKUP(Table24[[#This Row],[Salary]],'Tax rates'!A$2:C$8,1))</f>
        <v>15611.1</v>
      </c>
      <c r="K281" s="35">
        <f>Table24[[#This Row],[Salary]]-Table24[[#This Row],[Taxes]]</f>
        <v>73228.899999999994</v>
      </c>
    </row>
    <row r="282" spans="1:11" x14ac:dyDescent="0.25">
      <c r="A282" s="5" t="s">
        <v>719</v>
      </c>
      <c r="B282" s="5" t="s">
        <v>1</v>
      </c>
      <c r="C282" s="5" t="s">
        <v>18</v>
      </c>
      <c r="D282" s="5" t="s">
        <v>3</v>
      </c>
      <c r="E282" s="6">
        <v>39472</v>
      </c>
      <c r="F282" s="5" t="s">
        <v>4</v>
      </c>
      <c r="G282" s="10">
        <v>87760</v>
      </c>
      <c r="H282" s="7">
        <v>1</v>
      </c>
      <c r="I282" s="12">
        <f>IF(OR(Table24[[#This Row],[Rating]]=4,Table24[[#This Row],[Rating]]=5), 0.05*Table24[[#This Row],[Salary]],0)</f>
        <v>0</v>
      </c>
      <c r="J282" s="14">
        <f>VLOOKUP(Table24[[#This Row],[Salary]],'Tax rates'!A$2:C$8, 2) + VLOOKUP(Table24[[#This Row],[Salary]],'Tax rates'!A$2:C$8, 3) * (Table24[[#This Row],[Salary]] - VLOOKUP(Table24[[#This Row],[Salary]],'Tax rates'!A$2:C$8,1))</f>
        <v>15351.9</v>
      </c>
      <c r="K282" s="35">
        <f>Table24[[#This Row],[Salary]]-Table24[[#This Row],[Taxes]]</f>
        <v>72408.100000000006</v>
      </c>
    </row>
    <row r="283" spans="1:11" x14ac:dyDescent="0.25">
      <c r="A283" s="5" t="s">
        <v>455</v>
      </c>
      <c r="B283" s="5" t="s">
        <v>1</v>
      </c>
      <c r="C283" s="5" t="s">
        <v>18</v>
      </c>
      <c r="D283" s="5" t="s">
        <v>3</v>
      </c>
      <c r="E283" s="6">
        <v>40312</v>
      </c>
      <c r="F283" s="5" t="s">
        <v>4</v>
      </c>
      <c r="G283" s="10">
        <v>73450</v>
      </c>
      <c r="H283" s="7">
        <v>3</v>
      </c>
      <c r="I283" s="12">
        <f>IF(OR(Table24[[#This Row],[Rating]]=4,Table24[[#This Row],[Rating]]=5), 0.05*Table24[[#This Row],[Salary]],0)</f>
        <v>0</v>
      </c>
      <c r="J283" s="14">
        <f>VLOOKUP(Table24[[#This Row],[Salary]],'Tax rates'!A$2:C$8, 2) + VLOOKUP(Table24[[#This Row],[Salary]],'Tax rates'!A$2:C$8, 3) * (Table24[[#This Row],[Salary]] - VLOOKUP(Table24[[#This Row],[Salary]],'Tax rates'!A$2:C$8,1))</f>
        <v>12098.5</v>
      </c>
      <c r="K283" s="35">
        <f>Table24[[#This Row],[Salary]]-Table24[[#This Row],[Taxes]]</f>
        <v>61351.5</v>
      </c>
    </row>
    <row r="284" spans="1:11" x14ac:dyDescent="0.25">
      <c r="A284" s="5" t="s">
        <v>168</v>
      </c>
      <c r="B284" s="5" t="s">
        <v>1</v>
      </c>
      <c r="C284" s="5" t="s">
        <v>18</v>
      </c>
      <c r="D284" s="5" t="s">
        <v>3</v>
      </c>
      <c r="E284" s="6">
        <v>39407</v>
      </c>
      <c r="F284" s="5" t="s">
        <v>11</v>
      </c>
      <c r="G284" s="10">
        <v>73072</v>
      </c>
      <c r="H284" s="7">
        <v>5</v>
      </c>
      <c r="I284" s="12">
        <f>IF(OR(Table24[[#This Row],[Rating]]=4,Table24[[#This Row],[Rating]]=5), 0.05*Table24[[#This Row],[Salary]],0)</f>
        <v>3653.6000000000004</v>
      </c>
      <c r="J284" s="14">
        <f>VLOOKUP(Table24[[#This Row],[Salary]],'Tax rates'!A$2:C$8, 2) + VLOOKUP(Table24[[#This Row],[Salary]],'Tax rates'!A$2:C$8, 3) * (Table24[[#This Row],[Salary]] - VLOOKUP(Table24[[#This Row],[Salary]],'Tax rates'!A$2:C$8,1))</f>
        <v>12015.34</v>
      </c>
      <c r="K284" s="35">
        <f>Table24[[#This Row],[Salary]]-Table24[[#This Row],[Taxes]]</f>
        <v>61056.66</v>
      </c>
    </row>
    <row r="285" spans="1:11" x14ac:dyDescent="0.25">
      <c r="A285" s="5" t="s">
        <v>757</v>
      </c>
      <c r="B285" s="5" t="s">
        <v>1</v>
      </c>
      <c r="C285" s="5" t="s">
        <v>18</v>
      </c>
      <c r="D285" s="5" t="s">
        <v>16</v>
      </c>
      <c r="E285" s="6">
        <v>35997</v>
      </c>
      <c r="F285" s="7"/>
      <c r="G285" s="10">
        <v>72520</v>
      </c>
      <c r="H285" s="7">
        <v>3</v>
      </c>
      <c r="I285" s="12">
        <f>IF(OR(Table24[[#This Row],[Rating]]=4,Table24[[#This Row],[Rating]]=5), 0.05*Table24[[#This Row],[Salary]],0)</f>
        <v>0</v>
      </c>
      <c r="J285" s="14">
        <f>VLOOKUP(Table24[[#This Row],[Salary]],'Tax rates'!A$2:C$8, 2) + VLOOKUP(Table24[[#This Row],[Salary]],'Tax rates'!A$2:C$8, 3) * (Table24[[#This Row],[Salary]] - VLOOKUP(Table24[[#This Row],[Salary]],'Tax rates'!A$2:C$8,1))</f>
        <v>11893.9</v>
      </c>
      <c r="K285" s="35">
        <f>Table24[[#This Row],[Salary]]-Table24[[#This Row],[Taxes]]</f>
        <v>60626.1</v>
      </c>
    </row>
    <row r="286" spans="1:11" x14ac:dyDescent="0.25">
      <c r="A286" s="5" t="s">
        <v>99</v>
      </c>
      <c r="B286" s="5" t="s">
        <v>1</v>
      </c>
      <c r="C286" s="5" t="s">
        <v>18</v>
      </c>
      <c r="D286" s="5" t="s">
        <v>16</v>
      </c>
      <c r="E286" s="6">
        <v>35972</v>
      </c>
      <c r="F286" s="7"/>
      <c r="G286" s="10">
        <v>71710</v>
      </c>
      <c r="H286" s="7">
        <v>5</v>
      </c>
      <c r="I286" s="12">
        <f>IF(OR(Table24[[#This Row],[Rating]]=4,Table24[[#This Row],[Rating]]=5), 0.05*Table24[[#This Row],[Salary]],0)</f>
        <v>3585.5</v>
      </c>
      <c r="J286" s="14">
        <f>VLOOKUP(Table24[[#This Row],[Salary]],'Tax rates'!A$2:C$8, 2) + VLOOKUP(Table24[[#This Row],[Salary]],'Tax rates'!A$2:C$8, 3) * (Table24[[#This Row],[Salary]] - VLOOKUP(Table24[[#This Row],[Salary]],'Tax rates'!A$2:C$8,1))</f>
        <v>11715.7</v>
      </c>
      <c r="K286" s="35">
        <f>Table24[[#This Row],[Salary]]-Table24[[#This Row],[Taxes]]</f>
        <v>59994.3</v>
      </c>
    </row>
    <row r="287" spans="1:11" x14ac:dyDescent="0.25">
      <c r="A287" s="5" t="s">
        <v>687</v>
      </c>
      <c r="B287" s="5" t="s">
        <v>1</v>
      </c>
      <c r="C287" s="5" t="s">
        <v>18</v>
      </c>
      <c r="D287" s="5" t="s">
        <v>3</v>
      </c>
      <c r="E287" s="6">
        <v>36318</v>
      </c>
      <c r="F287" s="5" t="s">
        <v>11</v>
      </c>
      <c r="G287" s="10">
        <v>68750</v>
      </c>
      <c r="H287" s="7">
        <v>1</v>
      </c>
      <c r="I287" s="12">
        <f>IF(OR(Table24[[#This Row],[Rating]]=4,Table24[[#This Row],[Rating]]=5), 0.05*Table24[[#This Row],[Salary]],0)</f>
        <v>0</v>
      </c>
      <c r="J287" s="14">
        <f>VLOOKUP(Table24[[#This Row],[Salary]],'Tax rates'!A$2:C$8, 2) + VLOOKUP(Table24[[#This Row],[Salary]],'Tax rates'!A$2:C$8, 3) * (Table24[[#This Row],[Salary]] - VLOOKUP(Table24[[#This Row],[Salary]],'Tax rates'!A$2:C$8,1))</f>
        <v>11064.5</v>
      </c>
      <c r="K287" s="35">
        <f>Table24[[#This Row],[Salary]]-Table24[[#This Row],[Taxes]]</f>
        <v>57685.5</v>
      </c>
    </row>
    <row r="288" spans="1:11" x14ac:dyDescent="0.25">
      <c r="A288" s="5" t="s">
        <v>412</v>
      </c>
      <c r="B288" s="5" t="s">
        <v>1</v>
      </c>
      <c r="C288" s="5" t="s">
        <v>18</v>
      </c>
      <c r="D288" s="5" t="s">
        <v>16</v>
      </c>
      <c r="E288" s="6">
        <v>36977</v>
      </c>
      <c r="F288" s="7"/>
      <c r="G288" s="10">
        <v>68510</v>
      </c>
      <c r="H288" s="7">
        <v>5</v>
      </c>
      <c r="I288" s="12">
        <f>IF(OR(Table24[[#This Row],[Rating]]=4,Table24[[#This Row],[Rating]]=5), 0.05*Table24[[#This Row],[Salary]],0)</f>
        <v>3425.5</v>
      </c>
      <c r="J288" s="14">
        <f>VLOOKUP(Table24[[#This Row],[Salary]],'Tax rates'!A$2:C$8, 2) + VLOOKUP(Table24[[#This Row],[Salary]],'Tax rates'!A$2:C$8, 3) * (Table24[[#This Row],[Salary]] - VLOOKUP(Table24[[#This Row],[Salary]],'Tax rates'!A$2:C$8,1))</f>
        <v>11011.7</v>
      </c>
      <c r="K288" s="35">
        <f>Table24[[#This Row],[Salary]]-Table24[[#This Row],[Taxes]]</f>
        <v>57498.3</v>
      </c>
    </row>
    <row r="289" spans="1:11" x14ac:dyDescent="0.25">
      <c r="A289" s="5" t="s">
        <v>477</v>
      </c>
      <c r="B289" s="5" t="s">
        <v>1</v>
      </c>
      <c r="C289" s="5" t="s">
        <v>18</v>
      </c>
      <c r="D289" s="5" t="s">
        <v>3</v>
      </c>
      <c r="E289" s="6">
        <v>39354</v>
      </c>
      <c r="F289" s="5" t="s">
        <v>11</v>
      </c>
      <c r="G289" s="10">
        <v>67050</v>
      </c>
      <c r="H289" s="7">
        <v>4</v>
      </c>
      <c r="I289" s="12">
        <f>IF(OR(Table24[[#This Row],[Rating]]=4,Table24[[#This Row],[Rating]]=5), 0.05*Table24[[#This Row],[Salary]],0)</f>
        <v>3352.5</v>
      </c>
      <c r="J289" s="14">
        <f>VLOOKUP(Table24[[#This Row],[Salary]],'Tax rates'!A$2:C$8, 2) + VLOOKUP(Table24[[#This Row],[Salary]],'Tax rates'!A$2:C$8, 3) * (Table24[[#This Row],[Salary]] - VLOOKUP(Table24[[#This Row],[Salary]],'Tax rates'!A$2:C$8,1))</f>
        <v>10690.5</v>
      </c>
      <c r="K289" s="35">
        <f>Table24[[#This Row],[Salary]]-Table24[[#This Row],[Taxes]]</f>
        <v>56359.5</v>
      </c>
    </row>
    <row r="290" spans="1:11" x14ac:dyDescent="0.25">
      <c r="A290" s="5" t="s">
        <v>734</v>
      </c>
      <c r="B290" s="5" t="s">
        <v>1</v>
      </c>
      <c r="C290" s="5" t="s">
        <v>18</v>
      </c>
      <c r="D290" s="5" t="s">
        <v>3</v>
      </c>
      <c r="E290" s="6">
        <v>38990</v>
      </c>
      <c r="F290" s="5" t="s">
        <v>25</v>
      </c>
      <c r="G290" s="10">
        <v>66430</v>
      </c>
      <c r="H290" s="7">
        <v>2</v>
      </c>
      <c r="I290" s="12">
        <f>IF(OR(Table24[[#This Row],[Rating]]=4,Table24[[#This Row],[Rating]]=5), 0.05*Table24[[#This Row],[Salary]],0)</f>
        <v>0</v>
      </c>
      <c r="J290" s="14">
        <f>VLOOKUP(Table24[[#This Row],[Salary]],'Tax rates'!A$2:C$8, 2) + VLOOKUP(Table24[[#This Row],[Salary]],'Tax rates'!A$2:C$8, 3) * (Table24[[#This Row],[Salary]] - VLOOKUP(Table24[[#This Row],[Salary]],'Tax rates'!A$2:C$8,1))</f>
        <v>10554.1</v>
      </c>
      <c r="K290" s="35">
        <f>Table24[[#This Row],[Salary]]-Table24[[#This Row],[Taxes]]</f>
        <v>55875.9</v>
      </c>
    </row>
    <row r="291" spans="1:11" x14ac:dyDescent="0.25">
      <c r="A291" s="5" t="s">
        <v>66</v>
      </c>
      <c r="B291" s="5" t="s">
        <v>1</v>
      </c>
      <c r="C291" s="5" t="s">
        <v>18</v>
      </c>
      <c r="D291" s="5" t="s">
        <v>3</v>
      </c>
      <c r="E291" s="6">
        <v>37068</v>
      </c>
      <c r="F291" s="5" t="s">
        <v>25</v>
      </c>
      <c r="G291" s="10">
        <v>66010</v>
      </c>
      <c r="H291" s="7">
        <v>5</v>
      </c>
      <c r="I291" s="12">
        <f>IF(OR(Table24[[#This Row],[Rating]]=4,Table24[[#This Row],[Rating]]=5), 0.05*Table24[[#This Row],[Salary]],0)</f>
        <v>3300.5</v>
      </c>
      <c r="J291" s="14">
        <f>VLOOKUP(Table24[[#This Row],[Salary]],'Tax rates'!A$2:C$8, 2) + VLOOKUP(Table24[[#This Row],[Salary]],'Tax rates'!A$2:C$8, 3) * (Table24[[#This Row],[Salary]] - VLOOKUP(Table24[[#This Row],[Salary]],'Tax rates'!A$2:C$8,1))</f>
        <v>10461.700000000001</v>
      </c>
      <c r="K291" s="35">
        <f>Table24[[#This Row],[Salary]]-Table24[[#This Row],[Taxes]]</f>
        <v>55548.3</v>
      </c>
    </row>
    <row r="292" spans="1:11" x14ac:dyDescent="0.25">
      <c r="A292" s="5" t="s">
        <v>467</v>
      </c>
      <c r="B292" s="5" t="s">
        <v>1</v>
      </c>
      <c r="C292" s="5" t="s">
        <v>18</v>
      </c>
      <c r="D292" s="5" t="s">
        <v>3</v>
      </c>
      <c r="E292" s="6">
        <v>38821</v>
      </c>
      <c r="F292" s="5" t="s">
        <v>11</v>
      </c>
      <c r="G292" s="10">
        <v>65720</v>
      </c>
      <c r="H292" s="7">
        <v>1</v>
      </c>
      <c r="I292" s="12">
        <f>IF(OR(Table24[[#This Row],[Rating]]=4,Table24[[#This Row],[Rating]]=5), 0.05*Table24[[#This Row],[Salary]],0)</f>
        <v>0</v>
      </c>
      <c r="J292" s="14">
        <f>VLOOKUP(Table24[[#This Row],[Salary]],'Tax rates'!A$2:C$8, 2) + VLOOKUP(Table24[[#This Row],[Salary]],'Tax rates'!A$2:C$8, 3) * (Table24[[#This Row],[Salary]] - VLOOKUP(Table24[[#This Row],[Salary]],'Tax rates'!A$2:C$8,1))</f>
        <v>10397.9</v>
      </c>
      <c r="K292" s="35">
        <f>Table24[[#This Row],[Salary]]-Table24[[#This Row],[Taxes]]</f>
        <v>55322.1</v>
      </c>
    </row>
    <row r="293" spans="1:11" x14ac:dyDescent="0.25">
      <c r="A293" s="5" t="s">
        <v>480</v>
      </c>
      <c r="B293" s="5" t="s">
        <v>1</v>
      </c>
      <c r="C293" s="5" t="s">
        <v>18</v>
      </c>
      <c r="D293" s="5" t="s">
        <v>16</v>
      </c>
      <c r="E293" s="6">
        <v>39189</v>
      </c>
      <c r="F293" s="7"/>
      <c r="G293" s="10">
        <v>63850</v>
      </c>
      <c r="H293" s="7">
        <v>2</v>
      </c>
      <c r="I293" s="12">
        <f>IF(OR(Table24[[#This Row],[Rating]]=4,Table24[[#This Row],[Rating]]=5), 0.05*Table24[[#This Row],[Salary]],0)</f>
        <v>0</v>
      </c>
      <c r="J293" s="14">
        <f>VLOOKUP(Table24[[#This Row],[Salary]],'Tax rates'!A$2:C$8, 2) + VLOOKUP(Table24[[#This Row],[Salary]],'Tax rates'!A$2:C$8, 3) * (Table24[[#This Row],[Salary]] - VLOOKUP(Table24[[#This Row],[Salary]],'Tax rates'!A$2:C$8,1))</f>
        <v>9986.5</v>
      </c>
      <c r="K293" s="35">
        <f>Table24[[#This Row],[Salary]]-Table24[[#This Row],[Taxes]]</f>
        <v>53863.5</v>
      </c>
    </row>
    <row r="294" spans="1:11" x14ac:dyDescent="0.25">
      <c r="A294" s="5" t="s">
        <v>688</v>
      </c>
      <c r="B294" s="5" t="s">
        <v>1</v>
      </c>
      <c r="C294" s="5" t="s">
        <v>18</v>
      </c>
      <c r="D294" s="5" t="s">
        <v>3</v>
      </c>
      <c r="E294" s="6">
        <v>39264</v>
      </c>
      <c r="F294" s="5" t="s">
        <v>25</v>
      </c>
      <c r="G294" s="10">
        <v>63070</v>
      </c>
      <c r="H294" s="7">
        <v>1</v>
      </c>
      <c r="I294" s="12">
        <f>IF(OR(Table24[[#This Row],[Rating]]=4,Table24[[#This Row],[Rating]]=5), 0.05*Table24[[#This Row],[Salary]],0)</f>
        <v>0</v>
      </c>
      <c r="J294" s="14">
        <f>VLOOKUP(Table24[[#This Row],[Salary]],'Tax rates'!A$2:C$8, 2) + VLOOKUP(Table24[[#This Row],[Salary]],'Tax rates'!A$2:C$8, 3) * (Table24[[#This Row],[Salary]] - VLOOKUP(Table24[[#This Row],[Salary]],'Tax rates'!A$2:C$8,1))</f>
        <v>9814.9</v>
      </c>
      <c r="K294" s="35">
        <f>Table24[[#This Row],[Salary]]-Table24[[#This Row],[Taxes]]</f>
        <v>53255.1</v>
      </c>
    </row>
    <row r="295" spans="1:11" x14ac:dyDescent="0.25">
      <c r="A295" s="5" t="s">
        <v>613</v>
      </c>
      <c r="B295" s="5" t="s">
        <v>1</v>
      </c>
      <c r="C295" s="5" t="s">
        <v>18</v>
      </c>
      <c r="D295" s="5" t="s">
        <v>16</v>
      </c>
      <c r="E295" s="6">
        <v>37634</v>
      </c>
      <c r="F295" s="7"/>
      <c r="G295" s="10">
        <v>61370</v>
      </c>
      <c r="H295" s="7">
        <v>3</v>
      </c>
      <c r="I295" s="12">
        <f>IF(OR(Table24[[#This Row],[Rating]]=4,Table24[[#This Row],[Rating]]=5), 0.05*Table24[[#This Row],[Salary]],0)</f>
        <v>0</v>
      </c>
      <c r="J295" s="14">
        <f>VLOOKUP(Table24[[#This Row],[Salary]],'Tax rates'!A$2:C$8, 2) + VLOOKUP(Table24[[#This Row],[Salary]],'Tax rates'!A$2:C$8, 3) * (Table24[[#This Row],[Salary]] - VLOOKUP(Table24[[#This Row],[Salary]],'Tax rates'!A$2:C$8,1))</f>
        <v>9440.9</v>
      </c>
      <c r="K295" s="35">
        <f>Table24[[#This Row],[Salary]]-Table24[[#This Row],[Taxes]]</f>
        <v>51929.1</v>
      </c>
    </row>
    <row r="296" spans="1:11" x14ac:dyDescent="0.25">
      <c r="A296" s="5" t="s">
        <v>598</v>
      </c>
      <c r="B296" s="5" t="s">
        <v>1</v>
      </c>
      <c r="C296" s="5" t="s">
        <v>18</v>
      </c>
      <c r="D296" s="5" t="s">
        <v>3</v>
      </c>
      <c r="E296" s="6">
        <v>39760</v>
      </c>
      <c r="F296" s="5" t="s">
        <v>4</v>
      </c>
      <c r="G296" s="10">
        <v>61060</v>
      </c>
      <c r="H296" s="7">
        <v>5</v>
      </c>
      <c r="I296" s="12">
        <f>IF(OR(Table24[[#This Row],[Rating]]=4,Table24[[#This Row],[Rating]]=5), 0.05*Table24[[#This Row],[Salary]],0)</f>
        <v>3053</v>
      </c>
      <c r="J296" s="14">
        <f>VLOOKUP(Table24[[#This Row],[Salary]],'Tax rates'!A$2:C$8, 2) + VLOOKUP(Table24[[#This Row],[Salary]],'Tax rates'!A$2:C$8, 3) * (Table24[[#This Row],[Salary]] - VLOOKUP(Table24[[#This Row],[Salary]],'Tax rates'!A$2:C$8,1))</f>
        <v>9372.7000000000007</v>
      </c>
      <c r="K296" s="35">
        <f>Table24[[#This Row],[Salary]]-Table24[[#This Row],[Taxes]]</f>
        <v>51687.3</v>
      </c>
    </row>
    <row r="297" spans="1:11" x14ac:dyDescent="0.25">
      <c r="A297" s="5" t="s">
        <v>141</v>
      </c>
      <c r="B297" s="5" t="s">
        <v>1</v>
      </c>
      <c r="C297" s="5" t="s">
        <v>18</v>
      </c>
      <c r="D297" s="5" t="s">
        <v>16</v>
      </c>
      <c r="E297" s="6">
        <v>38044</v>
      </c>
      <c r="F297" s="7"/>
      <c r="G297" s="10">
        <v>57410</v>
      </c>
      <c r="H297" s="7">
        <v>2</v>
      </c>
      <c r="I297" s="12">
        <f>IF(OR(Table24[[#This Row],[Rating]]=4,Table24[[#This Row],[Rating]]=5), 0.05*Table24[[#This Row],[Salary]],0)</f>
        <v>0</v>
      </c>
      <c r="J297" s="14">
        <f>VLOOKUP(Table24[[#This Row],[Salary]],'Tax rates'!A$2:C$8, 2) + VLOOKUP(Table24[[#This Row],[Salary]],'Tax rates'!A$2:C$8, 3) * (Table24[[#This Row],[Salary]] - VLOOKUP(Table24[[#This Row],[Salary]],'Tax rates'!A$2:C$8,1))</f>
        <v>8569.7000000000007</v>
      </c>
      <c r="K297" s="35">
        <f>Table24[[#This Row],[Salary]]-Table24[[#This Row],[Taxes]]</f>
        <v>48840.3</v>
      </c>
    </row>
    <row r="298" spans="1:11" x14ac:dyDescent="0.25">
      <c r="A298" s="5" t="s">
        <v>602</v>
      </c>
      <c r="B298" s="5" t="s">
        <v>1</v>
      </c>
      <c r="C298" s="5" t="s">
        <v>18</v>
      </c>
      <c r="D298" s="5" t="s">
        <v>3</v>
      </c>
      <c r="E298" s="6">
        <v>40918</v>
      </c>
      <c r="F298" s="5" t="s">
        <v>603</v>
      </c>
      <c r="G298" s="10">
        <v>56900</v>
      </c>
      <c r="H298" s="7">
        <v>5</v>
      </c>
      <c r="I298" s="12">
        <f>IF(OR(Table24[[#This Row],[Rating]]=4,Table24[[#This Row],[Rating]]=5), 0.05*Table24[[#This Row],[Salary]],0)</f>
        <v>2845</v>
      </c>
      <c r="J298" s="14">
        <f>VLOOKUP(Table24[[#This Row],[Salary]],'Tax rates'!A$2:C$8, 2) + VLOOKUP(Table24[[#This Row],[Salary]],'Tax rates'!A$2:C$8, 3) * (Table24[[#This Row],[Salary]] - VLOOKUP(Table24[[#This Row],[Salary]],'Tax rates'!A$2:C$8,1))</f>
        <v>8457.5</v>
      </c>
      <c r="K298" s="35">
        <f>Table24[[#This Row],[Salary]]-Table24[[#This Row],[Taxes]]</f>
        <v>48442.5</v>
      </c>
    </row>
    <row r="299" spans="1:11" x14ac:dyDescent="0.25">
      <c r="A299" s="5" t="s">
        <v>739</v>
      </c>
      <c r="B299" s="5" t="s">
        <v>1</v>
      </c>
      <c r="C299" s="5" t="s">
        <v>18</v>
      </c>
      <c r="D299" s="5" t="s">
        <v>3</v>
      </c>
      <c r="E299" s="6">
        <v>37866</v>
      </c>
      <c r="F299" s="5" t="s">
        <v>25</v>
      </c>
      <c r="G299" s="10">
        <v>54230</v>
      </c>
      <c r="H299" s="7">
        <v>5</v>
      </c>
      <c r="I299" s="12">
        <f>IF(OR(Table24[[#This Row],[Rating]]=4,Table24[[#This Row],[Rating]]=5), 0.05*Table24[[#This Row],[Salary]],0)</f>
        <v>2711.5</v>
      </c>
      <c r="J299" s="14">
        <f>VLOOKUP(Table24[[#This Row],[Salary]],'Tax rates'!A$2:C$8, 2) + VLOOKUP(Table24[[#This Row],[Salary]],'Tax rates'!A$2:C$8, 3) * (Table24[[#This Row],[Salary]] - VLOOKUP(Table24[[#This Row],[Salary]],'Tax rates'!A$2:C$8,1))</f>
        <v>7870.1</v>
      </c>
      <c r="K299" s="35">
        <f>Table24[[#This Row],[Salary]]-Table24[[#This Row],[Taxes]]</f>
        <v>46359.9</v>
      </c>
    </row>
    <row r="300" spans="1:11" x14ac:dyDescent="0.25">
      <c r="A300" s="5" t="s">
        <v>97</v>
      </c>
      <c r="B300" s="5" t="s">
        <v>1</v>
      </c>
      <c r="C300" s="5" t="s">
        <v>18</v>
      </c>
      <c r="D300" s="5" t="s">
        <v>24</v>
      </c>
      <c r="E300" s="6">
        <v>36604</v>
      </c>
      <c r="F300" s="5" t="s">
        <v>11</v>
      </c>
      <c r="G300" s="10">
        <v>46710</v>
      </c>
      <c r="H300" s="7">
        <v>3</v>
      </c>
      <c r="I300" s="12">
        <f>IF(OR(Table24[[#This Row],[Rating]]=4,Table24[[#This Row],[Rating]]=5), 0.05*Table24[[#This Row],[Salary]],0)</f>
        <v>0</v>
      </c>
      <c r="J300" s="14">
        <f>VLOOKUP(Table24[[#This Row],[Salary]],'Tax rates'!A$2:C$8, 2) + VLOOKUP(Table24[[#This Row],[Salary]],'Tax rates'!A$2:C$8, 3) * (Table24[[#This Row],[Salary]] - VLOOKUP(Table24[[#This Row],[Salary]],'Tax rates'!A$2:C$8,1))</f>
        <v>6215.7</v>
      </c>
      <c r="K300" s="35">
        <f>Table24[[#This Row],[Salary]]-Table24[[#This Row],[Taxes]]</f>
        <v>40494.300000000003</v>
      </c>
    </row>
    <row r="301" spans="1:11" x14ac:dyDescent="0.25">
      <c r="A301" s="5" t="s">
        <v>574</v>
      </c>
      <c r="B301" s="5" t="s">
        <v>1</v>
      </c>
      <c r="C301" s="5" t="s">
        <v>18</v>
      </c>
      <c r="D301" s="5" t="s">
        <v>24</v>
      </c>
      <c r="E301" s="6">
        <v>40302</v>
      </c>
      <c r="F301" s="5" t="s">
        <v>4</v>
      </c>
      <c r="G301" s="10">
        <v>46285</v>
      </c>
      <c r="H301" s="7">
        <v>5</v>
      </c>
      <c r="I301" s="12">
        <f>IF(OR(Table24[[#This Row],[Rating]]=4,Table24[[#This Row],[Rating]]=5), 0.05*Table24[[#This Row],[Salary]],0)</f>
        <v>2314.25</v>
      </c>
      <c r="J301" s="14">
        <f>VLOOKUP(Table24[[#This Row],[Salary]],'Tax rates'!A$2:C$8, 2) + VLOOKUP(Table24[[#This Row],[Salary]],'Tax rates'!A$2:C$8, 3) * (Table24[[#This Row],[Salary]] - VLOOKUP(Table24[[#This Row],[Salary]],'Tax rates'!A$2:C$8,1))</f>
        <v>6122.2</v>
      </c>
      <c r="K301" s="35">
        <f>Table24[[#This Row],[Salary]]-Table24[[#This Row],[Taxes]]</f>
        <v>40162.800000000003</v>
      </c>
    </row>
    <row r="302" spans="1:11" x14ac:dyDescent="0.25">
      <c r="A302" s="5" t="s">
        <v>444</v>
      </c>
      <c r="B302" s="5" t="s">
        <v>1</v>
      </c>
      <c r="C302" s="5" t="s">
        <v>18</v>
      </c>
      <c r="D302" s="5" t="s">
        <v>16</v>
      </c>
      <c r="E302" s="6">
        <v>36729</v>
      </c>
      <c r="F302" s="7"/>
      <c r="G302" s="10">
        <v>45420</v>
      </c>
      <c r="H302" s="7">
        <v>1</v>
      </c>
      <c r="I302" s="12">
        <f>IF(OR(Table24[[#This Row],[Rating]]=4,Table24[[#This Row],[Rating]]=5), 0.05*Table24[[#This Row],[Salary]],0)</f>
        <v>0</v>
      </c>
      <c r="J302" s="14">
        <f>VLOOKUP(Table24[[#This Row],[Salary]],'Tax rates'!A$2:C$8, 2) + VLOOKUP(Table24[[#This Row],[Salary]],'Tax rates'!A$2:C$8, 3) * (Table24[[#This Row],[Salary]] - VLOOKUP(Table24[[#This Row],[Salary]],'Tax rates'!A$2:C$8,1))</f>
        <v>5931.9</v>
      </c>
      <c r="K302" s="35">
        <f>Table24[[#This Row],[Salary]]-Table24[[#This Row],[Taxes]]</f>
        <v>39488.1</v>
      </c>
    </row>
    <row r="303" spans="1:11" x14ac:dyDescent="0.25">
      <c r="A303" s="5" t="s">
        <v>272</v>
      </c>
      <c r="B303" s="5" t="s">
        <v>1</v>
      </c>
      <c r="C303" s="5" t="s">
        <v>18</v>
      </c>
      <c r="D303" s="5" t="s">
        <v>3</v>
      </c>
      <c r="E303" s="6">
        <v>40603</v>
      </c>
      <c r="F303" s="5" t="s">
        <v>21</v>
      </c>
      <c r="G303" s="10">
        <v>44260</v>
      </c>
      <c r="H303" s="7">
        <v>1</v>
      </c>
      <c r="I303" s="12">
        <f>IF(OR(Table24[[#This Row],[Rating]]=4,Table24[[#This Row],[Rating]]=5), 0.05*Table24[[#This Row],[Salary]],0)</f>
        <v>0</v>
      </c>
      <c r="J303" s="14">
        <f>VLOOKUP(Table24[[#This Row],[Salary]],'Tax rates'!A$2:C$8, 2) + VLOOKUP(Table24[[#This Row],[Salary]],'Tax rates'!A$2:C$8, 3) * (Table24[[#This Row],[Salary]] - VLOOKUP(Table24[[#This Row],[Salary]],'Tax rates'!A$2:C$8,1))</f>
        <v>5676.7</v>
      </c>
      <c r="K303" s="35">
        <f>Table24[[#This Row],[Salary]]-Table24[[#This Row],[Taxes]]</f>
        <v>38583.300000000003</v>
      </c>
    </row>
    <row r="304" spans="1:11" x14ac:dyDescent="0.25">
      <c r="A304" s="5" t="s">
        <v>627</v>
      </c>
      <c r="B304" s="5" t="s">
        <v>1</v>
      </c>
      <c r="C304" s="5" t="s">
        <v>18</v>
      </c>
      <c r="D304" s="5" t="s">
        <v>16</v>
      </c>
      <c r="E304" s="6">
        <v>39603</v>
      </c>
      <c r="F304" s="7"/>
      <c r="G304" s="10">
        <v>40940</v>
      </c>
      <c r="H304" s="7">
        <v>2</v>
      </c>
      <c r="I304" s="12">
        <f>IF(OR(Table24[[#This Row],[Rating]]=4,Table24[[#This Row],[Rating]]=5), 0.05*Table24[[#This Row],[Salary]],0)</f>
        <v>0</v>
      </c>
      <c r="J304" s="14">
        <f>VLOOKUP(Table24[[#This Row],[Salary]],'Tax rates'!A$2:C$8, 2) + VLOOKUP(Table24[[#This Row],[Salary]],'Tax rates'!A$2:C$8, 3) * (Table24[[#This Row],[Salary]] - VLOOKUP(Table24[[#This Row],[Salary]],'Tax rates'!A$2:C$8,1))</f>
        <v>4946.3</v>
      </c>
      <c r="K304" s="35">
        <f>Table24[[#This Row],[Salary]]-Table24[[#This Row],[Taxes]]</f>
        <v>35993.699999999997</v>
      </c>
    </row>
    <row r="305" spans="1:11" x14ac:dyDescent="0.25">
      <c r="A305" s="5" t="s">
        <v>610</v>
      </c>
      <c r="B305" s="5" t="s">
        <v>1</v>
      </c>
      <c r="C305" s="5" t="s">
        <v>18</v>
      </c>
      <c r="D305" s="5" t="s">
        <v>16</v>
      </c>
      <c r="E305" s="6">
        <v>38073</v>
      </c>
      <c r="F305" s="7"/>
      <c r="G305" s="10">
        <v>39300</v>
      </c>
      <c r="H305" s="7">
        <v>2</v>
      </c>
      <c r="I305" s="12">
        <f>IF(OR(Table24[[#This Row],[Rating]]=4,Table24[[#This Row],[Rating]]=5), 0.05*Table24[[#This Row],[Salary]],0)</f>
        <v>0</v>
      </c>
      <c r="J305" s="14">
        <f>VLOOKUP(Table24[[#This Row],[Salary]],'Tax rates'!A$2:C$8, 2) + VLOOKUP(Table24[[#This Row],[Salary]],'Tax rates'!A$2:C$8, 3) * (Table24[[#This Row],[Salary]] - VLOOKUP(Table24[[#This Row],[Salary]],'Tax rates'!A$2:C$8,1))</f>
        <v>4585.5</v>
      </c>
      <c r="K305" s="35">
        <f>Table24[[#This Row],[Salary]]-Table24[[#This Row],[Taxes]]</f>
        <v>34714.5</v>
      </c>
    </row>
    <row r="306" spans="1:11" x14ac:dyDescent="0.25">
      <c r="A306" s="5" t="s">
        <v>749</v>
      </c>
      <c r="B306" s="5" t="s">
        <v>1</v>
      </c>
      <c r="C306" s="5" t="s">
        <v>18</v>
      </c>
      <c r="D306" s="5" t="s">
        <v>3</v>
      </c>
      <c r="E306" s="6">
        <v>36707</v>
      </c>
      <c r="F306" s="5" t="s">
        <v>9</v>
      </c>
      <c r="G306" s="10">
        <v>38870</v>
      </c>
      <c r="H306" s="7">
        <v>2</v>
      </c>
      <c r="I306" s="12">
        <f>IF(OR(Table24[[#This Row],[Rating]]=4,Table24[[#This Row],[Rating]]=5), 0.05*Table24[[#This Row],[Salary]],0)</f>
        <v>0</v>
      </c>
      <c r="J306" s="14">
        <f>VLOOKUP(Table24[[#This Row],[Salary]],'Tax rates'!A$2:C$8, 2) + VLOOKUP(Table24[[#This Row],[Salary]],'Tax rates'!A$2:C$8, 3) * (Table24[[#This Row],[Salary]] - VLOOKUP(Table24[[#This Row],[Salary]],'Tax rates'!A$2:C$8,1))</f>
        <v>4490.8999999999996</v>
      </c>
      <c r="K306" s="35">
        <f>Table24[[#This Row],[Salary]]-Table24[[#This Row],[Taxes]]</f>
        <v>34379.1</v>
      </c>
    </row>
    <row r="307" spans="1:11" x14ac:dyDescent="0.25">
      <c r="A307" s="5" t="s">
        <v>208</v>
      </c>
      <c r="B307" s="5" t="s">
        <v>1</v>
      </c>
      <c r="C307" s="5" t="s">
        <v>18</v>
      </c>
      <c r="D307" s="5" t="s">
        <v>16</v>
      </c>
      <c r="E307" s="6">
        <v>38321</v>
      </c>
      <c r="F307" s="7"/>
      <c r="G307" s="10">
        <v>37980</v>
      </c>
      <c r="H307" s="7">
        <v>4</v>
      </c>
      <c r="I307" s="12">
        <f>IF(OR(Table24[[#This Row],[Rating]]=4,Table24[[#This Row],[Rating]]=5), 0.05*Table24[[#This Row],[Salary]],0)</f>
        <v>1899</v>
      </c>
      <c r="J307" s="14">
        <f>VLOOKUP(Table24[[#This Row],[Salary]],'Tax rates'!A$2:C$8, 2) + VLOOKUP(Table24[[#This Row],[Salary]],'Tax rates'!A$2:C$8, 3) * (Table24[[#This Row],[Salary]] - VLOOKUP(Table24[[#This Row],[Salary]],'Tax rates'!A$2:C$8,1))</f>
        <v>4367.1000000000004</v>
      </c>
      <c r="K307" s="35">
        <f>Table24[[#This Row],[Salary]]-Table24[[#This Row],[Taxes]]</f>
        <v>33612.9</v>
      </c>
    </row>
    <row r="308" spans="1:11" x14ac:dyDescent="0.25">
      <c r="A308" s="5" t="s">
        <v>53</v>
      </c>
      <c r="B308" s="5" t="s">
        <v>1</v>
      </c>
      <c r="C308" s="5" t="s">
        <v>18</v>
      </c>
      <c r="D308" s="5" t="s">
        <v>3</v>
      </c>
      <c r="E308" s="6">
        <v>36332</v>
      </c>
      <c r="F308" s="5" t="s">
        <v>21</v>
      </c>
      <c r="G308" s="10">
        <v>37760</v>
      </c>
      <c r="H308" s="7">
        <v>2</v>
      </c>
      <c r="I308" s="12">
        <f>IF(OR(Table24[[#This Row],[Rating]]=4,Table24[[#This Row],[Rating]]=5), 0.05*Table24[[#This Row],[Salary]],0)</f>
        <v>0</v>
      </c>
      <c r="J308" s="14">
        <f>VLOOKUP(Table24[[#This Row],[Salary]],'Tax rates'!A$2:C$8, 2) + VLOOKUP(Table24[[#This Row],[Salary]],'Tax rates'!A$2:C$8, 3) * (Table24[[#This Row],[Salary]] - VLOOKUP(Table24[[#This Row],[Salary]],'Tax rates'!A$2:C$8,1))</f>
        <v>4340.7</v>
      </c>
      <c r="K308" s="35">
        <f>Table24[[#This Row],[Salary]]-Table24[[#This Row],[Taxes]]</f>
        <v>33419.300000000003</v>
      </c>
    </row>
    <row r="309" spans="1:11" x14ac:dyDescent="0.25">
      <c r="A309" s="5" t="s">
        <v>472</v>
      </c>
      <c r="B309" s="5" t="s">
        <v>1</v>
      </c>
      <c r="C309" s="5" t="s">
        <v>18</v>
      </c>
      <c r="D309" s="5" t="s">
        <v>3</v>
      </c>
      <c r="E309" s="6">
        <v>36431</v>
      </c>
      <c r="F309" s="5" t="s">
        <v>4</v>
      </c>
      <c r="G309" s="10">
        <v>35820</v>
      </c>
      <c r="H309" s="7">
        <v>2</v>
      </c>
      <c r="I309" s="12">
        <f>IF(OR(Table24[[#This Row],[Rating]]=4,Table24[[#This Row],[Rating]]=5), 0.05*Table24[[#This Row],[Salary]],0)</f>
        <v>0</v>
      </c>
      <c r="J309" s="14">
        <f>VLOOKUP(Table24[[#This Row],[Salary]],'Tax rates'!A$2:C$8, 2) + VLOOKUP(Table24[[#This Row],[Salary]],'Tax rates'!A$2:C$8, 3) * (Table24[[#This Row],[Salary]] - VLOOKUP(Table24[[#This Row],[Salary]],'Tax rates'!A$2:C$8,1))</f>
        <v>4107.8999999999996</v>
      </c>
      <c r="K309" s="35">
        <f>Table24[[#This Row],[Salary]]-Table24[[#This Row],[Taxes]]</f>
        <v>31712.1</v>
      </c>
    </row>
    <row r="310" spans="1:11" x14ac:dyDescent="0.25">
      <c r="A310" s="5" t="s">
        <v>456</v>
      </c>
      <c r="B310" s="5" t="s">
        <v>1</v>
      </c>
      <c r="C310" s="5" t="s">
        <v>18</v>
      </c>
      <c r="D310" s="5" t="s">
        <v>3</v>
      </c>
      <c r="E310" s="6">
        <v>40203</v>
      </c>
      <c r="F310" s="5" t="s">
        <v>4</v>
      </c>
      <c r="G310" s="10">
        <v>35600</v>
      </c>
      <c r="H310" s="7">
        <v>5</v>
      </c>
      <c r="I310" s="12">
        <f>IF(OR(Table24[[#This Row],[Rating]]=4,Table24[[#This Row],[Rating]]=5), 0.05*Table24[[#This Row],[Salary]],0)</f>
        <v>1780</v>
      </c>
      <c r="J310" s="14">
        <f>VLOOKUP(Table24[[#This Row],[Salary]],'Tax rates'!A$2:C$8, 2) + VLOOKUP(Table24[[#This Row],[Salary]],'Tax rates'!A$2:C$8, 3) * (Table24[[#This Row],[Salary]] - VLOOKUP(Table24[[#This Row],[Salary]],'Tax rates'!A$2:C$8,1))</f>
        <v>4081.5</v>
      </c>
      <c r="K310" s="35">
        <f>Table24[[#This Row],[Salary]]-Table24[[#This Row],[Taxes]]</f>
        <v>31518.5</v>
      </c>
    </row>
    <row r="311" spans="1:11" x14ac:dyDescent="0.25">
      <c r="A311" s="5" t="s">
        <v>234</v>
      </c>
      <c r="B311" s="5" t="s">
        <v>1</v>
      </c>
      <c r="C311" s="5" t="s">
        <v>18</v>
      </c>
      <c r="D311" s="5" t="s">
        <v>3</v>
      </c>
      <c r="E311" s="6">
        <v>38813</v>
      </c>
      <c r="F311" s="5" t="s">
        <v>11</v>
      </c>
      <c r="G311" s="10">
        <v>32390</v>
      </c>
      <c r="H311" s="7">
        <v>2</v>
      </c>
      <c r="I311" s="12">
        <f>IF(OR(Table24[[#This Row],[Rating]]=4,Table24[[#This Row],[Rating]]=5), 0.05*Table24[[#This Row],[Salary]],0)</f>
        <v>0</v>
      </c>
      <c r="J311" s="14">
        <f>VLOOKUP(Table24[[#This Row],[Salary]],'Tax rates'!A$2:C$8, 2) + VLOOKUP(Table24[[#This Row],[Salary]],'Tax rates'!A$2:C$8, 3) * (Table24[[#This Row],[Salary]] - VLOOKUP(Table24[[#This Row],[Salary]],'Tax rates'!A$2:C$8,1))</f>
        <v>3696.2999999999997</v>
      </c>
      <c r="K311" s="35">
        <f>Table24[[#This Row],[Salary]]-Table24[[#This Row],[Taxes]]</f>
        <v>28693.7</v>
      </c>
    </row>
    <row r="312" spans="1:11" x14ac:dyDescent="0.25">
      <c r="A312" s="5" t="s">
        <v>224</v>
      </c>
      <c r="B312" s="5" t="s">
        <v>1</v>
      </c>
      <c r="C312" s="5" t="s">
        <v>18</v>
      </c>
      <c r="D312" s="5" t="s">
        <v>16</v>
      </c>
      <c r="E312" s="6">
        <v>41079</v>
      </c>
      <c r="F312" s="7"/>
      <c r="G312" s="10">
        <v>32190</v>
      </c>
      <c r="H312" s="7">
        <v>3</v>
      </c>
      <c r="I312" s="12">
        <f>IF(OR(Table24[[#This Row],[Rating]]=4,Table24[[#This Row],[Rating]]=5), 0.05*Table24[[#This Row],[Salary]],0)</f>
        <v>0</v>
      </c>
      <c r="J312" s="14">
        <f>VLOOKUP(Table24[[#This Row],[Salary]],'Tax rates'!A$2:C$8, 2) + VLOOKUP(Table24[[#This Row],[Salary]],'Tax rates'!A$2:C$8, 3) * (Table24[[#This Row],[Salary]] - VLOOKUP(Table24[[#This Row],[Salary]],'Tax rates'!A$2:C$8,1))</f>
        <v>3672.2999999999997</v>
      </c>
      <c r="K312" s="35">
        <f>Table24[[#This Row],[Salary]]-Table24[[#This Row],[Taxes]]</f>
        <v>28517.7</v>
      </c>
    </row>
    <row r="313" spans="1:11" x14ac:dyDescent="0.25">
      <c r="A313" s="5" t="s">
        <v>343</v>
      </c>
      <c r="B313" s="5" t="s">
        <v>1</v>
      </c>
      <c r="C313" s="5" t="s">
        <v>18</v>
      </c>
      <c r="D313" s="5" t="s">
        <v>3</v>
      </c>
      <c r="E313" s="6">
        <v>38832</v>
      </c>
      <c r="F313" s="5" t="s">
        <v>9</v>
      </c>
      <c r="G313" s="10">
        <v>29420</v>
      </c>
      <c r="H313" s="7">
        <v>5</v>
      </c>
      <c r="I313" s="12">
        <f>IF(OR(Table24[[#This Row],[Rating]]=4,Table24[[#This Row],[Rating]]=5), 0.05*Table24[[#This Row],[Salary]],0)</f>
        <v>1471</v>
      </c>
      <c r="J313" s="14">
        <f>VLOOKUP(Table24[[#This Row],[Salary]],'Tax rates'!A$2:C$8, 2) + VLOOKUP(Table24[[#This Row],[Salary]],'Tax rates'!A$2:C$8, 3) * (Table24[[#This Row],[Salary]] - VLOOKUP(Table24[[#This Row],[Salary]],'Tax rates'!A$2:C$8,1))</f>
        <v>3339.9</v>
      </c>
      <c r="K313" s="35">
        <f>Table24[[#This Row],[Salary]]-Table24[[#This Row],[Taxes]]</f>
        <v>26080.1</v>
      </c>
    </row>
    <row r="314" spans="1:11" x14ac:dyDescent="0.25">
      <c r="A314" s="5" t="s">
        <v>171</v>
      </c>
      <c r="B314" s="5" t="s">
        <v>1</v>
      </c>
      <c r="C314" s="5" t="s">
        <v>18</v>
      </c>
      <c r="D314" s="5" t="s">
        <v>3</v>
      </c>
      <c r="E314" s="6">
        <v>37394</v>
      </c>
      <c r="F314" s="5" t="s">
        <v>4</v>
      </c>
      <c r="G314" s="10">
        <v>28970</v>
      </c>
      <c r="H314" s="7">
        <v>3</v>
      </c>
      <c r="I314" s="12">
        <f>IF(OR(Table24[[#This Row],[Rating]]=4,Table24[[#This Row],[Rating]]=5), 0.05*Table24[[#This Row],[Salary]],0)</f>
        <v>0</v>
      </c>
      <c r="J314" s="14">
        <f>VLOOKUP(Table24[[#This Row],[Salary]],'Tax rates'!A$2:C$8, 2) + VLOOKUP(Table24[[#This Row],[Salary]],'Tax rates'!A$2:C$8, 3) * (Table24[[#This Row],[Salary]] - VLOOKUP(Table24[[#This Row],[Salary]],'Tax rates'!A$2:C$8,1))</f>
        <v>3285.9</v>
      </c>
      <c r="K314" s="35">
        <f>Table24[[#This Row],[Salary]]-Table24[[#This Row],[Taxes]]</f>
        <v>25684.1</v>
      </c>
    </row>
    <row r="315" spans="1:11" x14ac:dyDescent="0.25">
      <c r="A315" s="5" t="s">
        <v>336</v>
      </c>
      <c r="B315" s="5" t="s">
        <v>1</v>
      </c>
      <c r="C315" s="5" t="s">
        <v>18</v>
      </c>
      <c r="D315" s="5" t="s">
        <v>16</v>
      </c>
      <c r="E315" s="6">
        <v>40298</v>
      </c>
      <c r="F315" s="7"/>
      <c r="G315" s="10">
        <v>24410</v>
      </c>
      <c r="H315" s="7">
        <v>3</v>
      </c>
      <c r="I315" s="12">
        <f>IF(OR(Table24[[#This Row],[Rating]]=4,Table24[[#This Row],[Rating]]=5), 0.05*Table24[[#This Row],[Salary]],0)</f>
        <v>0</v>
      </c>
      <c r="J315" s="14">
        <f>VLOOKUP(Table24[[#This Row],[Salary]],'Tax rates'!A$2:C$8, 2) + VLOOKUP(Table24[[#This Row],[Salary]],'Tax rates'!A$2:C$8, 3) * (Table24[[#This Row],[Salary]] - VLOOKUP(Table24[[#This Row],[Salary]],'Tax rates'!A$2:C$8,1))</f>
        <v>2738.7</v>
      </c>
      <c r="K315" s="35">
        <f>Table24[[#This Row],[Salary]]-Table24[[#This Row],[Taxes]]</f>
        <v>21671.3</v>
      </c>
    </row>
    <row r="316" spans="1:11" x14ac:dyDescent="0.25">
      <c r="A316" s="5" t="s">
        <v>555</v>
      </c>
      <c r="B316" s="5" t="s">
        <v>1</v>
      </c>
      <c r="C316" s="5" t="s">
        <v>18</v>
      </c>
      <c r="D316" s="5" t="s">
        <v>24</v>
      </c>
      <c r="E316" s="6">
        <v>36422</v>
      </c>
      <c r="F316" s="5" t="s">
        <v>11</v>
      </c>
      <c r="G316" s="10">
        <v>17270</v>
      </c>
      <c r="H316" s="7">
        <v>5</v>
      </c>
      <c r="I316" s="12">
        <f>IF(OR(Table24[[#This Row],[Rating]]=4,Table24[[#This Row],[Rating]]=5), 0.05*Table24[[#This Row],[Salary]],0)</f>
        <v>863.5</v>
      </c>
      <c r="J316" s="14">
        <f>VLOOKUP(Table24[[#This Row],[Salary]],'Tax rates'!A$2:C$8, 2) + VLOOKUP(Table24[[#This Row],[Salary]],'Tax rates'!A$2:C$8, 3) * (Table24[[#This Row],[Salary]] - VLOOKUP(Table24[[#This Row],[Salary]],'Tax rates'!A$2:C$8,1))</f>
        <v>1881.9</v>
      </c>
      <c r="K316" s="35">
        <f>Table24[[#This Row],[Salary]]-Table24[[#This Row],[Taxes]]</f>
        <v>15388.1</v>
      </c>
    </row>
    <row r="317" spans="1:11" x14ac:dyDescent="0.25">
      <c r="A317" s="5" t="s">
        <v>496</v>
      </c>
      <c r="B317" s="5" t="s">
        <v>1</v>
      </c>
      <c r="C317" s="5" t="s">
        <v>18</v>
      </c>
      <c r="D317" s="5" t="s">
        <v>24</v>
      </c>
      <c r="E317" s="6">
        <v>36360</v>
      </c>
      <c r="F317" s="5" t="s">
        <v>11</v>
      </c>
      <c r="G317" s="10">
        <v>11065</v>
      </c>
      <c r="H317" s="7">
        <v>1</v>
      </c>
      <c r="I317" s="12">
        <f>IF(OR(Table24[[#This Row],[Rating]]=4,Table24[[#This Row],[Rating]]=5), 0.05*Table24[[#This Row],[Salary]],0)</f>
        <v>0</v>
      </c>
      <c r="J317" s="14">
        <f>VLOOKUP(Table24[[#This Row],[Salary]],'Tax rates'!A$2:C$8, 2) + VLOOKUP(Table24[[#This Row],[Salary]],'Tax rates'!A$2:C$8, 3) * (Table24[[#This Row],[Salary]] - VLOOKUP(Table24[[#This Row],[Salary]],'Tax rates'!A$2:C$8,1))</f>
        <v>1137.3</v>
      </c>
      <c r="K317" s="35">
        <f>Table24[[#This Row],[Salary]]-Table24[[#This Row],[Taxes]]</f>
        <v>9927.7000000000007</v>
      </c>
    </row>
    <row r="318" spans="1:11" x14ac:dyDescent="0.25">
      <c r="A318" s="5" t="s">
        <v>39</v>
      </c>
      <c r="B318" s="5" t="s">
        <v>1</v>
      </c>
      <c r="C318" s="5" t="s">
        <v>18</v>
      </c>
      <c r="D318" s="5" t="s">
        <v>32</v>
      </c>
      <c r="E318" s="6">
        <v>35982</v>
      </c>
      <c r="F318" s="7"/>
      <c r="G318" s="10">
        <v>8904</v>
      </c>
      <c r="H318" s="7">
        <v>3</v>
      </c>
      <c r="I318" s="12">
        <f>IF(OR(Table24[[#This Row],[Rating]]=4,Table24[[#This Row],[Rating]]=5), 0.05*Table24[[#This Row],[Salary]],0)</f>
        <v>0</v>
      </c>
      <c r="J318" s="14">
        <f>VLOOKUP(Table24[[#This Row],[Salary]],'Tax rates'!A$2:C$8, 2) + VLOOKUP(Table24[[#This Row],[Salary]],'Tax rates'!A$2:C$8, 3) * (Table24[[#This Row],[Salary]] - VLOOKUP(Table24[[#This Row],[Salary]],'Tax rates'!A$2:C$8,1))</f>
        <v>890.40000000000009</v>
      </c>
      <c r="K318" s="35">
        <f>Table24[[#This Row],[Salary]]-Table24[[#This Row],[Taxes]]</f>
        <v>8013.6</v>
      </c>
    </row>
    <row r="319" spans="1:11" x14ac:dyDescent="0.25">
      <c r="A319" s="5" t="s">
        <v>205</v>
      </c>
      <c r="B319" s="5" t="s">
        <v>1</v>
      </c>
      <c r="C319" s="5" t="s">
        <v>18</v>
      </c>
      <c r="D319" s="5" t="s">
        <v>32</v>
      </c>
      <c r="E319" s="6">
        <v>37730</v>
      </c>
      <c r="F319" s="7"/>
      <c r="G319" s="10">
        <v>8892</v>
      </c>
      <c r="H319" s="7">
        <v>1</v>
      </c>
      <c r="I319" s="12">
        <f>IF(OR(Table24[[#This Row],[Rating]]=4,Table24[[#This Row],[Rating]]=5), 0.05*Table24[[#This Row],[Salary]],0)</f>
        <v>0</v>
      </c>
      <c r="J319" s="14">
        <f>VLOOKUP(Table24[[#This Row],[Salary]],'Tax rates'!A$2:C$8, 2) + VLOOKUP(Table24[[#This Row],[Salary]],'Tax rates'!A$2:C$8, 3) * (Table24[[#This Row],[Salary]] - VLOOKUP(Table24[[#This Row],[Salary]],'Tax rates'!A$2:C$8,1))</f>
        <v>889.2</v>
      </c>
      <c r="K319" s="35">
        <f>Table24[[#This Row],[Salary]]-Table24[[#This Row],[Taxes]]</f>
        <v>8002.8</v>
      </c>
    </row>
    <row r="320" spans="1:11" x14ac:dyDescent="0.25">
      <c r="A320" s="5" t="s">
        <v>334</v>
      </c>
      <c r="B320" s="5" t="s">
        <v>1</v>
      </c>
      <c r="C320" s="5" t="s">
        <v>15</v>
      </c>
      <c r="D320" s="5" t="s">
        <v>3</v>
      </c>
      <c r="E320" s="6">
        <v>37936</v>
      </c>
      <c r="F320" s="5" t="s">
        <v>11</v>
      </c>
      <c r="G320" s="10">
        <v>53870</v>
      </c>
      <c r="H320" s="7">
        <v>2</v>
      </c>
      <c r="I320" s="12">
        <f>IF(OR(Table24[[#This Row],[Rating]]=4,Table24[[#This Row],[Rating]]=5), 0.05*Table24[[#This Row],[Salary]],0)</f>
        <v>0</v>
      </c>
      <c r="J320" s="14">
        <f>VLOOKUP(Table24[[#This Row],[Salary]],'Tax rates'!A$2:C$8, 2) + VLOOKUP(Table24[[#This Row],[Salary]],'Tax rates'!A$2:C$8, 3) * (Table24[[#This Row],[Salary]] - VLOOKUP(Table24[[#This Row],[Salary]],'Tax rates'!A$2:C$8,1))</f>
        <v>7790.9</v>
      </c>
      <c r="K320" s="35">
        <f>Table24[[#This Row],[Salary]]-Table24[[#This Row],[Taxes]]</f>
        <v>46079.1</v>
      </c>
    </row>
    <row r="321" spans="1:11" x14ac:dyDescent="0.25">
      <c r="A321" s="5" t="s">
        <v>402</v>
      </c>
      <c r="B321" s="5" t="s">
        <v>1</v>
      </c>
      <c r="C321" s="5" t="s">
        <v>59</v>
      </c>
      <c r="D321" s="5" t="s">
        <v>3</v>
      </c>
      <c r="E321" s="6">
        <v>40911</v>
      </c>
      <c r="F321" s="5" t="s">
        <v>25</v>
      </c>
      <c r="G321" s="10">
        <v>87120</v>
      </c>
      <c r="H321" s="7">
        <v>3</v>
      </c>
      <c r="I321" s="12">
        <f>IF(OR(Table24[[#This Row],[Rating]]=4,Table24[[#This Row],[Rating]]=5), 0.05*Table24[[#This Row],[Salary]],0)</f>
        <v>0</v>
      </c>
      <c r="J321" s="14">
        <f>VLOOKUP(Table24[[#This Row],[Salary]],'Tax rates'!A$2:C$8, 2) + VLOOKUP(Table24[[#This Row],[Salary]],'Tax rates'!A$2:C$8, 3) * (Table24[[#This Row],[Salary]] - VLOOKUP(Table24[[#This Row],[Salary]],'Tax rates'!A$2:C$8,1))</f>
        <v>15198.3</v>
      </c>
      <c r="K321" s="35">
        <f>Table24[[#This Row],[Salary]]-Table24[[#This Row],[Taxes]]</f>
        <v>71921.7</v>
      </c>
    </row>
    <row r="322" spans="1:11" x14ac:dyDescent="0.25">
      <c r="A322" s="5" t="s">
        <v>586</v>
      </c>
      <c r="B322" s="5" t="s">
        <v>1</v>
      </c>
      <c r="C322" s="5" t="s">
        <v>59</v>
      </c>
      <c r="D322" s="5" t="s">
        <v>3</v>
      </c>
      <c r="E322" s="6">
        <v>39180</v>
      </c>
      <c r="F322" s="5" t="s">
        <v>21</v>
      </c>
      <c r="G322" s="10">
        <v>86540</v>
      </c>
      <c r="H322" s="7">
        <v>4</v>
      </c>
      <c r="I322" s="12">
        <f>IF(OR(Table24[[#This Row],[Rating]]=4,Table24[[#This Row],[Rating]]=5), 0.05*Table24[[#This Row],[Salary]],0)</f>
        <v>4327</v>
      </c>
      <c r="J322" s="14">
        <f>VLOOKUP(Table24[[#This Row],[Salary]],'Tax rates'!A$2:C$8, 2) + VLOOKUP(Table24[[#This Row],[Salary]],'Tax rates'!A$2:C$8, 3) * (Table24[[#This Row],[Salary]] - VLOOKUP(Table24[[#This Row],[Salary]],'Tax rates'!A$2:C$8,1))</f>
        <v>15059.1</v>
      </c>
      <c r="K322" s="35">
        <f>Table24[[#This Row],[Salary]]-Table24[[#This Row],[Taxes]]</f>
        <v>71480.899999999994</v>
      </c>
    </row>
    <row r="323" spans="1:11" x14ac:dyDescent="0.25">
      <c r="A323" s="5" t="s">
        <v>589</v>
      </c>
      <c r="B323" s="5" t="s">
        <v>1</v>
      </c>
      <c r="C323" s="5" t="s">
        <v>59</v>
      </c>
      <c r="D323" s="5" t="s">
        <v>3</v>
      </c>
      <c r="E323" s="6">
        <v>38834</v>
      </c>
      <c r="F323" s="5" t="s">
        <v>4</v>
      </c>
      <c r="G323" s="10">
        <v>81640</v>
      </c>
      <c r="H323" s="7">
        <v>4</v>
      </c>
      <c r="I323" s="12">
        <f>IF(OR(Table24[[#This Row],[Rating]]=4,Table24[[#This Row],[Rating]]=5), 0.05*Table24[[#This Row],[Salary]],0)</f>
        <v>4082</v>
      </c>
      <c r="J323" s="14">
        <f>VLOOKUP(Table24[[#This Row],[Salary]],'Tax rates'!A$2:C$8, 2) + VLOOKUP(Table24[[#This Row],[Salary]],'Tax rates'!A$2:C$8, 3) * (Table24[[#This Row],[Salary]] - VLOOKUP(Table24[[#This Row],[Salary]],'Tax rates'!A$2:C$8,1))</f>
        <v>13900.3</v>
      </c>
      <c r="K323" s="35">
        <f>Table24[[#This Row],[Salary]]-Table24[[#This Row],[Taxes]]</f>
        <v>67739.7</v>
      </c>
    </row>
    <row r="324" spans="1:11" x14ac:dyDescent="0.25">
      <c r="A324" s="5" t="s">
        <v>238</v>
      </c>
      <c r="B324" s="5" t="s">
        <v>1</v>
      </c>
      <c r="C324" s="5" t="s">
        <v>59</v>
      </c>
      <c r="D324" s="5" t="s">
        <v>3</v>
      </c>
      <c r="E324" s="6">
        <v>39258</v>
      </c>
      <c r="F324" s="5" t="s">
        <v>9</v>
      </c>
      <c r="G324" s="10">
        <v>66920</v>
      </c>
      <c r="H324" s="7">
        <v>2</v>
      </c>
      <c r="I324" s="12">
        <f>IF(OR(Table24[[#This Row],[Rating]]=4,Table24[[#This Row],[Rating]]=5), 0.05*Table24[[#This Row],[Salary]],0)</f>
        <v>0</v>
      </c>
      <c r="J324" s="14">
        <f>VLOOKUP(Table24[[#This Row],[Salary]],'Tax rates'!A$2:C$8, 2) + VLOOKUP(Table24[[#This Row],[Salary]],'Tax rates'!A$2:C$8, 3) * (Table24[[#This Row],[Salary]] - VLOOKUP(Table24[[#This Row],[Salary]],'Tax rates'!A$2:C$8,1))</f>
        <v>10661.9</v>
      </c>
      <c r="K324" s="35">
        <f>Table24[[#This Row],[Salary]]-Table24[[#This Row],[Taxes]]</f>
        <v>56258.1</v>
      </c>
    </row>
    <row r="325" spans="1:11" x14ac:dyDescent="0.25">
      <c r="A325" s="5" t="s">
        <v>611</v>
      </c>
      <c r="B325" s="5" t="s">
        <v>1</v>
      </c>
      <c r="C325" s="5" t="s">
        <v>59</v>
      </c>
      <c r="D325" s="5" t="s">
        <v>3</v>
      </c>
      <c r="E325" s="6">
        <v>39290</v>
      </c>
      <c r="F325" s="5" t="s">
        <v>11</v>
      </c>
      <c r="G325" s="10">
        <v>65250</v>
      </c>
      <c r="H325" s="7">
        <v>2</v>
      </c>
      <c r="I325" s="12">
        <f>IF(OR(Table24[[#This Row],[Rating]]=4,Table24[[#This Row],[Rating]]=5), 0.05*Table24[[#This Row],[Salary]],0)</f>
        <v>0</v>
      </c>
      <c r="J325" s="14">
        <f>VLOOKUP(Table24[[#This Row],[Salary]],'Tax rates'!A$2:C$8, 2) + VLOOKUP(Table24[[#This Row],[Salary]],'Tax rates'!A$2:C$8, 3) * (Table24[[#This Row],[Salary]] - VLOOKUP(Table24[[#This Row],[Salary]],'Tax rates'!A$2:C$8,1))</f>
        <v>10294.5</v>
      </c>
      <c r="K325" s="35">
        <f>Table24[[#This Row],[Salary]]-Table24[[#This Row],[Taxes]]</f>
        <v>54955.5</v>
      </c>
    </row>
    <row r="326" spans="1:11" x14ac:dyDescent="0.25">
      <c r="A326" s="5" t="s">
        <v>659</v>
      </c>
      <c r="B326" s="5" t="s">
        <v>1</v>
      </c>
      <c r="C326" s="5" t="s">
        <v>59</v>
      </c>
      <c r="D326" s="5" t="s">
        <v>16</v>
      </c>
      <c r="E326" s="6">
        <v>38969</v>
      </c>
      <c r="F326" s="7"/>
      <c r="G326" s="10">
        <v>63850</v>
      </c>
      <c r="H326" s="7">
        <v>2</v>
      </c>
      <c r="I326" s="12">
        <f>IF(OR(Table24[[#This Row],[Rating]]=4,Table24[[#This Row],[Rating]]=5), 0.05*Table24[[#This Row],[Salary]],0)</f>
        <v>0</v>
      </c>
      <c r="J326" s="14">
        <f>VLOOKUP(Table24[[#This Row],[Salary]],'Tax rates'!A$2:C$8, 2) + VLOOKUP(Table24[[#This Row],[Salary]],'Tax rates'!A$2:C$8, 3) * (Table24[[#This Row],[Salary]] - VLOOKUP(Table24[[#This Row],[Salary]],'Tax rates'!A$2:C$8,1))</f>
        <v>9986.5</v>
      </c>
      <c r="K326" s="35">
        <f>Table24[[#This Row],[Salary]]-Table24[[#This Row],[Taxes]]</f>
        <v>53863.5</v>
      </c>
    </row>
    <row r="327" spans="1:11" x14ac:dyDescent="0.25">
      <c r="A327" s="5" t="s">
        <v>347</v>
      </c>
      <c r="B327" s="5" t="s">
        <v>1</v>
      </c>
      <c r="C327" s="5" t="s">
        <v>59</v>
      </c>
      <c r="D327" s="5" t="s">
        <v>3</v>
      </c>
      <c r="E327" s="6">
        <v>41000</v>
      </c>
      <c r="F327" s="5" t="s">
        <v>25</v>
      </c>
      <c r="G327" s="10">
        <v>60560</v>
      </c>
      <c r="H327" s="7">
        <v>4</v>
      </c>
      <c r="I327" s="12">
        <f>IF(OR(Table24[[#This Row],[Rating]]=4,Table24[[#This Row],[Rating]]=5), 0.05*Table24[[#This Row],[Salary]],0)</f>
        <v>3028</v>
      </c>
      <c r="J327" s="14">
        <f>VLOOKUP(Table24[[#This Row],[Salary]],'Tax rates'!A$2:C$8, 2) + VLOOKUP(Table24[[#This Row],[Salary]],'Tax rates'!A$2:C$8, 3) * (Table24[[#This Row],[Salary]] - VLOOKUP(Table24[[#This Row],[Salary]],'Tax rates'!A$2:C$8,1))</f>
        <v>9262.7000000000007</v>
      </c>
      <c r="K327" s="35">
        <f>Table24[[#This Row],[Salary]]-Table24[[#This Row],[Taxes]]</f>
        <v>51297.3</v>
      </c>
    </row>
    <row r="328" spans="1:11" x14ac:dyDescent="0.25">
      <c r="A328" s="5" t="s">
        <v>474</v>
      </c>
      <c r="B328" s="5" t="s">
        <v>1</v>
      </c>
      <c r="C328" s="5" t="s">
        <v>59</v>
      </c>
      <c r="D328" s="5" t="s">
        <v>16</v>
      </c>
      <c r="E328" s="6">
        <v>36703</v>
      </c>
      <c r="F328" s="7"/>
      <c r="G328" s="10">
        <v>50200</v>
      </c>
      <c r="H328" s="7">
        <v>4</v>
      </c>
      <c r="I328" s="12">
        <f>IF(OR(Table24[[#This Row],[Rating]]=4,Table24[[#This Row],[Rating]]=5), 0.05*Table24[[#This Row],[Salary]],0)</f>
        <v>2510</v>
      </c>
      <c r="J328" s="14">
        <f>VLOOKUP(Table24[[#This Row],[Salary]],'Tax rates'!A$2:C$8, 2) + VLOOKUP(Table24[[#This Row],[Salary]],'Tax rates'!A$2:C$8, 3) * (Table24[[#This Row],[Salary]] - VLOOKUP(Table24[[#This Row],[Salary]],'Tax rates'!A$2:C$8,1))</f>
        <v>6983.5</v>
      </c>
      <c r="K328" s="35">
        <f>Table24[[#This Row],[Salary]]-Table24[[#This Row],[Taxes]]</f>
        <v>43216.5</v>
      </c>
    </row>
    <row r="329" spans="1:11" x14ac:dyDescent="0.25">
      <c r="A329" s="5" t="s">
        <v>58</v>
      </c>
      <c r="B329" s="5" t="s">
        <v>1</v>
      </c>
      <c r="C329" s="5" t="s">
        <v>59</v>
      </c>
      <c r="D329" s="5" t="s">
        <v>3</v>
      </c>
      <c r="E329" s="6">
        <v>36116</v>
      </c>
      <c r="F329" s="5" t="s">
        <v>9</v>
      </c>
      <c r="G329" s="10">
        <v>49770</v>
      </c>
      <c r="H329" s="7">
        <v>1</v>
      </c>
      <c r="I329" s="12">
        <f>IF(OR(Table24[[#This Row],[Rating]]=4,Table24[[#This Row],[Rating]]=5), 0.05*Table24[[#This Row],[Salary]],0)</f>
        <v>0</v>
      </c>
      <c r="J329" s="14">
        <f>VLOOKUP(Table24[[#This Row],[Salary]],'Tax rates'!A$2:C$8, 2) + VLOOKUP(Table24[[#This Row],[Salary]],'Tax rates'!A$2:C$8, 3) * (Table24[[#This Row],[Salary]] - VLOOKUP(Table24[[#This Row],[Salary]],'Tax rates'!A$2:C$8,1))</f>
        <v>6888.9</v>
      </c>
      <c r="K329" s="35">
        <f>Table24[[#This Row],[Salary]]-Table24[[#This Row],[Taxes]]</f>
        <v>42881.1</v>
      </c>
    </row>
    <row r="330" spans="1:11" x14ac:dyDescent="0.25">
      <c r="A330" s="5" t="s">
        <v>735</v>
      </c>
      <c r="B330" s="5" t="s">
        <v>1</v>
      </c>
      <c r="C330" s="5" t="s">
        <v>59</v>
      </c>
      <c r="D330" s="5" t="s">
        <v>24</v>
      </c>
      <c r="E330" s="6">
        <v>36094</v>
      </c>
      <c r="F330" s="5" t="s">
        <v>4</v>
      </c>
      <c r="G330" s="10">
        <v>47885</v>
      </c>
      <c r="H330" s="7">
        <v>1</v>
      </c>
      <c r="I330" s="12">
        <f>IF(OR(Table24[[#This Row],[Rating]]=4,Table24[[#This Row],[Rating]]=5), 0.05*Table24[[#This Row],[Salary]],0)</f>
        <v>0</v>
      </c>
      <c r="J330" s="14">
        <f>VLOOKUP(Table24[[#This Row],[Salary]],'Tax rates'!A$2:C$8, 2) + VLOOKUP(Table24[[#This Row],[Salary]],'Tax rates'!A$2:C$8, 3) * (Table24[[#This Row],[Salary]] - VLOOKUP(Table24[[#This Row],[Salary]],'Tax rates'!A$2:C$8,1))</f>
        <v>6474.2</v>
      </c>
      <c r="K330" s="35">
        <f>Table24[[#This Row],[Salary]]-Table24[[#This Row],[Taxes]]</f>
        <v>41410.800000000003</v>
      </c>
    </row>
    <row r="331" spans="1:11" x14ac:dyDescent="0.25">
      <c r="A331" s="5" t="s">
        <v>276</v>
      </c>
      <c r="B331" s="5" t="s">
        <v>1</v>
      </c>
      <c r="C331" s="5" t="s">
        <v>59</v>
      </c>
      <c r="D331" s="5" t="s">
        <v>3</v>
      </c>
      <c r="E331" s="6">
        <v>39147</v>
      </c>
      <c r="F331" s="5" t="s">
        <v>21</v>
      </c>
      <c r="G331" s="10">
        <v>45180</v>
      </c>
      <c r="H331" s="7">
        <v>5</v>
      </c>
      <c r="I331" s="12">
        <f>IF(OR(Table24[[#This Row],[Rating]]=4,Table24[[#This Row],[Rating]]=5), 0.05*Table24[[#This Row],[Salary]],0)</f>
        <v>2259</v>
      </c>
      <c r="J331" s="14">
        <f>VLOOKUP(Table24[[#This Row],[Salary]],'Tax rates'!A$2:C$8, 2) + VLOOKUP(Table24[[#This Row],[Salary]],'Tax rates'!A$2:C$8, 3) * (Table24[[#This Row],[Salary]] - VLOOKUP(Table24[[#This Row],[Salary]],'Tax rates'!A$2:C$8,1))</f>
        <v>5879.1</v>
      </c>
      <c r="K331" s="35">
        <f>Table24[[#This Row],[Salary]]-Table24[[#This Row],[Taxes]]</f>
        <v>39300.9</v>
      </c>
    </row>
    <row r="332" spans="1:11" x14ac:dyDescent="0.25">
      <c r="A332" s="5" t="s">
        <v>115</v>
      </c>
      <c r="B332" s="5" t="s">
        <v>1</v>
      </c>
      <c r="C332" s="5" t="s">
        <v>59</v>
      </c>
      <c r="D332" s="5" t="s">
        <v>3</v>
      </c>
      <c r="E332" s="6">
        <v>36463</v>
      </c>
      <c r="F332" s="5" t="s">
        <v>4</v>
      </c>
      <c r="G332" s="10">
        <v>44220</v>
      </c>
      <c r="H332" s="7">
        <v>3</v>
      </c>
      <c r="I332" s="12">
        <f>IF(OR(Table24[[#This Row],[Rating]]=4,Table24[[#This Row],[Rating]]=5), 0.05*Table24[[#This Row],[Salary]],0)</f>
        <v>0</v>
      </c>
      <c r="J332" s="14">
        <f>VLOOKUP(Table24[[#This Row],[Salary]],'Tax rates'!A$2:C$8, 2) + VLOOKUP(Table24[[#This Row],[Salary]],'Tax rates'!A$2:C$8, 3) * (Table24[[#This Row],[Salary]] - VLOOKUP(Table24[[#This Row],[Salary]],'Tax rates'!A$2:C$8,1))</f>
        <v>5667.9</v>
      </c>
      <c r="K332" s="35">
        <f>Table24[[#This Row],[Salary]]-Table24[[#This Row],[Taxes]]</f>
        <v>38552.1</v>
      </c>
    </row>
    <row r="333" spans="1:11" x14ac:dyDescent="0.25">
      <c r="A333" s="5" t="s">
        <v>415</v>
      </c>
      <c r="B333" s="5" t="s">
        <v>1</v>
      </c>
      <c r="C333" s="5" t="s">
        <v>59</v>
      </c>
      <c r="D333" s="5" t="s">
        <v>32</v>
      </c>
      <c r="E333" s="6">
        <v>40610</v>
      </c>
      <c r="F333" s="7"/>
      <c r="G333" s="10">
        <v>36844</v>
      </c>
      <c r="H333" s="7">
        <v>4</v>
      </c>
      <c r="I333" s="12">
        <f>IF(OR(Table24[[#This Row],[Rating]]=4,Table24[[#This Row],[Rating]]=5), 0.05*Table24[[#This Row],[Salary]],0)</f>
        <v>1842.2</v>
      </c>
      <c r="J333" s="14">
        <f>VLOOKUP(Table24[[#This Row],[Salary]],'Tax rates'!A$2:C$8, 2) + VLOOKUP(Table24[[#This Row],[Salary]],'Tax rates'!A$2:C$8, 3) * (Table24[[#This Row],[Salary]] - VLOOKUP(Table24[[#This Row],[Salary]],'Tax rates'!A$2:C$8,1))</f>
        <v>4230.78</v>
      </c>
      <c r="K333" s="35">
        <f>Table24[[#This Row],[Salary]]-Table24[[#This Row],[Taxes]]</f>
        <v>32613.22</v>
      </c>
    </row>
    <row r="334" spans="1:11" x14ac:dyDescent="0.25">
      <c r="A334" s="5" t="s">
        <v>81</v>
      </c>
      <c r="B334" s="5" t="s">
        <v>1</v>
      </c>
      <c r="C334" s="5" t="s">
        <v>59</v>
      </c>
      <c r="D334" s="5" t="s">
        <v>24</v>
      </c>
      <c r="E334" s="6">
        <v>39457</v>
      </c>
      <c r="F334" s="5" t="s">
        <v>4</v>
      </c>
      <c r="G334" s="10">
        <v>31255</v>
      </c>
      <c r="H334" s="7">
        <v>5</v>
      </c>
      <c r="I334" s="12">
        <f>IF(OR(Table24[[#This Row],[Rating]]=4,Table24[[#This Row],[Rating]]=5), 0.05*Table24[[#This Row],[Salary]],0)</f>
        <v>1562.75</v>
      </c>
      <c r="J334" s="14">
        <f>VLOOKUP(Table24[[#This Row],[Salary]],'Tax rates'!A$2:C$8, 2) + VLOOKUP(Table24[[#This Row],[Salary]],'Tax rates'!A$2:C$8, 3) * (Table24[[#This Row],[Salary]] - VLOOKUP(Table24[[#This Row],[Salary]],'Tax rates'!A$2:C$8,1))</f>
        <v>3560.1</v>
      </c>
      <c r="K334" s="35">
        <f>Table24[[#This Row],[Salary]]-Table24[[#This Row],[Taxes]]</f>
        <v>27694.9</v>
      </c>
    </row>
    <row r="335" spans="1:11" x14ac:dyDescent="0.25">
      <c r="A335" s="5" t="s">
        <v>502</v>
      </c>
      <c r="B335" s="5" t="s">
        <v>1</v>
      </c>
      <c r="C335" s="5" t="s">
        <v>8</v>
      </c>
      <c r="D335" s="5" t="s">
        <v>3</v>
      </c>
      <c r="E335" s="6">
        <v>38135</v>
      </c>
      <c r="F335" s="5" t="s">
        <v>21</v>
      </c>
      <c r="G335" s="10">
        <v>65560</v>
      </c>
      <c r="H335" s="7">
        <v>1</v>
      </c>
      <c r="I335" s="12">
        <f>IF(OR(Table24[[#This Row],[Rating]]=4,Table24[[#This Row],[Rating]]=5), 0.05*Table24[[#This Row],[Salary]],0)</f>
        <v>0</v>
      </c>
      <c r="J335" s="14">
        <f>VLOOKUP(Table24[[#This Row],[Salary]],'Tax rates'!A$2:C$8, 2) + VLOOKUP(Table24[[#This Row],[Salary]],'Tax rates'!A$2:C$8, 3) * (Table24[[#This Row],[Salary]] - VLOOKUP(Table24[[#This Row],[Salary]],'Tax rates'!A$2:C$8,1))</f>
        <v>10362.700000000001</v>
      </c>
      <c r="K335" s="35">
        <f>Table24[[#This Row],[Salary]]-Table24[[#This Row],[Taxes]]</f>
        <v>55197.3</v>
      </c>
    </row>
    <row r="336" spans="1:11" x14ac:dyDescent="0.25">
      <c r="A336" s="5" t="s">
        <v>229</v>
      </c>
      <c r="B336" s="5" t="s">
        <v>1</v>
      </c>
      <c r="C336" s="5" t="s">
        <v>8</v>
      </c>
      <c r="D336" s="5" t="s">
        <v>3</v>
      </c>
      <c r="E336" s="6">
        <v>40366</v>
      </c>
      <c r="F336" s="5" t="s">
        <v>4</v>
      </c>
      <c r="G336" s="10">
        <v>63780</v>
      </c>
      <c r="H336" s="7">
        <v>5</v>
      </c>
      <c r="I336" s="12">
        <f>IF(OR(Table24[[#This Row],[Rating]]=4,Table24[[#This Row],[Rating]]=5), 0.05*Table24[[#This Row],[Salary]],0)</f>
        <v>3189</v>
      </c>
      <c r="J336" s="14">
        <f>VLOOKUP(Table24[[#This Row],[Salary]],'Tax rates'!A$2:C$8, 2) + VLOOKUP(Table24[[#This Row],[Salary]],'Tax rates'!A$2:C$8, 3) * (Table24[[#This Row],[Salary]] - VLOOKUP(Table24[[#This Row],[Salary]],'Tax rates'!A$2:C$8,1))</f>
        <v>9971.1</v>
      </c>
      <c r="K336" s="35">
        <f>Table24[[#This Row],[Salary]]-Table24[[#This Row],[Taxes]]</f>
        <v>53808.9</v>
      </c>
    </row>
    <row r="337" spans="1:11" x14ac:dyDescent="0.25">
      <c r="A337" s="5" t="s">
        <v>590</v>
      </c>
      <c r="B337" s="5" t="s">
        <v>1</v>
      </c>
      <c r="C337" s="5" t="s">
        <v>8</v>
      </c>
      <c r="D337" s="5" t="s">
        <v>3</v>
      </c>
      <c r="E337" s="6">
        <v>40470</v>
      </c>
      <c r="F337" s="5" t="s">
        <v>11</v>
      </c>
      <c r="G337" s="10">
        <v>42620</v>
      </c>
      <c r="H337" s="7">
        <v>3</v>
      </c>
      <c r="I337" s="12">
        <f>IF(OR(Table24[[#This Row],[Rating]]=4,Table24[[#This Row],[Rating]]=5), 0.05*Table24[[#This Row],[Salary]],0)</f>
        <v>0</v>
      </c>
      <c r="J337" s="14">
        <f>VLOOKUP(Table24[[#This Row],[Salary]],'Tax rates'!A$2:C$8, 2) + VLOOKUP(Table24[[#This Row],[Salary]],'Tax rates'!A$2:C$8, 3) * (Table24[[#This Row],[Salary]] - VLOOKUP(Table24[[#This Row],[Salary]],'Tax rates'!A$2:C$8,1))</f>
        <v>5315.9</v>
      </c>
      <c r="K337" s="35">
        <f>Table24[[#This Row],[Salary]]-Table24[[#This Row],[Taxes]]</f>
        <v>37304.1</v>
      </c>
    </row>
    <row r="338" spans="1:11" x14ac:dyDescent="0.25">
      <c r="A338" s="5" t="s">
        <v>764</v>
      </c>
      <c r="B338" s="5" t="s">
        <v>1</v>
      </c>
      <c r="C338" s="5" t="s">
        <v>8</v>
      </c>
      <c r="D338" s="5" t="s">
        <v>16</v>
      </c>
      <c r="E338" s="6">
        <v>39295</v>
      </c>
      <c r="F338" s="7"/>
      <c r="G338" s="10">
        <v>40560</v>
      </c>
      <c r="H338" s="7">
        <v>5</v>
      </c>
      <c r="I338" s="12">
        <f>IF(OR(Table24[[#This Row],[Rating]]=4,Table24[[#This Row],[Rating]]=5), 0.05*Table24[[#This Row],[Salary]],0)</f>
        <v>2028</v>
      </c>
      <c r="J338" s="14">
        <f>VLOOKUP(Table24[[#This Row],[Salary]],'Tax rates'!A$2:C$8, 2) + VLOOKUP(Table24[[#This Row],[Salary]],'Tax rates'!A$2:C$8, 3) * (Table24[[#This Row],[Salary]] - VLOOKUP(Table24[[#This Row],[Salary]],'Tax rates'!A$2:C$8,1))</f>
        <v>4862.7</v>
      </c>
      <c r="K338" s="35">
        <f>Table24[[#This Row],[Salary]]-Table24[[#This Row],[Taxes]]</f>
        <v>35697.300000000003</v>
      </c>
    </row>
    <row r="339" spans="1:11" x14ac:dyDescent="0.25">
      <c r="A339" s="5" t="s">
        <v>647</v>
      </c>
      <c r="B339" s="5" t="s">
        <v>1</v>
      </c>
      <c r="C339" s="5" t="s">
        <v>8</v>
      </c>
      <c r="D339" s="5" t="s">
        <v>3</v>
      </c>
      <c r="E339" s="6">
        <v>38788</v>
      </c>
      <c r="F339" s="5" t="s">
        <v>11</v>
      </c>
      <c r="G339" s="10">
        <v>37750</v>
      </c>
      <c r="H339" s="7">
        <v>5</v>
      </c>
      <c r="I339" s="12">
        <f>IF(OR(Table24[[#This Row],[Rating]]=4,Table24[[#This Row],[Rating]]=5), 0.05*Table24[[#This Row],[Salary]],0)</f>
        <v>1887.5</v>
      </c>
      <c r="J339" s="14">
        <f>VLOOKUP(Table24[[#This Row],[Salary]],'Tax rates'!A$2:C$8, 2) + VLOOKUP(Table24[[#This Row],[Salary]],'Tax rates'!A$2:C$8, 3) * (Table24[[#This Row],[Salary]] - VLOOKUP(Table24[[#This Row],[Salary]],'Tax rates'!A$2:C$8,1))</f>
        <v>4339.5</v>
      </c>
      <c r="K339" s="35">
        <f>Table24[[#This Row],[Salary]]-Table24[[#This Row],[Taxes]]</f>
        <v>33410.5</v>
      </c>
    </row>
    <row r="340" spans="1:11" x14ac:dyDescent="0.25">
      <c r="A340" s="5" t="s">
        <v>189</v>
      </c>
      <c r="B340" s="5" t="s">
        <v>1</v>
      </c>
      <c r="C340" s="5" t="s">
        <v>8</v>
      </c>
      <c r="D340" s="5" t="s">
        <v>24</v>
      </c>
      <c r="E340" s="6">
        <v>40299</v>
      </c>
      <c r="F340" s="5" t="s">
        <v>9</v>
      </c>
      <c r="G340" s="10">
        <v>32835</v>
      </c>
      <c r="H340" s="7">
        <v>2</v>
      </c>
      <c r="I340" s="12">
        <f>IF(OR(Table24[[#This Row],[Rating]]=4,Table24[[#This Row],[Rating]]=5), 0.05*Table24[[#This Row],[Salary]],0)</f>
        <v>0</v>
      </c>
      <c r="J340" s="14">
        <f>VLOOKUP(Table24[[#This Row],[Salary]],'Tax rates'!A$2:C$8, 2) + VLOOKUP(Table24[[#This Row],[Salary]],'Tax rates'!A$2:C$8, 3) * (Table24[[#This Row],[Salary]] - VLOOKUP(Table24[[#This Row],[Salary]],'Tax rates'!A$2:C$8,1))</f>
        <v>3749.7</v>
      </c>
      <c r="K340" s="35">
        <f>Table24[[#This Row],[Salary]]-Table24[[#This Row],[Taxes]]</f>
        <v>29085.3</v>
      </c>
    </row>
    <row r="341" spans="1:11" x14ac:dyDescent="0.25">
      <c r="A341" s="5" t="s">
        <v>65</v>
      </c>
      <c r="B341" s="5" t="s">
        <v>1</v>
      </c>
      <c r="C341" s="5" t="s">
        <v>8</v>
      </c>
      <c r="D341" s="5" t="s">
        <v>16</v>
      </c>
      <c r="E341" s="6">
        <v>37641</v>
      </c>
      <c r="F341" s="7"/>
      <c r="G341" s="10">
        <v>31970</v>
      </c>
      <c r="H341" s="7">
        <v>5</v>
      </c>
      <c r="I341" s="12">
        <f>IF(OR(Table24[[#This Row],[Rating]]=4,Table24[[#This Row],[Rating]]=5), 0.05*Table24[[#This Row],[Salary]],0)</f>
        <v>1598.5</v>
      </c>
      <c r="J341" s="14">
        <f>VLOOKUP(Table24[[#This Row],[Salary]],'Tax rates'!A$2:C$8, 2) + VLOOKUP(Table24[[#This Row],[Salary]],'Tax rates'!A$2:C$8, 3) * (Table24[[#This Row],[Salary]] - VLOOKUP(Table24[[#This Row],[Salary]],'Tax rates'!A$2:C$8,1))</f>
        <v>3645.9</v>
      </c>
      <c r="K341" s="35">
        <f>Table24[[#This Row],[Salary]]-Table24[[#This Row],[Taxes]]</f>
        <v>28324.1</v>
      </c>
    </row>
    <row r="342" spans="1:11" x14ac:dyDescent="0.25">
      <c r="A342" s="5" t="s">
        <v>714</v>
      </c>
      <c r="B342" s="5" t="s">
        <v>1</v>
      </c>
      <c r="C342" s="5" t="s">
        <v>8</v>
      </c>
      <c r="D342" s="5" t="s">
        <v>3</v>
      </c>
      <c r="E342" s="6">
        <v>39199</v>
      </c>
      <c r="F342" s="5" t="s">
        <v>4</v>
      </c>
      <c r="G342" s="10">
        <v>31840</v>
      </c>
      <c r="H342" s="7">
        <v>1</v>
      </c>
      <c r="I342" s="12">
        <f>IF(OR(Table24[[#This Row],[Rating]]=4,Table24[[#This Row],[Rating]]=5), 0.05*Table24[[#This Row],[Salary]],0)</f>
        <v>0</v>
      </c>
      <c r="J342" s="14">
        <f>VLOOKUP(Table24[[#This Row],[Salary]],'Tax rates'!A$2:C$8, 2) + VLOOKUP(Table24[[#This Row],[Salary]],'Tax rates'!A$2:C$8, 3) * (Table24[[#This Row],[Salary]] - VLOOKUP(Table24[[#This Row],[Salary]],'Tax rates'!A$2:C$8,1))</f>
        <v>3630.2999999999997</v>
      </c>
      <c r="K342" s="35">
        <f>Table24[[#This Row],[Salary]]-Table24[[#This Row],[Taxes]]</f>
        <v>28209.7</v>
      </c>
    </row>
    <row r="343" spans="1:11" x14ac:dyDescent="0.25">
      <c r="A343" s="5" t="s">
        <v>527</v>
      </c>
      <c r="B343" s="5" t="s">
        <v>1</v>
      </c>
      <c r="C343" s="5" t="s">
        <v>8</v>
      </c>
      <c r="D343" s="5" t="s">
        <v>3</v>
      </c>
      <c r="E343" s="6">
        <v>38753</v>
      </c>
      <c r="F343" s="5" t="s">
        <v>4</v>
      </c>
      <c r="G343" s="10">
        <v>22410</v>
      </c>
      <c r="H343" s="7">
        <v>4</v>
      </c>
      <c r="I343" s="12">
        <f>IF(OR(Table24[[#This Row],[Rating]]=4,Table24[[#This Row],[Rating]]=5), 0.05*Table24[[#This Row],[Salary]],0)</f>
        <v>1120.5</v>
      </c>
      <c r="J343" s="14">
        <f>VLOOKUP(Table24[[#This Row],[Salary]],'Tax rates'!A$2:C$8, 2) + VLOOKUP(Table24[[#This Row],[Salary]],'Tax rates'!A$2:C$8, 3) * (Table24[[#This Row],[Salary]] - VLOOKUP(Table24[[#This Row],[Salary]],'Tax rates'!A$2:C$8,1))</f>
        <v>2498.6999999999998</v>
      </c>
      <c r="K343" s="35">
        <f>Table24[[#This Row],[Salary]]-Table24[[#This Row],[Taxes]]</f>
        <v>19911.3</v>
      </c>
    </row>
    <row r="344" spans="1:11" x14ac:dyDescent="0.25">
      <c r="A344" s="5" t="s">
        <v>385</v>
      </c>
      <c r="B344" s="5" t="s">
        <v>1</v>
      </c>
      <c r="C344" s="5" t="s">
        <v>8</v>
      </c>
      <c r="D344" s="5" t="s">
        <v>16</v>
      </c>
      <c r="E344" s="6">
        <v>40729</v>
      </c>
      <c r="F344" s="7"/>
      <c r="G344" s="10">
        <v>22320</v>
      </c>
      <c r="H344" s="7">
        <v>2</v>
      </c>
      <c r="I344" s="12">
        <f>IF(OR(Table24[[#This Row],[Rating]]=4,Table24[[#This Row],[Rating]]=5), 0.05*Table24[[#This Row],[Salary]],0)</f>
        <v>0</v>
      </c>
      <c r="J344" s="14">
        <f>VLOOKUP(Table24[[#This Row],[Salary]],'Tax rates'!A$2:C$8, 2) + VLOOKUP(Table24[[#This Row],[Salary]],'Tax rates'!A$2:C$8, 3) * (Table24[[#This Row],[Salary]] - VLOOKUP(Table24[[#This Row],[Salary]],'Tax rates'!A$2:C$8,1))</f>
        <v>2487.8999999999996</v>
      </c>
      <c r="K344" s="35">
        <f>Table24[[#This Row],[Salary]]-Table24[[#This Row],[Taxes]]</f>
        <v>19832.099999999999</v>
      </c>
    </row>
    <row r="345" spans="1:11" x14ac:dyDescent="0.25">
      <c r="A345" s="5" t="s">
        <v>130</v>
      </c>
      <c r="B345" s="5" t="s">
        <v>1</v>
      </c>
      <c r="C345" s="5" t="s">
        <v>8</v>
      </c>
      <c r="D345" s="5" t="s">
        <v>24</v>
      </c>
      <c r="E345" s="6">
        <v>40184</v>
      </c>
      <c r="F345" s="5" t="s">
        <v>9</v>
      </c>
      <c r="G345" s="10">
        <v>21220</v>
      </c>
      <c r="H345" s="7">
        <v>3</v>
      </c>
      <c r="I345" s="12">
        <f>IF(OR(Table24[[#This Row],[Rating]]=4,Table24[[#This Row],[Rating]]=5), 0.05*Table24[[#This Row],[Salary]],0)</f>
        <v>0</v>
      </c>
      <c r="J345" s="14">
        <f>VLOOKUP(Table24[[#This Row],[Salary]],'Tax rates'!A$2:C$8, 2) + VLOOKUP(Table24[[#This Row],[Salary]],'Tax rates'!A$2:C$8, 3) * (Table24[[#This Row],[Salary]] - VLOOKUP(Table24[[#This Row],[Salary]],'Tax rates'!A$2:C$8,1))</f>
        <v>2355.8999999999996</v>
      </c>
      <c r="K345" s="35">
        <f>Table24[[#This Row],[Salary]]-Table24[[#This Row],[Taxes]]</f>
        <v>18864.099999999999</v>
      </c>
    </row>
    <row r="346" spans="1:11" x14ac:dyDescent="0.25">
      <c r="A346" s="5" t="s">
        <v>609</v>
      </c>
      <c r="B346" s="5" t="s">
        <v>1</v>
      </c>
      <c r="C346" s="5" t="s">
        <v>8</v>
      </c>
      <c r="D346" s="5" t="s">
        <v>24</v>
      </c>
      <c r="E346" s="6">
        <v>39138</v>
      </c>
      <c r="F346" s="5" t="s">
        <v>21</v>
      </c>
      <c r="G346" s="10">
        <v>15005</v>
      </c>
      <c r="H346" s="7">
        <v>4</v>
      </c>
      <c r="I346" s="12">
        <f>IF(OR(Table24[[#This Row],[Rating]]=4,Table24[[#This Row],[Rating]]=5), 0.05*Table24[[#This Row],[Salary]],0)</f>
        <v>750.25</v>
      </c>
      <c r="J346" s="14">
        <f>VLOOKUP(Table24[[#This Row],[Salary]],'Tax rates'!A$2:C$8, 2) + VLOOKUP(Table24[[#This Row],[Salary]],'Tax rates'!A$2:C$8, 3) * (Table24[[#This Row],[Salary]] - VLOOKUP(Table24[[#This Row],[Salary]],'Tax rates'!A$2:C$8,1))</f>
        <v>1610.1</v>
      </c>
      <c r="K346" s="35">
        <f>Table24[[#This Row],[Salary]]-Table24[[#This Row],[Taxes]]</f>
        <v>13394.9</v>
      </c>
    </row>
    <row r="347" spans="1:11" x14ac:dyDescent="0.25">
      <c r="A347" s="5" t="s">
        <v>270</v>
      </c>
      <c r="B347" s="5" t="s">
        <v>1</v>
      </c>
      <c r="C347" s="5" t="s">
        <v>63</v>
      </c>
      <c r="D347" s="5" t="s">
        <v>3</v>
      </c>
      <c r="E347" s="6">
        <v>40585</v>
      </c>
      <c r="F347" s="5" t="s">
        <v>4</v>
      </c>
      <c r="G347" s="10">
        <v>87950</v>
      </c>
      <c r="H347" s="7">
        <v>4</v>
      </c>
      <c r="I347" s="12">
        <f>IF(OR(Table24[[#This Row],[Rating]]=4,Table24[[#This Row],[Rating]]=5), 0.05*Table24[[#This Row],[Salary]],0)</f>
        <v>4397.5</v>
      </c>
      <c r="J347" s="14">
        <f>VLOOKUP(Table24[[#This Row],[Salary]],'Tax rates'!A$2:C$8, 2) + VLOOKUP(Table24[[#This Row],[Salary]],'Tax rates'!A$2:C$8, 3) * (Table24[[#This Row],[Salary]] - VLOOKUP(Table24[[#This Row],[Salary]],'Tax rates'!A$2:C$8,1))</f>
        <v>15397.5</v>
      </c>
      <c r="K347" s="35">
        <f>Table24[[#This Row],[Salary]]-Table24[[#This Row],[Taxes]]</f>
        <v>72552.5</v>
      </c>
    </row>
    <row r="348" spans="1:11" x14ac:dyDescent="0.25">
      <c r="A348" s="5" t="s">
        <v>64</v>
      </c>
      <c r="B348" s="5" t="s">
        <v>1</v>
      </c>
      <c r="C348" s="5" t="s">
        <v>63</v>
      </c>
      <c r="D348" s="5" t="s">
        <v>3</v>
      </c>
      <c r="E348" s="6">
        <v>40551</v>
      </c>
      <c r="F348" s="5" t="s">
        <v>4</v>
      </c>
      <c r="G348" s="10">
        <v>71730</v>
      </c>
      <c r="H348" s="7">
        <v>1</v>
      </c>
      <c r="I348" s="12">
        <f>IF(OR(Table24[[#This Row],[Rating]]=4,Table24[[#This Row],[Rating]]=5), 0.05*Table24[[#This Row],[Salary]],0)</f>
        <v>0</v>
      </c>
      <c r="J348" s="14">
        <f>VLOOKUP(Table24[[#This Row],[Salary]],'Tax rates'!A$2:C$8, 2) + VLOOKUP(Table24[[#This Row],[Salary]],'Tax rates'!A$2:C$8, 3) * (Table24[[#This Row],[Salary]] - VLOOKUP(Table24[[#This Row],[Salary]],'Tax rates'!A$2:C$8,1))</f>
        <v>11720.1</v>
      </c>
      <c r="K348" s="35">
        <f>Table24[[#This Row],[Salary]]-Table24[[#This Row],[Taxes]]</f>
        <v>60009.9</v>
      </c>
    </row>
    <row r="349" spans="1:11" x14ac:dyDescent="0.25">
      <c r="A349" s="5" t="s">
        <v>227</v>
      </c>
      <c r="B349" s="5" t="s">
        <v>1</v>
      </c>
      <c r="C349" s="5" t="s">
        <v>63</v>
      </c>
      <c r="D349" s="5" t="s">
        <v>3</v>
      </c>
      <c r="E349" s="6">
        <v>39761</v>
      </c>
      <c r="F349" s="5" t="s">
        <v>4</v>
      </c>
      <c r="G349" s="10">
        <v>40940</v>
      </c>
      <c r="H349" s="7">
        <v>3</v>
      </c>
      <c r="I349" s="12">
        <f>IF(OR(Table24[[#This Row],[Rating]]=4,Table24[[#This Row],[Rating]]=5), 0.05*Table24[[#This Row],[Salary]],0)</f>
        <v>0</v>
      </c>
      <c r="J349" s="14">
        <f>VLOOKUP(Table24[[#This Row],[Salary]],'Tax rates'!A$2:C$8, 2) + VLOOKUP(Table24[[#This Row],[Salary]],'Tax rates'!A$2:C$8, 3) * (Table24[[#This Row],[Salary]] - VLOOKUP(Table24[[#This Row],[Salary]],'Tax rates'!A$2:C$8,1))</f>
        <v>4946.3</v>
      </c>
      <c r="K349" s="35">
        <f>Table24[[#This Row],[Salary]]-Table24[[#This Row],[Taxes]]</f>
        <v>35993.699999999997</v>
      </c>
    </row>
    <row r="350" spans="1:11" x14ac:dyDescent="0.25">
      <c r="A350" s="5" t="s">
        <v>184</v>
      </c>
      <c r="B350" s="5" t="s">
        <v>1</v>
      </c>
      <c r="C350" s="5" t="s">
        <v>63</v>
      </c>
      <c r="D350" s="5" t="s">
        <v>32</v>
      </c>
      <c r="E350" s="6">
        <v>39733</v>
      </c>
      <c r="F350" s="7"/>
      <c r="G350" s="10">
        <v>33232</v>
      </c>
      <c r="H350" s="7">
        <v>4</v>
      </c>
      <c r="I350" s="12">
        <f>IF(OR(Table24[[#This Row],[Rating]]=4,Table24[[#This Row],[Rating]]=5), 0.05*Table24[[#This Row],[Salary]],0)</f>
        <v>1661.6000000000001</v>
      </c>
      <c r="J350" s="14">
        <f>VLOOKUP(Table24[[#This Row],[Salary]],'Tax rates'!A$2:C$8, 2) + VLOOKUP(Table24[[#This Row],[Salary]],'Tax rates'!A$2:C$8, 3) * (Table24[[#This Row],[Salary]] - VLOOKUP(Table24[[#This Row],[Salary]],'Tax rates'!A$2:C$8,1))</f>
        <v>3797.3399999999997</v>
      </c>
      <c r="K350" s="35">
        <f>Table24[[#This Row],[Salary]]-Table24[[#This Row],[Taxes]]</f>
        <v>29434.66</v>
      </c>
    </row>
    <row r="351" spans="1:11" x14ac:dyDescent="0.25">
      <c r="A351" s="5" t="s">
        <v>207</v>
      </c>
      <c r="B351" s="5" t="s">
        <v>1</v>
      </c>
      <c r="C351" s="5" t="s">
        <v>63</v>
      </c>
      <c r="D351" s="5" t="s">
        <v>24</v>
      </c>
      <c r="E351" s="6">
        <v>39687</v>
      </c>
      <c r="F351" s="5" t="s">
        <v>21</v>
      </c>
      <c r="G351" s="10">
        <v>24815</v>
      </c>
      <c r="H351" s="7">
        <v>1</v>
      </c>
      <c r="I351" s="12">
        <f>IF(OR(Table24[[#This Row],[Rating]]=4,Table24[[#This Row],[Rating]]=5), 0.05*Table24[[#This Row],[Salary]],0)</f>
        <v>0</v>
      </c>
      <c r="J351" s="14">
        <f>VLOOKUP(Table24[[#This Row],[Salary]],'Tax rates'!A$2:C$8, 2) + VLOOKUP(Table24[[#This Row],[Salary]],'Tax rates'!A$2:C$8, 3) * (Table24[[#This Row],[Salary]] - VLOOKUP(Table24[[#This Row],[Salary]],'Tax rates'!A$2:C$8,1))</f>
        <v>2787.3</v>
      </c>
      <c r="K351" s="35">
        <f>Table24[[#This Row],[Salary]]-Table24[[#This Row],[Taxes]]</f>
        <v>22027.7</v>
      </c>
    </row>
    <row r="352" spans="1:11" x14ac:dyDescent="0.25">
      <c r="A352" s="5" t="s">
        <v>549</v>
      </c>
      <c r="B352" s="5" t="s">
        <v>1</v>
      </c>
      <c r="C352" s="5" t="s">
        <v>63</v>
      </c>
      <c r="D352" s="5" t="s">
        <v>24</v>
      </c>
      <c r="E352" s="6">
        <v>40654</v>
      </c>
      <c r="F352" s="5" t="s">
        <v>9</v>
      </c>
      <c r="G352" s="10">
        <v>16015</v>
      </c>
      <c r="H352" s="7">
        <v>3</v>
      </c>
      <c r="I352" s="12">
        <f>IF(OR(Table24[[#This Row],[Rating]]=4,Table24[[#This Row],[Rating]]=5), 0.05*Table24[[#This Row],[Salary]],0)</f>
        <v>0</v>
      </c>
      <c r="J352" s="14">
        <f>VLOOKUP(Table24[[#This Row],[Salary]],'Tax rates'!A$2:C$8, 2) + VLOOKUP(Table24[[#This Row],[Salary]],'Tax rates'!A$2:C$8, 3) * (Table24[[#This Row],[Salary]] - VLOOKUP(Table24[[#This Row],[Salary]],'Tax rates'!A$2:C$8,1))</f>
        <v>1731.3</v>
      </c>
      <c r="K352" s="35">
        <f>Table24[[#This Row],[Salary]]-Table24[[#This Row],[Taxes]]</f>
        <v>14283.7</v>
      </c>
    </row>
    <row r="353" spans="1:11" x14ac:dyDescent="0.25">
      <c r="A353" s="5" t="s">
        <v>158</v>
      </c>
      <c r="B353" s="5" t="s">
        <v>1</v>
      </c>
      <c r="C353" s="5" t="s">
        <v>2</v>
      </c>
      <c r="D353" s="5" t="s">
        <v>16</v>
      </c>
      <c r="E353" s="6">
        <v>38793</v>
      </c>
      <c r="F353" s="7"/>
      <c r="G353" s="10">
        <v>85930</v>
      </c>
      <c r="H353" s="7">
        <v>2</v>
      </c>
      <c r="I353" s="12">
        <f>IF(OR(Table24[[#This Row],[Rating]]=4,Table24[[#This Row],[Rating]]=5), 0.05*Table24[[#This Row],[Salary]],0)</f>
        <v>0</v>
      </c>
      <c r="J353" s="14">
        <f>VLOOKUP(Table24[[#This Row],[Salary]],'Tax rates'!A$2:C$8, 2) + VLOOKUP(Table24[[#This Row],[Salary]],'Tax rates'!A$2:C$8, 3) * (Table24[[#This Row],[Salary]] - VLOOKUP(Table24[[#This Row],[Salary]],'Tax rates'!A$2:C$8,1))</f>
        <v>14912.7</v>
      </c>
      <c r="K353" s="35">
        <f>Table24[[#This Row],[Salary]]-Table24[[#This Row],[Taxes]]</f>
        <v>71017.3</v>
      </c>
    </row>
    <row r="354" spans="1:11" x14ac:dyDescent="0.25">
      <c r="A354" s="5" t="s">
        <v>640</v>
      </c>
      <c r="B354" s="5" t="s">
        <v>1</v>
      </c>
      <c r="C354" s="5" t="s">
        <v>2</v>
      </c>
      <c r="D354" s="5" t="s">
        <v>3</v>
      </c>
      <c r="E354" s="6">
        <v>39183</v>
      </c>
      <c r="F354" s="5" t="s">
        <v>25</v>
      </c>
      <c r="G354" s="10">
        <v>82700</v>
      </c>
      <c r="H354" s="7">
        <v>3</v>
      </c>
      <c r="I354" s="12">
        <f>IF(OR(Table24[[#This Row],[Rating]]=4,Table24[[#This Row],[Rating]]=5), 0.05*Table24[[#This Row],[Salary]],0)</f>
        <v>0</v>
      </c>
      <c r="J354" s="14">
        <f>VLOOKUP(Table24[[#This Row],[Salary]],'Tax rates'!A$2:C$8, 2) + VLOOKUP(Table24[[#This Row],[Salary]],'Tax rates'!A$2:C$8, 3) * (Table24[[#This Row],[Salary]] - VLOOKUP(Table24[[#This Row],[Salary]],'Tax rates'!A$2:C$8,1))</f>
        <v>14137.5</v>
      </c>
      <c r="K354" s="35">
        <f>Table24[[#This Row],[Salary]]-Table24[[#This Row],[Taxes]]</f>
        <v>68562.5</v>
      </c>
    </row>
    <row r="355" spans="1:11" x14ac:dyDescent="0.25">
      <c r="A355" s="5" t="s">
        <v>317</v>
      </c>
      <c r="B355" s="5" t="s">
        <v>1</v>
      </c>
      <c r="C355" s="5" t="s">
        <v>2</v>
      </c>
      <c r="D355" s="5" t="s">
        <v>3</v>
      </c>
      <c r="E355" s="6">
        <v>40581</v>
      </c>
      <c r="F355" s="5" t="s">
        <v>21</v>
      </c>
      <c r="G355" s="10">
        <v>80260</v>
      </c>
      <c r="H355" s="7">
        <v>3</v>
      </c>
      <c r="I355" s="12">
        <f>IF(OR(Table24[[#This Row],[Rating]]=4,Table24[[#This Row],[Rating]]=5), 0.05*Table24[[#This Row],[Salary]],0)</f>
        <v>0</v>
      </c>
      <c r="J355" s="14">
        <f>VLOOKUP(Table24[[#This Row],[Salary]],'Tax rates'!A$2:C$8, 2) + VLOOKUP(Table24[[#This Row],[Salary]],'Tax rates'!A$2:C$8, 3) * (Table24[[#This Row],[Salary]] - VLOOKUP(Table24[[#This Row],[Salary]],'Tax rates'!A$2:C$8,1))</f>
        <v>13596.7</v>
      </c>
      <c r="K355" s="35">
        <f>Table24[[#This Row],[Salary]]-Table24[[#This Row],[Taxes]]</f>
        <v>66663.3</v>
      </c>
    </row>
    <row r="356" spans="1:11" x14ac:dyDescent="0.25">
      <c r="A356" s="5" t="s">
        <v>87</v>
      </c>
      <c r="B356" s="5" t="s">
        <v>1</v>
      </c>
      <c r="C356" s="5" t="s">
        <v>2</v>
      </c>
      <c r="D356" s="5" t="s">
        <v>3</v>
      </c>
      <c r="E356" s="6">
        <v>38784</v>
      </c>
      <c r="F356" s="5" t="s">
        <v>4</v>
      </c>
      <c r="G356" s="10">
        <v>78710</v>
      </c>
      <c r="H356" s="7">
        <v>4</v>
      </c>
      <c r="I356" s="12">
        <f>IF(OR(Table24[[#This Row],[Rating]]=4,Table24[[#This Row],[Rating]]=5), 0.05*Table24[[#This Row],[Salary]],0)</f>
        <v>3935.5</v>
      </c>
      <c r="J356" s="14">
        <f>VLOOKUP(Table24[[#This Row],[Salary]],'Tax rates'!A$2:C$8, 2) + VLOOKUP(Table24[[#This Row],[Salary]],'Tax rates'!A$2:C$8, 3) * (Table24[[#This Row],[Salary]] - VLOOKUP(Table24[[#This Row],[Salary]],'Tax rates'!A$2:C$8,1))</f>
        <v>13255.7</v>
      </c>
      <c r="K356" s="35">
        <f>Table24[[#This Row],[Salary]]-Table24[[#This Row],[Taxes]]</f>
        <v>65454.3</v>
      </c>
    </row>
    <row r="357" spans="1:11" x14ac:dyDescent="0.25">
      <c r="A357" s="5" t="s">
        <v>715</v>
      </c>
      <c r="B357" s="5" t="s">
        <v>1</v>
      </c>
      <c r="C357" s="5" t="s">
        <v>2</v>
      </c>
      <c r="D357" s="5" t="s">
        <v>3</v>
      </c>
      <c r="E357" s="6">
        <v>38902</v>
      </c>
      <c r="F357" s="5" t="s">
        <v>4</v>
      </c>
      <c r="G357" s="10">
        <v>73560</v>
      </c>
      <c r="H357" s="7">
        <v>3</v>
      </c>
      <c r="I357" s="12">
        <f>IF(OR(Table24[[#This Row],[Rating]]=4,Table24[[#This Row],[Rating]]=5), 0.05*Table24[[#This Row],[Salary]],0)</f>
        <v>0</v>
      </c>
      <c r="J357" s="14">
        <f>VLOOKUP(Table24[[#This Row],[Salary]],'Tax rates'!A$2:C$8, 2) + VLOOKUP(Table24[[#This Row],[Salary]],'Tax rates'!A$2:C$8, 3) * (Table24[[#This Row],[Salary]] - VLOOKUP(Table24[[#This Row],[Salary]],'Tax rates'!A$2:C$8,1))</f>
        <v>12122.7</v>
      </c>
      <c r="K357" s="35">
        <f>Table24[[#This Row],[Salary]]-Table24[[#This Row],[Taxes]]</f>
        <v>61437.3</v>
      </c>
    </row>
    <row r="358" spans="1:11" x14ac:dyDescent="0.25">
      <c r="A358" s="5" t="s">
        <v>330</v>
      </c>
      <c r="B358" s="5" t="s">
        <v>1</v>
      </c>
      <c r="C358" s="5" t="s">
        <v>2</v>
      </c>
      <c r="D358" s="5" t="s">
        <v>3</v>
      </c>
      <c r="E358" s="6">
        <v>35896</v>
      </c>
      <c r="F358" s="5" t="s">
        <v>11</v>
      </c>
      <c r="G358" s="10">
        <v>70280</v>
      </c>
      <c r="H358" s="7">
        <v>3</v>
      </c>
      <c r="I358" s="12">
        <f>IF(OR(Table24[[#This Row],[Rating]]=4,Table24[[#This Row],[Rating]]=5), 0.05*Table24[[#This Row],[Salary]],0)</f>
        <v>0</v>
      </c>
      <c r="J358" s="14">
        <f>VLOOKUP(Table24[[#This Row],[Salary]],'Tax rates'!A$2:C$8, 2) + VLOOKUP(Table24[[#This Row],[Salary]],'Tax rates'!A$2:C$8, 3) * (Table24[[#This Row],[Salary]] - VLOOKUP(Table24[[#This Row],[Salary]],'Tax rates'!A$2:C$8,1))</f>
        <v>11401.1</v>
      </c>
      <c r="K358" s="35">
        <f>Table24[[#This Row],[Salary]]-Table24[[#This Row],[Taxes]]</f>
        <v>58878.9</v>
      </c>
    </row>
    <row r="359" spans="1:11" x14ac:dyDescent="0.25">
      <c r="A359" s="5" t="s">
        <v>260</v>
      </c>
      <c r="B359" s="5" t="s">
        <v>1</v>
      </c>
      <c r="C359" s="5" t="s">
        <v>2</v>
      </c>
      <c r="D359" s="5" t="s">
        <v>3</v>
      </c>
      <c r="E359" s="6">
        <v>36312</v>
      </c>
      <c r="F359" s="5" t="s">
        <v>4</v>
      </c>
      <c r="G359" s="10">
        <v>69200</v>
      </c>
      <c r="H359" s="7">
        <v>4</v>
      </c>
      <c r="I359" s="12">
        <f>IF(OR(Table24[[#This Row],[Rating]]=4,Table24[[#This Row],[Rating]]=5), 0.05*Table24[[#This Row],[Salary]],0)</f>
        <v>3460</v>
      </c>
      <c r="J359" s="14">
        <f>VLOOKUP(Table24[[#This Row],[Salary]],'Tax rates'!A$2:C$8, 2) + VLOOKUP(Table24[[#This Row],[Salary]],'Tax rates'!A$2:C$8, 3) * (Table24[[#This Row],[Salary]] - VLOOKUP(Table24[[#This Row],[Salary]],'Tax rates'!A$2:C$8,1))</f>
        <v>11163.5</v>
      </c>
      <c r="K359" s="35">
        <f>Table24[[#This Row],[Salary]]-Table24[[#This Row],[Taxes]]</f>
        <v>58036.5</v>
      </c>
    </row>
    <row r="360" spans="1:11" x14ac:dyDescent="0.25">
      <c r="A360" s="5" t="s">
        <v>539</v>
      </c>
      <c r="B360" s="5" t="s">
        <v>1</v>
      </c>
      <c r="C360" s="5" t="s">
        <v>2</v>
      </c>
      <c r="D360" s="5" t="s">
        <v>3</v>
      </c>
      <c r="E360" s="6">
        <v>41016</v>
      </c>
      <c r="F360" s="5" t="s">
        <v>4</v>
      </c>
      <c r="G360" s="10">
        <v>68470</v>
      </c>
      <c r="H360" s="7">
        <v>4</v>
      </c>
      <c r="I360" s="12">
        <f>IF(OR(Table24[[#This Row],[Rating]]=4,Table24[[#This Row],[Rating]]=5), 0.05*Table24[[#This Row],[Salary]],0)</f>
        <v>3423.5</v>
      </c>
      <c r="J360" s="14">
        <f>VLOOKUP(Table24[[#This Row],[Salary]],'Tax rates'!A$2:C$8, 2) + VLOOKUP(Table24[[#This Row],[Salary]],'Tax rates'!A$2:C$8, 3) * (Table24[[#This Row],[Salary]] - VLOOKUP(Table24[[#This Row],[Salary]],'Tax rates'!A$2:C$8,1))</f>
        <v>11002.9</v>
      </c>
      <c r="K360" s="35">
        <f>Table24[[#This Row],[Salary]]-Table24[[#This Row],[Taxes]]</f>
        <v>57467.1</v>
      </c>
    </row>
    <row r="361" spans="1:11" x14ac:dyDescent="0.25">
      <c r="A361" s="5" t="s">
        <v>218</v>
      </c>
      <c r="B361" s="5" t="s">
        <v>1</v>
      </c>
      <c r="C361" s="5" t="s">
        <v>2</v>
      </c>
      <c r="D361" s="5" t="s">
        <v>3</v>
      </c>
      <c r="E361" s="6">
        <v>40990</v>
      </c>
      <c r="F361" s="5" t="s">
        <v>4</v>
      </c>
      <c r="G361" s="10">
        <v>65571</v>
      </c>
      <c r="H361" s="7">
        <v>3</v>
      </c>
      <c r="I361" s="12">
        <f>IF(OR(Table24[[#This Row],[Rating]]=4,Table24[[#This Row],[Rating]]=5), 0.05*Table24[[#This Row],[Salary]],0)</f>
        <v>0</v>
      </c>
      <c r="J361" s="14">
        <f>VLOOKUP(Table24[[#This Row],[Salary]],'Tax rates'!A$2:C$8, 2) + VLOOKUP(Table24[[#This Row],[Salary]],'Tax rates'!A$2:C$8, 3) * (Table24[[#This Row],[Salary]] - VLOOKUP(Table24[[#This Row],[Salary]],'Tax rates'!A$2:C$8,1))</f>
        <v>10365.119999999999</v>
      </c>
      <c r="K361" s="35">
        <f>Table24[[#This Row],[Salary]]-Table24[[#This Row],[Taxes]]</f>
        <v>55205.880000000005</v>
      </c>
    </row>
    <row r="362" spans="1:11" x14ac:dyDescent="0.25">
      <c r="A362" s="5" t="s">
        <v>670</v>
      </c>
      <c r="B362" s="5" t="s">
        <v>1</v>
      </c>
      <c r="C362" s="5" t="s">
        <v>2</v>
      </c>
      <c r="D362" s="5" t="s">
        <v>3</v>
      </c>
      <c r="E362" s="6">
        <v>36245</v>
      </c>
      <c r="F362" s="5" t="s">
        <v>4</v>
      </c>
      <c r="G362" s="10">
        <v>58410</v>
      </c>
      <c r="H362" s="7">
        <v>5</v>
      </c>
      <c r="I362" s="12">
        <f>IF(OR(Table24[[#This Row],[Rating]]=4,Table24[[#This Row],[Rating]]=5), 0.05*Table24[[#This Row],[Salary]],0)</f>
        <v>2920.5</v>
      </c>
      <c r="J362" s="14">
        <f>VLOOKUP(Table24[[#This Row],[Salary]],'Tax rates'!A$2:C$8, 2) + VLOOKUP(Table24[[#This Row],[Salary]],'Tax rates'!A$2:C$8, 3) * (Table24[[#This Row],[Salary]] - VLOOKUP(Table24[[#This Row],[Salary]],'Tax rates'!A$2:C$8,1))</f>
        <v>8789.7000000000007</v>
      </c>
      <c r="K362" s="35">
        <f>Table24[[#This Row],[Salary]]-Table24[[#This Row],[Taxes]]</f>
        <v>49620.3</v>
      </c>
    </row>
    <row r="363" spans="1:11" x14ac:dyDescent="0.25">
      <c r="A363" s="5" t="s">
        <v>528</v>
      </c>
      <c r="B363" s="5" t="s">
        <v>1</v>
      </c>
      <c r="C363" s="5" t="s">
        <v>2</v>
      </c>
      <c r="D363" s="5" t="s">
        <v>16</v>
      </c>
      <c r="E363" s="6">
        <v>41219</v>
      </c>
      <c r="F363" s="7"/>
      <c r="G363" s="10">
        <v>55690</v>
      </c>
      <c r="H363" s="7">
        <v>2</v>
      </c>
      <c r="I363" s="12">
        <f>IF(OR(Table24[[#This Row],[Rating]]=4,Table24[[#This Row],[Rating]]=5), 0.05*Table24[[#This Row],[Salary]],0)</f>
        <v>0</v>
      </c>
      <c r="J363" s="14">
        <f>VLOOKUP(Table24[[#This Row],[Salary]],'Tax rates'!A$2:C$8, 2) + VLOOKUP(Table24[[#This Row],[Salary]],'Tax rates'!A$2:C$8, 3) * (Table24[[#This Row],[Salary]] - VLOOKUP(Table24[[#This Row],[Salary]],'Tax rates'!A$2:C$8,1))</f>
        <v>8191.3</v>
      </c>
      <c r="K363" s="35">
        <f>Table24[[#This Row],[Salary]]-Table24[[#This Row],[Taxes]]</f>
        <v>47498.7</v>
      </c>
    </row>
    <row r="364" spans="1:11" x14ac:dyDescent="0.25">
      <c r="A364" s="5" t="s">
        <v>199</v>
      </c>
      <c r="B364" s="5" t="s">
        <v>1</v>
      </c>
      <c r="C364" s="5" t="s">
        <v>2</v>
      </c>
      <c r="D364" s="5" t="s">
        <v>16</v>
      </c>
      <c r="E364" s="6">
        <v>36479</v>
      </c>
      <c r="F364" s="7"/>
      <c r="G364" s="10">
        <v>54840</v>
      </c>
      <c r="H364" s="7">
        <v>4</v>
      </c>
      <c r="I364" s="12">
        <f>IF(OR(Table24[[#This Row],[Rating]]=4,Table24[[#This Row],[Rating]]=5), 0.05*Table24[[#This Row],[Salary]],0)</f>
        <v>2742</v>
      </c>
      <c r="J364" s="14">
        <f>VLOOKUP(Table24[[#This Row],[Salary]],'Tax rates'!A$2:C$8, 2) + VLOOKUP(Table24[[#This Row],[Salary]],'Tax rates'!A$2:C$8, 3) * (Table24[[#This Row],[Salary]] - VLOOKUP(Table24[[#This Row],[Salary]],'Tax rates'!A$2:C$8,1))</f>
        <v>8004.3</v>
      </c>
      <c r="K364" s="35">
        <f>Table24[[#This Row],[Salary]]-Table24[[#This Row],[Taxes]]</f>
        <v>46835.7</v>
      </c>
    </row>
    <row r="365" spans="1:11" x14ac:dyDescent="0.25">
      <c r="A365" s="5" t="s">
        <v>239</v>
      </c>
      <c r="B365" s="5" t="s">
        <v>1</v>
      </c>
      <c r="C365" s="5" t="s">
        <v>2</v>
      </c>
      <c r="D365" s="5" t="s">
        <v>3</v>
      </c>
      <c r="E365" s="6">
        <v>40909</v>
      </c>
      <c r="F365" s="5" t="s">
        <v>4</v>
      </c>
      <c r="G365" s="10">
        <v>54830</v>
      </c>
      <c r="H365" s="7">
        <v>1</v>
      </c>
      <c r="I365" s="12">
        <f>IF(OR(Table24[[#This Row],[Rating]]=4,Table24[[#This Row],[Rating]]=5), 0.05*Table24[[#This Row],[Salary]],0)</f>
        <v>0</v>
      </c>
      <c r="J365" s="14">
        <f>VLOOKUP(Table24[[#This Row],[Salary]],'Tax rates'!A$2:C$8, 2) + VLOOKUP(Table24[[#This Row],[Salary]],'Tax rates'!A$2:C$8, 3) * (Table24[[#This Row],[Salary]] - VLOOKUP(Table24[[#This Row],[Salary]],'Tax rates'!A$2:C$8,1))</f>
        <v>8002.1</v>
      </c>
      <c r="K365" s="35">
        <f>Table24[[#This Row],[Salary]]-Table24[[#This Row],[Taxes]]</f>
        <v>46827.9</v>
      </c>
    </row>
    <row r="366" spans="1:11" x14ac:dyDescent="0.25">
      <c r="A366" s="5" t="s">
        <v>214</v>
      </c>
      <c r="B366" s="5" t="s">
        <v>1</v>
      </c>
      <c r="C366" s="5" t="s">
        <v>2</v>
      </c>
      <c r="D366" s="5" t="s">
        <v>3</v>
      </c>
      <c r="E366" s="6">
        <v>39273</v>
      </c>
      <c r="F366" s="5" t="s">
        <v>4</v>
      </c>
      <c r="G366" s="10">
        <v>54200</v>
      </c>
      <c r="H366" s="7">
        <v>4</v>
      </c>
      <c r="I366" s="12">
        <f>IF(OR(Table24[[#This Row],[Rating]]=4,Table24[[#This Row],[Rating]]=5), 0.05*Table24[[#This Row],[Salary]],0)</f>
        <v>2710</v>
      </c>
      <c r="J366" s="14">
        <f>VLOOKUP(Table24[[#This Row],[Salary]],'Tax rates'!A$2:C$8, 2) + VLOOKUP(Table24[[#This Row],[Salary]],'Tax rates'!A$2:C$8, 3) * (Table24[[#This Row],[Salary]] - VLOOKUP(Table24[[#This Row],[Salary]],'Tax rates'!A$2:C$8,1))</f>
        <v>7863.5</v>
      </c>
      <c r="K366" s="35">
        <f>Table24[[#This Row],[Salary]]-Table24[[#This Row],[Taxes]]</f>
        <v>46336.5</v>
      </c>
    </row>
    <row r="367" spans="1:11" x14ac:dyDescent="0.25">
      <c r="A367" s="5" t="s">
        <v>351</v>
      </c>
      <c r="B367" s="5" t="s">
        <v>1</v>
      </c>
      <c r="C367" s="5" t="s">
        <v>2</v>
      </c>
      <c r="D367" s="5" t="s">
        <v>3</v>
      </c>
      <c r="E367" s="6">
        <v>39797</v>
      </c>
      <c r="F367" s="5" t="s">
        <v>4</v>
      </c>
      <c r="G367" s="10">
        <v>53900</v>
      </c>
      <c r="H367" s="7">
        <v>5</v>
      </c>
      <c r="I367" s="12">
        <f>IF(OR(Table24[[#This Row],[Rating]]=4,Table24[[#This Row],[Rating]]=5), 0.05*Table24[[#This Row],[Salary]],0)</f>
        <v>2695</v>
      </c>
      <c r="J367" s="14">
        <f>VLOOKUP(Table24[[#This Row],[Salary]],'Tax rates'!A$2:C$8, 2) + VLOOKUP(Table24[[#This Row],[Salary]],'Tax rates'!A$2:C$8, 3) * (Table24[[#This Row],[Salary]] - VLOOKUP(Table24[[#This Row],[Salary]],'Tax rates'!A$2:C$8,1))</f>
        <v>7797.5</v>
      </c>
      <c r="K367" s="35">
        <f>Table24[[#This Row],[Salary]]-Table24[[#This Row],[Taxes]]</f>
        <v>46102.5</v>
      </c>
    </row>
    <row r="368" spans="1:11" x14ac:dyDescent="0.25">
      <c r="A368" s="5" t="s">
        <v>346</v>
      </c>
      <c r="B368" s="5" t="s">
        <v>1</v>
      </c>
      <c r="C368" s="5" t="s">
        <v>2</v>
      </c>
      <c r="D368" s="5" t="s">
        <v>16</v>
      </c>
      <c r="E368" s="6">
        <v>36214</v>
      </c>
      <c r="F368" s="7"/>
      <c r="G368" s="10">
        <v>53310</v>
      </c>
      <c r="H368" s="7">
        <v>5</v>
      </c>
      <c r="I368" s="12">
        <f>IF(OR(Table24[[#This Row],[Rating]]=4,Table24[[#This Row],[Rating]]=5), 0.05*Table24[[#This Row],[Salary]],0)</f>
        <v>2665.5</v>
      </c>
      <c r="J368" s="14">
        <f>VLOOKUP(Table24[[#This Row],[Salary]],'Tax rates'!A$2:C$8, 2) + VLOOKUP(Table24[[#This Row],[Salary]],'Tax rates'!A$2:C$8, 3) * (Table24[[#This Row],[Salary]] - VLOOKUP(Table24[[#This Row],[Salary]],'Tax rates'!A$2:C$8,1))</f>
        <v>7667.7</v>
      </c>
      <c r="K368" s="35">
        <f>Table24[[#This Row],[Salary]]-Table24[[#This Row],[Taxes]]</f>
        <v>45642.3</v>
      </c>
    </row>
    <row r="369" spans="1:11" x14ac:dyDescent="0.25">
      <c r="A369" s="5" t="s">
        <v>633</v>
      </c>
      <c r="B369" s="5" t="s">
        <v>1</v>
      </c>
      <c r="C369" s="5" t="s">
        <v>2</v>
      </c>
      <c r="D369" s="5" t="s">
        <v>24</v>
      </c>
      <c r="E369" s="6">
        <v>36423</v>
      </c>
      <c r="F369" s="5" t="s">
        <v>9</v>
      </c>
      <c r="G369" s="10">
        <v>47350</v>
      </c>
      <c r="H369" s="7">
        <v>1</v>
      </c>
      <c r="I369" s="12">
        <f>IF(OR(Table24[[#This Row],[Rating]]=4,Table24[[#This Row],[Rating]]=5), 0.05*Table24[[#This Row],[Salary]],0)</f>
        <v>0</v>
      </c>
      <c r="J369" s="14">
        <f>VLOOKUP(Table24[[#This Row],[Salary]],'Tax rates'!A$2:C$8, 2) + VLOOKUP(Table24[[#This Row],[Salary]],'Tax rates'!A$2:C$8, 3) * (Table24[[#This Row],[Salary]] - VLOOKUP(Table24[[#This Row],[Salary]],'Tax rates'!A$2:C$8,1))</f>
        <v>6356.5</v>
      </c>
      <c r="K369" s="35">
        <f>Table24[[#This Row],[Salary]]-Table24[[#This Row],[Taxes]]</f>
        <v>40993.5</v>
      </c>
    </row>
    <row r="370" spans="1:11" x14ac:dyDescent="0.25">
      <c r="A370" s="5" t="s">
        <v>169</v>
      </c>
      <c r="B370" s="5" t="s">
        <v>1</v>
      </c>
      <c r="C370" s="5" t="s">
        <v>2</v>
      </c>
      <c r="D370" s="5" t="s">
        <v>3</v>
      </c>
      <c r="E370" s="6">
        <v>36407</v>
      </c>
      <c r="F370" s="5" t="s">
        <v>25</v>
      </c>
      <c r="G370" s="10">
        <v>45880</v>
      </c>
      <c r="H370" s="7">
        <v>5</v>
      </c>
      <c r="I370" s="12">
        <f>IF(OR(Table24[[#This Row],[Rating]]=4,Table24[[#This Row],[Rating]]=5), 0.05*Table24[[#This Row],[Salary]],0)</f>
        <v>2294</v>
      </c>
      <c r="J370" s="14">
        <f>VLOOKUP(Table24[[#This Row],[Salary]],'Tax rates'!A$2:C$8, 2) + VLOOKUP(Table24[[#This Row],[Salary]],'Tax rates'!A$2:C$8, 3) * (Table24[[#This Row],[Salary]] - VLOOKUP(Table24[[#This Row],[Salary]],'Tax rates'!A$2:C$8,1))</f>
        <v>6033.1</v>
      </c>
      <c r="K370" s="35">
        <f>Table24[[#This Row],[Salary]]-Table24[[#This Row],[Taxes]]</f>
        <v>39846.9</v>
      </c>
    </row>
    <row r="371" spans="1:11" x14ac:dyDescent="0.25">
      <c r="A371" s="5" t="s">
        <v>104</v>
      </c>
      <c r="B371" s="5" t="s">
        <v>1</v>
      </c>
      <c r="C371" s="5" t="s">
        <v>2</v>
      </c>
      <c r="D371" s="5" t="s">
        <v>16</v>
      </c>
      <c r="E371" s="6">
        <v>39720</v>
      </c>
      <c r="F371" s="7"/>
      <c r="G371" s="10">
        <v>43320</v>
      </c>
      <c r="H371" s="7">
        <v>5</v>
      </c>
      <c r="I371" s="12">
        <f>IF(OR(Table24[[#This Row],[Rating]]=4,Table24[[#This Row],[Rating]]=5), 0.05*Table24[[#This Row],[Salary]],0)</f>
        <v>2166</v>
      </c>
      <c r="J371" s="14">
        <f>VLOOKUP(Table24[[#This Row],[Salary]],'Tax rates'!A$2:C$8, 2) + VLOOKUP(Table24[[#This Row],[Salary]],'Tax rates'!A$2:C$8, 3) * (Table24[[#This Row],[Salary]] - VLOOKUP(Table24[[#This Row],[Salary]],'Tax rates'!A$2:C$8,1))</f>
        <v>5469.9</v>
      </c>
      <c r="K371" s="35">
        <f>Table24[[#This Row],[Salary]]-Table24[[#This Row],[Taxes]]</f>
        <v>37850.1</v>
      </c>
    </row>
    <row r="372" spans="1:11" x14ac:dyDescent="0.25">
      <c r="A372" s="5" t="s">
        <v>441</v>
      </c>
      <c r="B372" s="5" t="s">
        <v>1</v>
      </c>
      <c r="C372" s="5" t="s">
        <v>2</v>
      </c>
      <c r="D372" s="5" t="s">
        <v>3</v>
      </c>
      <c r="E372" s="6">
        <v>38856</v>
      </c>
      <c r="F372" s="5" t="s">
        <v>11</v>
      </c>
      <c r="G372" s="10">
        <v>37770</v>
      </c>
      <c r="H372" s="7">
        <v>5</v>
      </c>
      <c r="I372" s="12">
        <f>IF(OR(Table24[[#This Row],[Rating]]=4,Table24[[#This Row],[Rating]]=5), 0.05*Table24[[#This Row],[Salary]],0)</f>
        <v>1888.5</v>
      </c>
      <c r="J372" s="14">
        <f>VLOOKUP(Table24[[#This Row],[Salary]],'Tax rates'!A$2:C$8, 2) + VLOOKUP(Table24[[#This Row],[Salary]],'Tax rates'!A$2:C$8, 3) * (Table24[[#This Row],[Salary]] - VLOOKUP(Table24[[#This Row],[Salary]],'Tax rates'!A$2:C$8,1))</f>
        <v>4341.8999999999996</v>
      </c>
      <c r="K372" s="35">
        <f>Table24[[#This Row],[Salary]]-Table24[[#This Row],[Taxes]]</f>
        <v>33428.1</v>
      </c>
    </row>
    <row r="373" spans="1:11" x14ac:dyDescent="0.25">
      <c r="A373" s="5" t="s">
        <v>717</v>
      </c>
      <c r="B373" s="5" t="s">
        <v>1</v>
      </c>
      <c r="C373" s="5" t="s">
        <v>2</v>
      </c>
      <c r="D373" s="5" t="s">
        <v>3</v>
      </c>
      <c r="E373" s="6">
        <v>40521</v>
      </c>
      <c r="F373" s="5" t="s">
        <v>11</v>
      </c>
      <c r="G373" s="10">
        <v>34330</v>
      </c>
      <c r="H373" s="7">
        <v>3</v>
      </c>
      <c r="I373" s="12">
        <f>IF(OR(Table24[[#This Row],[Rating]]=4,Table24[[#This Row],[Rating]]=5), 0.05*Table24[[#This Row],[Salary]],0)</f>
        <v>0</v>
      </c>
      <c r="J373" s="14">
        <f>VLOOKUP(Table24[[#This Row],[Salary]],'Tax rates'!A$2:C$8, 2) + VLOOKUP(Table24[[#This Row],[Salary]],'Tax rates'!A$2:C$8, 3) * (Table24[[#This Row],[Salary]] - VLOOKUP(Table24[[#This Row],[Salary]],'Tax rates'!A$2:C$8,1))</f>
        <v>3929.1</v>
      </c>
      <c r="K373" s="35">
        <f>Table24[[#This Row],[Salary]]-Table24[[#This Row],[Taxes]]</f>
        <v>30400.9</v>
      </c>
    </row>
    <row r="374" spans="1:11" x14ac:dyDescent="0.25">
      <c r="A374" s="5" t="s">
        <v>178</v>
      </c>
      <c r="B374" s="5" t="s">
        <v>1</v>
      </c>
      <c r="C374" s="5" t="s">
        <v>2</v>
      </c>
      <c r="D374" s="5" t="s">
        <v>3</v>
      </c>
      <c r="E374" s="6">
        <v>39745</v>
      </c>
      <c r="F374" s="5" t="s">
        <v>11</v>
      </c>
      <c r="G374" s="10">
        <v>29330</v>
      </c>
      <c r="H374" s="7">
        <v>5</v>
      </c>
      <c r="I374" s="12">
        <f>IF(OR(Table24[[#This Row],[Rating]]=4,Table24[[#This Row],[Rating]]=5), 0.05*Table24[[#This Row],[Salary]],0)</f>
        <v>1466.5</v>
      </c>
      <c r="J374" s="14">
        <f>VLOOKUP(Table24[[#This Row],[Salary]],'Tax rates'!A$2:C$8, 2) + VLOOKUP(Table24[[#This Row],[Salary]],'Tax rates'!A$2:C$8, 3) * (Table24[[#This Row],[Salary]] - VLOOKUP(Table24[[#This Row],[Salary]],'Tax rates'!A$2:C$8,1))</f>
        <v>3329.1</v>
      </c>
      <c r="K374" s="35">
        <f>Table24[[#This Row],[Salary]]-Table24[[#This Row],[Taxes]]</f>
        <v>26000.9</v>
      </c>
    </row>
    <row r="375" spans="1:11" x14ac:dyDescent="0.25">
      <c r="A375" s="5" t="s">
        <v>0</v>
      </c>
      <c r="B375" s="5" t="s">
        <v>1</v>
      </c>
      <c r="C375" s="5" t="s">
        <v>2</v>
      </c>
      <c r="D375" s="5" t="s">
        <v>3</v>
      </c>
      <c r="E375" s="6">
        <v>36526</v>
      </c>
      <c r="F375" s="5" t="s">
        <v>4</v>
      </c>
      <c r="G375" s="10">
        <v>29260</v>
      </c>
      <c r="H375" s="7">
        <v>4</v>
      </c>
      <c r="I375" s="12">
        <f>IF(OR(Table24[[#This Row],[Rating]]=4,Table24[[#This Row],[Rating]]=5), 0.05*Table24[[#This Row],[Salary]],0)</f>
        <v>1463</v>
      </c>
      <c r="J375" s="14">
        <f>VLOOKUP(Table24[[#This Row],[Salary]],'Tax rates'!A$2:C$8, 2) + VLOOKUP(Table24[[#This Row],[Salary]],'Tax rates'!A$2:C$8, 3) * (Table24[[#This Row],[Salary]] - VLOOKUP(Table24[[#This Row],[Salary]],'Tax rates'!A$2:C$8,1))</f>
        <v>3320.7</v>
      </c>
      <c r="K375" s="35">
        <f>Table24[[#This Row],[Salary]]-Table24[[#This Row],[Taxes]]</f>
        <v>25939.3</v>
      </c>
    </row>
    <row r="376" spans="1:11" x14ac:dyDescent="0.25">
      <c r="A376" s="5" t="s">
        <v>10</v>
      </c>
      <c r="B376" s="5" t="s">
        <v>1</v>
      </c>
      <c r="C376" s="5" t="s">
        <v>2</v>
      </c>
      <c r="D376" s="5" t="s">
        <v>3</v>
      </c>
      <c r="E376" s="6">
        <v>40574</v>
      </c>
      <c r="F376" s="5" t="s">
        <v>11</v>
      </c>
      <c r="G376" s="10">
        <v>24840</v>
      </c>
      <c r="H376" s="7">
        <v>1</v>
      </c>
      <c r="I376" s="12">
        <f>IF(OR(Table24[[#This Row],[Rating]]=4,Table24[[#This Row],[Rating]]=5), 0.05*Table24[[#This Row],[Salary]],0)</f>
        <v>0</v>
      </c>
      <c r="J376" s="14">
        <f>VLOOKUP(Table24[[#This Row],[Salary]],'Tax rates'!A$2:C$8, 2) + VLOOKUP(Table24[[#This Row],[Salary]],'Tax rates'!A$2:C$8, 3) * (Table24[[#This Row],[Salary]] - VLOOKUP(Table24[[#This Row],[Salary]],'Tax rates'!A$2:C$8,1))</f>
        <v>2790.3</v>
      </c>
      <c r="K376" s="35">
        <f>Table24[[#This Row],[Salary]]-Table24[[#This Row],[Taxes]]</f>
        <v>22049.7</v>
      </c>
    </row>
    <row r="377" spans="1:11" x14ac:dyDescent="0.25">
      <c r="A377" s="5" t="s">
        <v>629</v>
      </c>
      <c r="B377" s="5" t="s">
        <v>1</v>
      </c>
      <c r="C377" s="5" t="s">
        <v>35</v>
      </c>
      <c r="D377" s="5" t="s">
        <v>3</v>
      </c>
      <c r="E377" s="6">
        <v>39399</v>
      </c>
      <c r="F377" s="5" t="s">
        <v>11</v>
      </c>
      <c r="G377" s="10">
        <v>87220</v>
      </c>
      <c r="H377" s="7">
        <v>1</v>
      </c>
      <c r="I377" s="12">
        <f>IF(OR(Table24[[#This Row],[Rating]]=4,Table24[[#This Row],[Rating]]=5), 0.05*Table24[[#This Row],[Salary]],0)</f>
        <v>0</v>
      </c>
      <c r="J377" s="14">
        <f>VLOOKUP(Table24[[#This Row],[Salary]],'Tax rates'!A$2:C$8, 2) + VLOOKUP(Table24[[#This Row],[Salary]],'Tax rates'!A$2:C$8, 3) * (Table24[[#This Row],[Salary]] - VLOOKUP(Table24[[#This Row],[Salary]],'Tax rates'!A$2:C$8,1))</f>
        <v>15222.3</v>
      </c>
      <c r="K377" s="35">
        <f>Table24[[#This Row],[Salary]]-Table24[[#This Row],[Taxes]]</f>
        <v>71997.7</v>
      </c>
    </row>
    <row r="378" spans="1:11" x14ac:dyDescent="0.25">
      <c r="A378" s="5" t="s">
        <v>443</v>
      </c>
      <c r="B378" s="5" t="s">
        <v>1</v>
      </c>
      <c r="C378" s="5" t="s">
        <v>35</v>
      </c>
      <c r="D378" s="5" t="s">
        <v>3</v>
      </c>
      <c r="E378" s="6">
        <v>39728</v>
      </c>
      <c r="F378" s="5" t="s">
        <v>4</v>
      </c>
      <c r="G378" s="10">
        <v>82370</v>
      </c>
      <c r="H378" s="7">
        <v>5</v>
      </c>
      <c r="I378" s="12">
        <f>IF(OR(Table24[[#This Row],[Rating]]=4,Table24[[#This Row],[Rating]]=5), 0.05*Table24[[#This Row],[Salary]],0)</f>
        <v>4118.5</v>
      </c>
      <c r="J378" s="14">
        <f>VLOOKUP(Table24[[#This Row],[Salary]],'Tax rates'!A$2:C$8, 2) + VLOOKUP(Table24[[#This Row],[Salary]],'Tax rates'!A$2:C$8, 3) * (Table24[[#This Row],[Salary]] - VLOOKUP(Table24[[#This Row],[Salary]],'Tax rates'!A$2:C$8,1))</f>
        <v>14060.9</v>
      </c>
      <c r="K378" s="35">
        <f>Table24[[#This Row],[Salary]]-Table24[[#This Row],[Taxes]]</f>
        <v>68309.100000000006</v>
      </c>
    </row>
    <row r="379" spans="1:11" x14ac:dyDescent="0.25">
      <c r="A379" s="5" t="s">
        <v>225</v>
      </c>
      <c r="B379" s="5" t="s">
        <v>1</v>
      </c>
      <c r="C379" s="5" t="s">
        <v>35</v>
      </c>
      <c r="D379" s="5" t="s">
        <v>16</v>
      </c>
      <c r="E379" s="6">
        <v>40235</v>
      </c>
      <c r="F379" s="7"/>
      <c r="G379" s="10">
        <v>80729</v>
      </c>
      <c r="H379" s="7">
        <v>3</v>
      </c>
      <c r="I379" s="12">
        <f>IF(OR(Table24[[#This Row],[Rating]]=4,Table24[[#This Row],[Rating]]=5), 0.05*Table24[[#This Row],[Salary]],0)</f>
        <v>0</v>
      </c>
      <c r="J379" s="14">
        <f>VLOOKUP(Table24[[#This Row],[Salary]],'Tax rates'!A$2:C$8, 2) + VLOOKUP(Table24[[#This Row],[Salary]],'Tax rates'!A$2:C$8, 3) * (Table24[[#This Row],[Salary]] - VLOOKUP(Table24[[#This Row],[Salary]],'Tax rates'!A$2:C$8,1))</f>
        <v>13699.88</v>
      </c>
      <c r="K379" s="35">
        <f>Table24[[#This Row],[Salary]]-Table24[[#This Row],[Taxes]]</f>
        <v>67029.119999999995</v>
      </c>
    </row>
    <row r="380" spans="1:11" x14ac:dyDescent="0.25">
      <c r="A380" s="5" t="s">
        <v>486</v>
      </c>
      <c r="B380" s="5" t="s">
        <v>1</v>
      </c>
      <c r="C380" s="5" t="s">
        <v>35</v>
      </c>
      <c r="D380" s="5" t="s">
        <v>16</v>
      </c>
      <c r="E380" s="6">
        <v>39239</v>
      </c>
      <c r="F380" s="7"/>
      <c r="G380" s="10">
        <v>75550</v>
      </c>
      <c r="H380" s="7">
        <v>3</v>
      </c>
      <c r="I380" s="12">
        <f>IF(OR(Table24[[#This Row],[Rating]]=4,Table24[[#This Row],[Rating]]=5), 0.05*Table24[[#This Row],[Salary]],0)</f>
        <v>0</v>
      </c>
      <c r="J380" s="14">
        <f>VLOOKUP(Table24[[#This Row],[Salary]],'Tax rates'!A$2:C$8, 2) + VLOOKUP(Table24[[#This Row],[Salary]],'Tax rates'!A$2:C$8, 3) * (Table24[[#This Row],[Salary]] - VLOOKUP(Table24[[#This Row],[Salary]],'Tax rates'!A$2:C$8,1))</f>
        <v>12560.5</v>
      </c>
      <c r="K380" s="35">
        <f>Table24[[#This Row],[Salary]]-Table24[[#This Row],[Taxes]]</f>
        <v>62989.5</v>
      </c>
    </row>
    <row r="381" spans="1:11" x14ac:dyDescent="0.25">
      <c r="A381" s="5" t="s">
        <v>745</v>
      </c>
      <c r="B381" s="5" t="s">
        <v>1</v>
      </c>
      <c r="C381" s="5" t="s">
        <v>35</v>
      </c>
      <c r="D381" s="5" t="s">
        <v>3</v>
      </c>
      <c r="E381" s="6">
        <v>36619</v>
      </c>
      <c r="F381" s="5" t="s">
        <v>25</v>
      </c>
      <c r="G381" s="10">
        <v>71970</v>
      </c>
      <c r="H381" s="7">
        <v>4</v>
      </c>
      <c r="I381" s="12">
        <f>IF(OR(Table24[[#This Row],[Rating]]=4,Table24[[#This Row],[Rating]]=5), 0.05*Table24[[#This Row],[Salary]],0)</f>
        <v>3598.5</v>
      </c>
      <c r="J381" s="14">
        <f>VLOOKUP(Table24[[#This Row],[Salary]],'Tax rates'!A$2:C$8, 2) + VLOOKUP(Table24[[#This Row],[Salary]],'Tax rates'!A$2:C$8, 3) * (Table24[[#This Row],[Salary]] - VLOOKUP(Table24[[#This Row],[Salary]],'Tax rates'!A$2:C$8,1))</f>
        <v>11772.9</v>
      </c>
      <c r="K381" s="35">
        <f>Table24[[#This Row],[Salary]]-Table24[[#This Row],[Taxes]]</f>
        <v>60197.1</v>
      </c>
    </row>
    <row r="382" spans="1:11" x14ac:dyDescent="0.25">
      <c r="A382" s="5" t="s">
        <v>271</v>
      </c>
      <c r="B382" s="5" t="s">
        <v>1</v>
      </c>
      <c r="C382" s="5" t="s">
        <v>35</v>
      </c>
      <c r="D382" s="5" t="s">
        <v>16</v>
      </c>
      <c r="E382" s="6">
        <v>39087</v>
      </c>
      <c r="F382" s="7"/>
      <c r="G382" s="10">
        <v>70150</v>
      </c>
      <c r="H382" s="7">
        <v>2</v>
      </c>
      <c r="I382" s="12">
        <f>IF(OR(Table24[[#This Row],[Rating]]=4,Table24[[#This Row],[Rating]]=5), 0.05*Table24[[#This Row],[Salary]],0)</f>
        <v>0</v>
      </c>
      <c r="J382" s="14">
        <f>VLOOKUP(Table24[[#This Row],[Salary]],'Tax rates'!A$2:C$8, 2) + VLOOKUP(Table24[[#This Row],[Salary]],'Tax rates'!A$2:C$8, 3) * (Table24[[#This Row],[Salary]] - VLOOKUP(Table24[[#This Row],[Salary]],'Tax rates'!A$2:C$8,1))</f>
        <v>11372.5</v>
      </c>
      <c r="K382" s="35">
        <f>Table24[[#This Row],[Salary]]-Table24[[#This Row],[Taxes]]</f>
        <v>58777.5</v>
      </c>
    </row>
    <row r="383" spans="1:11" x14ac:dyDescent="0.25">
      <c r="A383" s="5" t="s">
        <v>71</v>
      </c>
      <c r="B383" s="5" t="s">
        <v>1</v>
      </c>
      <c r="C383" s="5" t="s">
        <v>35</v>
      </c>
      <c r="D383" s="5" t="s">
        <v>3</v>
      </c>
      <c r="E383" s="6">
        <v>36672</v>
      </c>
      <c r="F383" s="5" t="s">
        <v>25</v>
      </c>
      <c r="G383" s="10">
        <v>65320</v>
      </c>
      <c r="H383" s="7">
        <v>5</v>
      </c>
      <c r="I383" s="12">
        <f>IF(OR(Table24[[#This Row],[Rating]]=4,Table24[[#This Row],[Rating]]=5), 0.05*Table24[[#This Row],[Salary]],0)</f>
        <v>3266</v>
      </c>
      <c r="J383" s="14">
        <f>VLOOKUP(Table24[[#This Row],[Salary]],'Tax rates'!A$2:C$8, 2) + VLOOKUP(Table24[[#This Row],[Salary]],'Tax rates'!A$2:C$8, 3) * (Table24[[#This Row],[Salary]] - VLOOKUP(Table24[[#This Row],[Salary]],'Tax rates'!A$2:C$8,1))</f>
        <v>10309.9</v>
      </c>
      <c r="K383" s="35">
        <f>Table24[[#This Row],[Salary]]-Table24[[#This Row],[Taxes]]</f>
        <v>55010.1</v>
      </c>
    </row>
    <row r="384" spans="1:11" x14ac:dyDescent="0.25">
      <c r="A384" s="5" t="s">
        <v>691</v>
      </c>
      <c r="B384" s="5" t="s">
        <v>1</v>
      </c>
      <c r="C384" s="5" t="s">
        <v>35</v>
      </c>
      <c r="D384" s="5" t="s">
        <v>3</v>
      </c>
      <c r="E384" s="6">
        <v>39435</v>
      </c>
      <c r="F384" s="5" t="s">
        <v>21</v>
      </c>
      <c r="G384" s="10">
        <v>64780</v>
      </c>
      <c r="H384" s="7">
        <v>5</v>
      </c>
      <c r="I384" s="12">
        <f>IF(OR(Table24[[#This Row],[Rating]]=4,Table24[[#This Row],[Rating]]=5), 0.05*Table24[[#This Row],[Salary]],0)</f>
        <v>3239</v>
      </c>
      <c r="J384" s="14">
        <f>VLOOKUP(Table24[[#This Row],[Salary]],'Tax rates'!A$2:C$8, 2) + VLOOKUP(Table24[[#This Row],[Salary]],'Tax rates'!A$2:C$8, 3) * (Table24[[#This Row],[Salary]] - VLOOKUP(Table24[[#This Row],[Salary]],'Tax rates'!A$2:C$8,1))</f>
        <v>10191.1</v>
      </c>
      <c r="K384" s="35">
        <f>Table24[[#This Row],[Salary]]-Table24[[#This Row],[Taxes]]</f>
        <v>54588.9</v>
      </c>
    </row>
    <row r="385" spans="1:11" x14ac:dyDescent="0.25">
      <c r="A385" s="5" t="s">
        <v>183</v>
      </c>
      <c r="B385" s="5" t="s">
        <v>1</v>
      </c>
      <c r="C385" s="5" t="s">
        <v>35</v>
      </c>
      <c r="D385" s="5" t="s">
        <v>3</v>
      </c>
      <c r="E385" s="6">
        <v>36025</v>
      </c>
      <c r="F385" s="5" t="s">
        <v>25</v>
      </c>
      <c r="G385" s="10">
        <v>64470</v>
      </c>
      <c r="H385" s="7">
        <v>5</v>
      </c>
      <c r="I385" s="12">
        <f>IF(OR(Table24[[#This Row],[Rating]]=4,Table24[[#This Row],[Rating]]=5), 0.05*Table24[[#This Row],[Salary]],0)</f>
        <v>3223.5</v>
      </c>
      <c r="J385" s="14">
        <f>VLOOKUP(Table24[[#This Row],[Salary]],'Tax rates'!A$2:C$8, 2) + VLOOKUP(Table24[[#This Row],[Salary]],'Tax rates'!A$2:C$8, 3) * (Table24[[#This Row],[Salary]] - VLOOKUP(Table24[[#This Row],[Salary]],'Tax rates'!A$2:C$8,1))</f>
        <v>10122.9</v>
      </c>
      <c r="K385" s="35">
        <f>Table24[[#This Row],[Salary]]-Table24[[#This Row],[Taxes]]</f>
        <v>54347.1</v>
      </c>
    </row>
    <row r="386" spans="1:11" x14ac:dyDescent="0.25">
      <c r="A386" s="5" t="s">
        <v>290</v>
      </c>
      <c r="B386" s="5" t="s">
        <v>1</v>
      </c>
      <c r="C386" s="5" t="s">
        <v>35</v>
      </c>
      <c r="D386" s="5" t="s">
        <v>3</v>
      </c>
      <c r="E386" s="6">
        <v>36967</v>
      </c>
      <c r="F386" s="5" t="s">
        <v>4</v>
      </c>
      <c r="G386" s="10">
        <v>63060</v>
      </c>
      <c r="H386" s="7">
        <v>4</v>
      </c>
      <c r="I386" s="12">
        <f>IF(OR(Table24[[#This Row],[Rating]]=4,Table24[[#This Row],[Rating]]=5), 0.05*Table24[[#This Row],[Salary]],0)</f>
        <v>3153</v>
      </c>
      <c r="J386" s="14">
        <f>VLOOKUP(Table24[[#This Row],[Salary]],'Tax rates'!A$2:C$8, 2) + VLOOKUP(Table24[[#This Row],[Salary]],'Tax rates'!A$2:C$8, 3) * (Table24[[#This Row],[Salary]] - VLOOKUP(Table24[[#This Row],[Salary]],'Tax rates'!A$2:C$8,1))</f>
        <v>9812.7000000000007</v>
      </c>
      <c r="K386" s="35">
        <f>Table24[[#This Row],[Salary]]-Table24[[#This Row],[Taxes]]</f>
        <v>53247.3</v>
      </c>
    </row>
    <row r="387" spans="1:11" x14ac:dyDescent="0.25">
      <c r="A387" s="5" t="s">
        <v>288</v>
      </c>
      <c r="B387" s="5" t="s">
        <v>1</v>
      </c>
      <c r="C387" s="5" t="s">
        <v>35</v>
      </c>
      <c r="D387" s="5" t="s">
        <v>16</v>
      </c>
      <c r="E387" s="6">
        <v>40800</v>
      </c>
      <c r="F387" s="7"/>
      <c r="G387" s="10">
        <v>62480</v>
      </c>
      <c r="H387" s="7">
        <v>5</v>
      </c>
      <c r="I387" s="12">
        <f>IF(OR(Table24[[#This Row],[Rating]]=4,Table24[[#This Row],[Rating]]=5), 0.05*Table24[[#This Row],[Salary]],0)</f>
        <v>3124</v>
      </c>
      <c r="J387" s="14">
        <f>VLOOKUP(Table24[[#This Row],[Salary]],'Tax rates'!A$2:C$8, 2) + VLOOKUP(Table24[[#This Row],[Salary]],'Tax rates'!A$2:C$8, 3) * (Table24[[#This Row],[Salary]] - VLOOKUP(Table24[[#This Row],[Salary]],'Tax rates'!A$2:C$8,1))</f>
        <v>9685.1</v>
      </c>
      <c r="K387" s="35">
        <f>Table24[[#This Row],[Salary]]-Table24[[#This Row],[Taxes]]</f>
        <v>52794.9</v>
      </c>
    </row>
    <row r="388" spans="1:11" x14ac:dyDescent="0.25">
      <c r="A388" s="5" t="s">
        <v>323</v>
      </c>
      <c r="B388" s="5" t="s">
        <v>1</v>
      </c>
      <c r="C388" s="5" t="s">
        <v>35</v>
      </c>
      <c r="D388" s="5" t="s">
        <v>3</v>
      </c>
      <c r="E388" s="6">
        <v>40389</v>
      </c>
      <c r="F388" s="5" t="s">
        <v>4</v>
      </c>
      <c r="G388" s="10">
        <v>58370</v>
      </c>
      <c r="H388" s="7">
        <v>5</v>
      </c>
      <c r="I388" s="12">
        <f>IF(OR(Table24[[#This Row],[Rating]]=4,Table24[[#This Row],[Rating]]=5), 0.05*Table24[[#This Row],[Salary]],0)</f>
        <v>2918.5</v>
      </c>
      <c r="J388" s="14">
        <f>VLOOKUP(Table24[[#This Row],[Salary]],'Tax rates'!A$2:C$8, 2) + VLOOKUP(Table24[[#This Row],[Salary]],'Tax rates'!A$2:C$8, 3) * (Table24[[#This Row],[Salary]] - VLOOKUP(Table24[[#This Row],[Salary]],'Tax rates'!A$2:C$8,1))</f>
        <v>8780.9</v>
      </c>
      <c r="K388" s="35">
        <f>Table24[[#This Row],[Salary]]-Table24[[#This Row],[Taxes]]</f>
        <v>49589.1</v>
      </c>
    </row>
    <row r="389" spans="1:11" x14ac:dyDescent="0.25">
      <c r="A389" s="5" t="s">
        <v>354</v>
      </c>
      <c r="B389" s="5" t="s">
        <v>1</v>
      </c>
      <c r="C389" s="5" t="s">
        <v>35</v>
      </c>
      <c r="D389" s="5" t="s">
        <v>16</v>
      </c>
      <c r="E389" s="6">
        <v>40867</v>
      </c>
      <c r="F389" s="7"/>
      <c r="G389" s="10">
        <v>57500</v>
      </c>
      <c r="H389" s="7">
        <v>1</v>
      </c>
      <c r="I389" s="12">
        <f>IF(OR(Table24[[#This Row],[Rating]]=4,Table24[[#This Row],[Rating]]=5), 0.05*Table24[[#This Row],[Salary]],0)</f>
        <v>0</v>
      </c>
      <c r="J389" s="14">
        <f>VLOOKUP(Table24[[#This Row],[Salary]],'Tax rates'!A$2:C$8, 2) + VLOOKUP(Table24[[#This Row],[Salary]],'Tax rates'!A$2:C$8, 3) * (Table24[[#This Row],[Salary]] - VLOOKUP(Table24[[#This Row],[Salary]],'Tax rates'!A$2:C$8,1))</f>
        <v>8589.5</v>
      </c>
      <c r="K389" s="35">
        <f>Table24[[#This Row],[Salary]]-Table24[[#This Row],[Taxes]]</f>
        <v>48910.5</v>
      </c>
    </row>
    <row r="390" spans="1:11" x14ac:dyDescent="0.25">
      <c r="A390" s="5" t="s">
        <v>389</v>
      </c>
      <c r="B390" s="5" t="s">
        <v>1</v>
      </c>
      <c r="C390" s="5" t="s">
        <v>35</v>
      </c>
      <c r="D390" s="5" t="s">
        <v>16</v>
      </c>
      <c r="E390" s="6">
        <v>40563</v>
      </c>
      <c r="F390" s="7"/>
      <c r="G390" s="10">
        <v>55510</v>
      </c>
      <c r="H390" s="7">
        <v>3</v>
      </c>
      <c r="I390" s="12">
        <f>IF(OR(Table24[[#This Row],[Rating]]=4,Table24[[#This Row],[Rating]]=5), 0.05*Table24[[#This Row],[Salary]],0)</f>
        <v>0</v>
      </c>
      <c r="J390" s="14">
        <f>VLOOKUP(Table24[[#This Row],[Salary]],'Tax rates'!A$2:C$8, 2) + VLOOKUP(Table24[[#This Row],[Salary]],'Tax rates'!A$2:C$8, 3) * (Table24[[#This Row],[Salary]] - VLOOKUP(Table24[[#This Row],[Salary]],'Tax rates'!A$2:C$8,1))</f>
        <v>8151.7</v>
      </c>
      <c r="K390" s="35">
        <f>Table24[[#This Row],[Salary]]-Table24[[#This Row],[Taxes]]</f>
        <v>47358.3</v>
      </c>
    </row>
    <row r="391" spans="1:11" x14ac:dyDescent="0.25">
      <c r="A391" s="5" t="s">
        <v>192</v>
      </c>
      <c r="B391" s="5" t="s">
        <v>1</v>
      </c>
      <c r="C391" s="5" t="s">
        <v>35</v>
      </c>
      <c r="D391" s="5" t="s">
        <v>3</v>
      </c>
      <c r="E391" s="6">
        <v>36956</v>
      </c>
      <c r="F391" s="5" t="s">
        <v>9</v>
      </c>
      <c r="G391" s="10">
        <v>49930</v>
      </c>
      <c r="H391" s="7">
        <v>1</v>
      </c>
      <c r="I391" s="12">
        <f>IF(OR(Table24[[#This Row],[Rating]]=4,Table24[[#This Row],[Rating]]=5), 0.05*Table24[[#This Row],[Salary]],0)</f>
        <v>0</v>
      </c>
      <c r="J391" s="14">
        <f>VLOOKUP(Table24[[#This Row],[Salary]],'Tax rates'!A$2:C$8, 2) + VLOOKUP(Table24[[#This Row],[Salary]],'Tax rates'!A$2:C$8, 3) * (Table24[[#This Row],[Salary]] - VLOOKUP(Table24[[#This Row],[Salary]],'Tax rates'!A$2:C$8,1))</f>
        <v>6924.1</v>
      </c>
      <c r="K391" s="35">
        <f>Table24[[#This Row],[Salary]]-Table24[[#This Row],[Taxes]]</f>
        <v>43005.9</v>
      </c>
    </row>
    <row r="392" spans="1:11" x14ac:dyDescent="0.25">
      <c r="A392" s="5" t="s">
        <v>459</v>
      </c>
      <c r="B392" s="5" t="s">
        <v>1</v>
      </c>
      <c r="C392" s="5" t="s">
        <v>35</v>
      </c>
      <c r="D392" s="5" t="s">
        <v>3</v>
      </c>
      <c r="E392" s="6">
        <v>38328</v>
      </c>
      <c r="F392" s="5" t="s">
        <v>25</v>
      </c>
      <c r="G392" s="10">
        <v>48280</v>
      </c>
      <c r="H392" s="7">
        <v>4</v>
      </c>
      <c r="I392" s="12">
        <f>IF(OR(Table24[[#This Row],[Rating]]=4,Table24[[#This Row],[Rating]]=5), 0.05*Table24[[#This Row],[Salary]],0)</f>
        <v>2414</v>
      </c>
      <c r="J392" s="14">
        <f>VLOOKUP(Table24[[#This Row],[Salary]],'Tax rates'!A$2:C$8, 2) + VLOOKUP(Table24[[#This Row],[Salary]],'Tax rates'!A$2:C$8, 3) * (Table24[[#This Row],[Salary]] - VLOOKUP(Table24[[#This Row],[Salary]],'Tax rates'!A$2:C$8,1))</f>
        <v>6561.1</v>
      </c>
      <c r="K392" s="35">
        <f>Table24[[#This Row],[Salary]]-Table24[[#This Row],[Taxes]]</f>
        <v>41718.9</v>
      </c>
    </row>
    <row r="393" spans="1:11" x14ac:dyDescent="0.25">
      <c r="A393" s="5" t="s">
        <v>193</v>
      </c>
      <c r="B393" s="5" t="s">
        <v>1</v>
      </c>
      <c r="C393" s="5" t="s">
        <v>35</v>
      </c>
      <c r="D393" s="5" t="s">
        <v>3</v>
      </c>
      <c r="E393" s="6">
        <v>37810</v>
      </c>
      <c r="F393" s="5" t="s">
        <v>11</v>
      </c>
      <c r="G393" s="10">
        <v>48010</v>
      </c>
      <c r="H393" s="7">
        <v>3</v>
      </c>
      <c r="I393" s="12">
        <f>IF(OR(Table24[[#This Row],[Rating]]=4,Table24[[#This Row],[Rating]]=5), 0.05*Table24[[#This Row],[Salary]],0)</f>
        <v>0</v>
      </c>
      <c r="J393" s="14">
        <f>VLOOKUP(Table24[[#This Row],[Salary]],'Tax rates'!A$2:C$8, 2) + VLOOKUP(Table24[[#This Row],[Salary]],'Tax rates'!A$2:C$8, 3) * (Table24[[#This Row],[Salary]] - VLOOKUP(Table24[[#This Row],[Salary]],'Tax rates'!A$2:C$8,1))</f>
        <v>6501.7</v>
      </c>
      <c r="K393" s="35">
        <f>Table24[[#This Row],[Salary]]-Table24[[#This Row],[Taxes]]</f>
        <v>41508.300000000003</v>
      </c>
    </row>
    <row r="394" spans="1:11" x14ac:dyDescent="0.25">
      <c r="A394" s="5" t="s">
        <v>420</v>
      </c>
      <c r="B394" s="5" t="s">
        <v>1</v>
      </c>
      <c r="C394" s="5" t="s">
        <v>35</v>
      </c>
      <c r="D394" s="5" t="s">
        <v>16</v>
      </c>
      <c r="E394" s="6">
        <v>40523</v>
      </c>
      <c r="F394" s="7"/>
      <c r="G394" s="10">
        <v>46570</v>
      </c>
      <c r="H394" s="7">
        <v>4</v>
      </c>
      <c r="I394" s="12">
        <f>IF(OR(Table24[[#This Row],[Rating]]=4,Table24[[#This Row],[Rating]]=5), 0.05*Table24[[#This Row],[Salary]],0)</f>
        <v>2328.5</v>
      </c>
      <c r="J394" s="14">
        <f>VLOOKUP(Table24[[#This Row],[Salary]],'Tax rates'!A$2:C$8, 2) + VLOOKUP(Table24[[#This Row],[Salary]],'Tax rates'!A$2:C$8, 3) * (Table24[[#This Row],[Salary]] - VLOOKUP(Table24[[#This Row],[Salary]],'Tax rates'!A$2:C$8,1))</f>
        <v>6184.9</v>
      </c>
      <c r="K394" s="35">
        <f>Table24[[#This Row],[Salary]]-Table24[[#This Row],[Taxes]]</f>
        <v>40385.1</v>
      </c>
    </row>
    <row r="395" spans="1:11" x14ac:dyDescent="0.25">
      <c r="A395" s="5" t="s">
        <v>419</v>
      </c>
      <c r="B395" s="5" t="s">
        <v>1</v>
      </c>
      <c r="C395" s="5" t="s">
        <v>35</v>
      </c>
      <c r="D395" s="5" t="s">
        <v>3</v>
      </c>
      <c r="E395" s="6">
        <v>40986</v>
      </c>
      <c r="F395" s="5" t="s">
        <v>25</v>
      </c>
      <c r="G395" s="10">
        <v>46550</v>
      </c>
      <c r="H395" s="7">
        <v>4</v>
      </c>
      <c r="I395" s="12">
        <f>IF(OR(Table24[[#This Row],[Rating]]=4,Table24[[#This Row],[Rating]]=5), 0.05*Table24[[#This Row],[Salary]],0)</f>
        <v>2327.5</v>
      </c>
      <c r="J395" s="14">
        <f>VLOOKUP(Table24[[#This Row],[Salary]],'Tax rates'!A$2:C$8, 2) + VLOOKUP(Table24[[#This Row],[Salary]],'Tax rates'!A$2:C$8, 3) * (Table24[[#This Row],[Salary]] - VLOOKUP(Table24[[#This Row],[Salary]],'Tax rates'!A$2:C$8,1))</f>
        <v>6180.5</v>
      </c>
      <c r="K395" s="35">
        <f>Table24[[#This Row],[Salary]]-Table24[[#This Row],[Taxes]]</f>
        <v>40369.5</v>
      </c>
    </row>
    <row r="396" spans="1:11" x14ac:dyDescent="0.25">
      <c r="A396" s="5" t="s">
        <v>672</v>
      </c>
      <c r="B396" s="5" t="s">
        <v>1</v>
      </c>
      <c r="C396" s="5" t="s">
        <v>35</v>
      </c>
      <c r="D396" s="5" t="s">
        <v>3</v>
      </c>
      <c r="E396" s="6">
        <v>40568</v>
      </c>
      <c r="F396" s="5" t="s">
        <v>4</v>
      </c>
      <c r="G396" s="10">
        <v>46390</v>
      </c>
      <c r="H396" s="7">
        <v>5</v>
      </c>
      <c r="I396" s="12">
        <f>IF(OR(Table24[[#This Row],[Rating]]=4,Table24[[#This Row],[Rating]]=5), 0.05*Table24[[#This Row],[Salary]],0)</f>
        <v>2319.5</v>
      </c>
      <c r="J396" s="14">
        <f>VLOOKUP(Table24[[#This Row],[Salary]],'Tax rates'!A$2:C$8, 2) + VLOOKUP(Table24[[#This Row],[Salary]],'Tax rates'!A$2:C$8, 3) * (Table24[[#This Row],[Salary]] - VLOOKUP(Table24[[#This Row],[Salary]],'Tax rates'!A$2:C$8,1))</f>
        <v>6145.3</v>
      </c>
      <c r="K396" s="35">
        <f>Table24[[#This Row],[Salary]]-Table24[[#This Row],[Taxes]]</f>
        <v>40244.699999999997</v>
      </c>
    </row>
    <row r="397" spans="1:11" x14ac:dyDescent="0.25">
      <c r="A397" s="5" t="s">
        <v>116</v>
      </c>
      <c r="B397" s="5" t="s">
        <v>1</v>
      </c>
      <c r="C397" s="5" t="s">
        <v>35</v>
      </c>
      <c r="D397" s="5" t="s">
        <v>16</v>
      </c>
      <c r="E397" s="6">
        <v>39648</v>
      </c>
      <c r="F397" s="7"/>
      <c r="G397" s="10">
        <v>45105</v>
      </c>
      <c r="H397" s="7">
        <v>1</v>
      </c>
      <c r="I397" s="12">
        <f>IF(OR(Table24[[#This Row],[Rating]]=4,Table24[[#This Row],[Rating]]=5), 0.05*Table24[[#This Row],[Salary]],0)</f>
        <v>0</v>
      </c>
      <c r="J397" s="14">
        <f>VLOOKUP(Table24[[#This Row],[Salary]],'Tax rates'!A$2:C$8, 2) + VLOOKUP(Table24[[#This Row],[Salary]],'Tax rates'!A$2:C$8, 3) * (Table24[[#This Row],[Salary]] - VLOOKUP(Table24[[#This Row],[Salary]],'Tax rates'!A$2:C$8,1))</f>
        <v>5862.6</v>
      </c>
      <c r="K397" s="35">
        <f>Table24[[#This Row],[Salary]]-Table24[[#This Row],[Taxes]]</f>
        <v>39242.400000000001</v>
      </c>
    </row>
    <row r="398" spans="1:11" x14ac:dyDescent="0.25">
      <c r="A398" s="5" t="s">
        <v>34</v>
      </c>
      <c r="B398" s="5" t="s">
        <v>1</v>
      </c>
      <c r="C398" s="5" t="s">
        <v>35</v>
      </c>
      <c r="D398" s="5" t="s">
        <v>16</v>
      </c>
      <c r="E398" s="6">
        <v>35826</v>
      </c>
      <c r="F398" s="7"/>
      <c r="G398" s="10">
        <v>45030</v>
      </c>
      <c r="H398" s="7">
        <v>3</v>
      </c>
      <c r="I398" s="12">
        <f>IF(OR(Table24[[#This Row],[Rating]]=4,Table24[[#This Row],[Rating]]=5), 0.05*Table24[[#This Row],[Salary]],0)</f>
        <v>0</v>
      </c>
      <c r="J398" s="14">
        <f>VLOOKUP(Table24[[#This Row],[Salary]],'Tax rates'!A$2:C$8, 2) + VLOOKUP(Table24[[#This Row],[Salary]],'Tax rates'!A$2:C$8, 3) * (Table24[[#This Row],[Salary]] - VLOOKUP(Table24[[#This Row],[Salary]],'Tax rates'!A$2:C$8,1))</f>
        <v>5846.1</v>
      </c>
      <c r="K398" s="35">
        <f>Table24[[#This Row],[Salary]]-Table24[[#This Row],[Taxes]]</f>
        <v>39183.9</v>
      </c>
    </row>
    <row r="399" spans="1:11" x14ac:dyDescent="0.25">
      <c r="A399" s="5" t="s">
        <v>731</v>
      </c>
      <c r="B399" s="5" t="s">
        <v>1</v>
      </c>
      <c r="C399" s="5" t="s">
        <v>35</v>
      </c>
      <c r="D399" s="5" t="s">
        <v>3</v>
      </c>
      <c r="E399" s="6">
        <v>38914</v>
      </c>
      <c r="F399" s="5" t="s">
        <v>11</v>
      </c>
      <c r="G399" s="10">
        <v>41380</v>
      </c>
      <c r="H399" s="7">
        <v>2</v>
      </c>
      <c r="I399" s="12">
        <f>IF(OR(Table24[[#This Row],[Rating]]=4,Table24[[#This Row],[Rating]]=5), 0.05*Table24[[#This Row],[Salary]],0)</f>
        <v>0</v>
      </c>
      <c r="J399" s="14">
        <f>VLOOKUP(Table24[[#This Row],[Salary]],'Tax rates'!A$2:C$8, 2) + VLOOKUP(Table24[[#This Row],[Salary]],'Tax rates'!A$2:C$8, 3) * (Table24[[#This Row],[Salary]] - VLOOKUP(Table24[[#This Row],[Salary]],'Tax rates'!A$2:C$8,1))</f>
        <v>5043.1000000000004</v>
      </c>
      <c r="K399" s="35">
        <f>Table24[[#This Row],[Salary]]-Table24[[#This Row],[Taxes]]</f>
        <v>36336.9</v>
      </c>
    </row>
    <row r="400" spans="1:11" x14ac:dyDescent="0.25">
      <c r="A400" s="5" t="s">
        <v>331</v>
      </c>
      <c r="B400" s="5" t="s">
        <v>1</v>
      </c>
      <c r="C400" s="5" t="s">
        <v>35</v>
      </c>
      <c r="D400" s="5" t="s">
        <v>24</v>
      </c>
      <c r="E400" s="6">
        <v>38753</v>
      </c>
      <c r="F400" s="5" t="s">
        <v>25</v>
      </c>
      <c r="G400" s="10">
        <v>37660</v>
      </c>
      <c r="H400" s="7">
        <v>4</v>
      </c>
      <c r="I400" s="12">
        <f>IF(OR(Table24[[#This Row],[Rating]]=4,Table24[[#This Row],[Rating]]=5), 0.05*Table24[[#This Row],[Salary]],0)</f>
        <v>1883</v>
      </c>
      <c r="J400" s="14">
        <f>VLOOKUP(Table24[[#This Row],[Salary]],'Tax rates'!A$2:C$8, 2) + VLOOKUP(Table24[[#This Row],[Salary]],'Tax rates'!A$2:C$8, 3) * (Table24[[#This Row],[Salary]] - VLOOKUP(Table24[[#This Row],[Salary]],'Tax rates'!A$2:C$8,1))</f>
        <v>4328.7</v>
      </c>
      <c r="K400" s="35">
        <f>Table24[[#This Row],[Salary]]-Table24[[#This Row],[Taxes]]</f>
        <v>33331.300000000003</v>
      </c>
    </row>
    <row r="401" spans="1:11" x14ac:dyDescent="0.25">
      <c r="A401" s="5" t="s">
        <v>60</v>
      </c>
      <c r="B401" s="5" t="s">
        <v>1</v>
      </c>
      <c r="C401" s="5" t="s">
        <v>35</v>
      </c>
      <c r="D401" s="5" t="s">
        <v>3</v>
      </c>
      <c r="E401" s="6">
        <v>36549</v>
      </c>
      <c r="F401" s="5" t="s">
        <v>11</v>
      </c>
      <c r="G401" s="10">
        <v>35460</v>
      </c>
      <c r="H401" s="7">
        <v>1</v>
      </c>
      <c r="I401" s="12">
        <f>IF(OR(Table24[[#This Row],[Rating]]=4,Table24[[#This Row],[Rating]]=5), 0.05*Table24[[#This Row],[Salary]],0)</f>
        <v>0</v>
      </c>
      <c r="J401" s="14">
        <f>VLOOKUP(Table24[[#This Row],[Salary]],'Tax rates'!A$2:C$8, 2) + VLOOKUP(Table24[[#This Row],[Salary]],'Tax rates'!A$2:C$8, 3) * (Table24[[#This Row],[Salary]] - VLOOKUP(Table24[[#This Row],[Salary]],'Tax rates'!A$2:C$8,1))</f>
        <v>4064.7</v>
      </c>
      <c r="K401" s="35">
        <f>Table24[[#This Row],[Salary]]-Table24[[#This Row],[Taxes]]</f>
        <v>31395.3</v>
      </c>
    </row>
    <row r="402" spans="1:11" x14ac:dyDescent="0.25">
      <c r="A402" s="5" t="s">
        <v>111</v>
      </c>
      <c r="B402" s="5" t="s">
        <v>1</v>
      </c>
      <c r="C402" s="5" t="s">
        <v>35</v>
      </c>
      <c r="D402" s="5" t="s">
        <v>32</v>
      </c>
      <c r="E402" s="6">
        <v>40360</v>
      </c>
      <c r="F402" s="7"/>
      <c r="G402" s="10">
        <v>33752</v>
      </c>
      <c r="H402" s="7">
        <v>3</v>
      </c>
      <c r="I402" s="12">
        <f>IF(OR(Table24[[#This Row],[Rating]]=4,Table24[[#This Row],[Rating]]=5), 0.05*Table24[[#This Row],[Salary]],0)</f>
        <v>0</v>
      </c>
      <c r="J402" s="14">
        <f>VLOOKUP(Table24[[#This Row],[Salary]],'Tax rates'!A$2:C$8, 2) + VLOOKUP(Table24[[#This Row],[Salary]],'Tax rates'!A$2:C$8, 3) * (Table24[[#This Row],[Salary]] - VLOOKUP(Table24[[#This Row],[Salary]],'Tax rates'!A$2:C$8,1))</f>
        <v>3859.74</v>
      </c>
      <c r="K402" s="35">
        <f>Table24[[#This Row],[Salary]]-Table24[[#This Row],[Taxes]]</f>
        <v>29892.260000000002</v>
      </c>
    </row>
    <row r="403" spans="1:11" x14ac:dyDescent="0.25">
      <c r="A403" s="5" t="s">
        <v>583</v>
      </c>
      <c r="B403" s="5" t="s">
        <v>1</v>
      </c>
      <c r="C403" s="5" t="s">
        <v>35</v>
      </c>
      <c r="D403" s="5" t="s">
        <v>3</v>
      </c>
      <c r="E403" s="6">
        <v>40250</v>
      </c>
      <c r="F403" s="5" t="s">
        <v>11</v>
      </c>
      <c r="G403" s="10">
        <v>33590</v>
      </c>
      <c r="H403" s="7">
        <v>5</v>
      </c>
      <c r="I403" s="12">
        <f>IF(OR(Table24[[#This Row],[Rating]]=4,Table24[[#This Row],[Rating]]=5), 0.05*Table24[[#This Row],[Salary]],0)</f>
        <v>1679.5</v>
      </c>
      <c r="J403" s="14">
        <f>VLOOKUP(Table24[[#This Row],[Salary]],'Tax rates'!A$2:C$8, 2) + VLOOKUP(Table24[[#This Row],[Salary]],'Tax rates'!A$2:C$8, 3) * (Table24[[#This Row],[Salary]] - VLOOKUP(Table24[[#This Row],[Salary]],'Tax rates'!A$2:C$8,1))</f>
        <v>3840.2999999999997</v>
      </c>
      <c r="K403" s="35">
        <f>Table24[[#This Row],[Salary]]-Table24[[#This Row],[Taxes]]</f>
        <v>29749.7</v>
      </c>
    </row>
    <row r="404" spans="1:11" x14ac:dyDescent="0.25">
      <c r="A404" s="5" t="s">
        <v>632</v>
      </c>
      <c r="B404" s="5" t="s">
        <v>1</v>
      </c>
      <c r="C404" s="5" t="s">
        <v>35</v>
      </c>
      <c r="D404" s="5" t="s">
        <v>32</v>
      </c>
      <c r="E404" s="6">
        <v>38863</v>
      </c>
      <c r="F404" s="7"/>
      <c r="G404" s="10">
        <v>28768</v>
      </c>
      <c r="H404" s="7">
        <v>3</v>
      </c>
      <c r="I404" s="12">
        <f>IF(OR(Table24[[#This Row],[Rating]]=4,Table24[[#This Row],[Rating]]=5), 0.05*Table24[[#This Row],[Salary]],0)</f>
        <v>0</v>
      </c>
      <c r="J404" s="14">
        <f>VLOOKUP(Table24[[#This Row],[Salary]],'Tax rates'!A$2:C$8, 2) + VLOOKUP(Table24[[#This Row],[Salary]],'Tax rates'!A$2:C$8, 3) * (Table24[[#This Row],[Salary]] - VLOOKUP(Table24[[#This Row],[Salary]],'Tax rates'!A$2:C$8,1))</f>
        <v>3261.66</v>
      </c>
      <c r="K404" s="35">
        <f>Table24[[#This Row],[Salary]]-Table24[[#This Row],[Taxes]]</f>
        <v>25506.34</v>
      </c>
    </row>
    <row r="405" spans="1:11" x14ac:dyDescent="0.25">
      <c r="A405" s="5" t="s">
        <v>298</v>
      </c>
      <c r="B405" s="5" t="s">
        <v>1</v>
      </c>
      <c r="C405" s="5" t="s">
        <v>35</v>
      </c>
      <c r="D405" s="5" t="s">
        <v>32</v>
      </c>
      <c r="E405" s="6">
        <v>39208</v>
      </c>
      <c r="F405" s="7"/>
      <c r="G405" s="10">
        <v>26944</v>
      </c>
      <c r="H405" s="7">
        <v>4</v>
      </c>
      <c r="I405" s="12">
        <f>IF(OR(Table24[[#This Row],[Rating]]=4,Table24[[#This Row],[Rating]]=5), 0.05*Table24[[#This Row],[Salary]],0)</f>
        <v>1347.2</v>
      </c>
      <c r="J405" s="14">
        <f>VLOOKUP(Table24[[#This Row],[Salary]],'Tax rates'!A$2:C$8, 2) + VLOOKUP(Table24[[#This Row],[Salary]],'Tax rates'!A$2:C$8, 3) * (Table24[[#This Row],[Salary]] - VLOOKUP(Table24[[#This Row],[Salary]],'Tax rates'!A$2:C$8,1))</f>
        <v>3042.7799999999997</v>
      </c>
      <c r="K405" s="35">
        <f>Table24[[#This Row],[Salary]]-Table24[[#This Row],[Taxes]]</f>
        <v>23901.22</v>
      </c>
    </row>
    <row r="406" spans="1:11" x14ac:dyDescent="0.25">
      <c r="A406" s="5" t="s">
        <v>286</v>
      </c>
      <c r="B406" s="5" t="s">
        <v>1</v>
      </c>
      <c r="C406" s="5" t="s">
        <v>35</v>
      </c>
      <c r="D406" s="5" t="s">
        <v>24</v>
      </c>
      <c r="E406" s="6">
        <v>36462</v>
      </c>
      <c r="F406" s="5" t="s">
        <v>11</v>
      </c>
      <c r="G406" s="10">
        <v>26185</v>
      </c>
      <c r="H406" s="7">
        <v>5</v>
      </c>
      <c r="I406" s="12">
        <f>IF(OR(Table24[[#This Row],[Rating]]=4,Table24[[#This Row],[Rating]]=5), 0.05*Table24[[#This Row],[Salary]],0)</f>
        <v>1309.25</v>
      </c>
      <c r="J406" s="14">
        <f>VLOOKUP(Table24[[#This Row],[Salary]],'Tax rates'!A$2:C$8, 2) + VLOOKUP(Table24[[#This Row],[Salary]],'Tax rates'!A$2:C$8, 3) * (Table24[[#This Row],[Salary]] - VLOOKUP(Table24[[#This Row],[Salary]],'Tax rates'!A$2:C$8,1))</f>
        <v>2951.7</v>
      </c>
      <c r="K406" s="35">
        <f>Table24[[#This Row],[Salary]]-Table24[[#This Row],[Taxes]]</f>
        <v>23233.3</v>
      </c>
    </row>
    <row r="407" spans="1:11" x14ac:dyDescent="0.25">
      <c r="A407" s="5" t="s">
        <v>164</v>
      </c>
      <c r="B407" s="5" t="s">
        <v>1</v>
      </c>
      <c r="C407" s="5" t="s">
        <v>35</v>
      </c>
      <c r="D407" s="5" t="s">
        <v>3</v>
      </c>
      <c r="E407" s="6">
        <v>39283</v>
      </c>
      <c r="F407" s="5" t="s">
        <v>4</v>
      </c>
      <c r="G407" s="10">
        <v>24980</v>
      </c>
      <c r="H407" s="7">
        <v>3</v>
      </c>
      <c r="I407" s="12">
        <f>IF(OR(Table24[[#This Row],[Rating]]=4,Table24[[#This Row],[Rating]]=5), 0.05*Table24[[#This Row],[Salary]],0)</f>
        <v>0</v>
      </c>
      <c r="J407" s="14">
        <f>VLOOKUP(Table24[[#This Row],[Salary]],'Tax rates'!A$2:C$8, 2) + VLOOKUP(Table24[[#This Row],[Salary]],'Tax rates'!A$2:C$8, 3) * (Table24[[#This Row],[Salary]] - VLOOKUP(Table24[[#This Row],[Salary]],'Tax rates'!A$2:C$8,1))</f>
        <v>2807.1</v>
      </c>
      <c r="K407" s="35">
        <f>Table24[[#This Row],[Salary]]-Table24[[#This Row],[Taxes]]</f>
        <v>22172.9</v>
      </c>
    </row>
    <row r="408" spans="1:11" x14ac:dyDescent="0.25">
      <c r="A408" s="5" t="s">
        <v>273</v>
      </c>
      <c r="B408" s="5" t="s">
        <v>1</v>
      </c>
      <c r="C408" s="5" t="s">
        <v>35</v>
      </c>
      <c r="D408" s="5" t="s">
        <v>16</v>
      </c>
      <c r="E408" s="6">
        <v>39719</v>
      </c>
      <c r="F408" s="7"/>
      <c r="G408" s="10">
        <v>23340</v>
      </c>
      <c r="H408" s="7">
        <v>4</v>
      </c>
      <c r="I408" s="12">
        <f>IF(OR(Table24[[#This Row],[Rating]]=4,Table24[[#This Row],[Rating]]=5), 0.05*Table24[[#This Row],[Salary]],0)</f>
        <v>1167</v>
      </c>
      <c r="J408" s="14">
        <f>VLOOKUP(Table24[[#This Row],[Salary]],'Tax rates'!A$2:C$8, 2) + VLOOKUP(Table24[[#This Row],[Salary]],'Tax rates'!A$2:C$8, 3) * (Table24[[#This Row],[Salary]] - VLOOKUP(Table24[[#This Row],[Salary]],'Tax rates'!A$2:C$8,1))</f>
        <v>2610.3000000000002</v>
      </c>
      <c r="K408" s="35">
        <f>Table24[[#This Row],[Salary]]-Table24[[#This Row],[Taxes]]</f>
        <v>20729.7</v>
      </c>
    </row>
    <row r="409" spans="1:11" x14ac:dyDescent="0.25">
      <c r="A409" s="5" t="s">
        <v>662</v>
      </c>
      <c r="B409" s="5" t="s">
        <v>1</v>
      </c>
      <c r="C409" s="5" t="s">
        <v>35</v>
      </c>
      <c r="D409" s="5" t="s">
        <v>24</v>
      </c>
      <c r="E409" s="6">
        <v>39118</v>
      </c>
      <c r="F409" s="5" t="s">
        <v>4</v>
      </c>
      <c r="G409" s="10">
        <v>20075</v>
      </c>
      <c r="H409" s="7">
        <v>1</v>
      </c>
      <c r="I409" s="12">
        <f>IF(OR(Table24[[#This Row],[Rating]]=4,Table24[[#This Row],[Rating]]=5), 0.05*Table24[[#This Row],[Salary]],0)</f>
        <v>0</v>
      </c>
      <c r="J409" s="14">
        <f>VLOOKUP(Table24[[#This Row],[Salary]],'Tax rates'!A$2:C$8, 2) + VLOOKUP(Table24[[#This Row],[Salary]],'Tax rates'!A$2:C$8, 3) * (Table24[[#This Row],[Salary]] - VLOOKUP(Table24[[#This Row],[Salary]],'Tax rates'!A$2:C$8,1))</f>
        <v>2218.5</v>
      </c>
      <c r="K409" s="35">
        <f>Table24[[#This Row],[Salary]]-Table24[[#This Row],[Taxes]]</f>
        <v>17856.5</v>
      </c>
    </row>
    <row r="410" spans="1:11" x14ac:dyDescent="0.25">
      <c r="A410" s="5" t="s">
        <v>582</v>
      </c>
      <c r="B410" s="5" t="s">
        <v>1</v>
      </c>
      <c r="C410" s="5" t="s">
        <v>35</v>
      </c>
      <c r="D410" s="5" t="s">
        <v>24</v>
      </c>
      <c r="E410" s="6">
        <v>36918</v>
      </c>
      <c r="F410" s="5" t="s">
        <v>4</v>
      </c>
      <c r="G410" s="10">
        <v>17205</v>
      </c>
      <c r="H410" s="7">
        <v>5</v>
      </c>
      <c r="I410" s="12">
        <f>IF(OR(Table24[[#This Row],[Rating]]=4,Table24[[#This Row],[Rating]]=5), 0.05*Table24[[#This Row],[Salary]],0)</f>
        <v>860.25</v>
      </c>
      <c r="J410" s="14">
        <f>VLOOKUP(Table24[[#This Row],[Salary]],'Tax rates'!A$2:C$8, 2) + VLOOKUP(Table24[[#This Row],[Salary]],'Tax rates'!A$2:C$8, 3) * (Table24[[#This Row],[Salary]] - VLOOKUP(Table24[[#This Row],[Salary]],'Tax rates'!A$2:C$8,1))</f>
        <v>1874.1</v>
      </c>
      <c r="K410" s="35">
        <f>Table24[[#This Row],[Salary]]-Table24[[#This Row],[Taxes]]</f>
        <v>15330.9</v>
      </c>
    </row>
    <row r="411" spans="1:11" x14ac:dyDescent="0.25">
      <c r="A411" s="5" t="s">
        <v>310</v>
      </c>
      <c r="B411" s="5" t="s">
        <v>1</v>
      </c>
      <c r="C411" s="5" t="s">
        <v>35</v>
      </c>
      <c r="D411" s="5" t="s">
        <v>24</v>
      </c>
      <c r="E411" s="6">
        <v>40696</v>
      </c>
      <c r="F411" s="5" t="s">
        <v>11</v>
      </c>
      <c r="G411" s="10">
        <v>13455</v>
      </c>
      <c r="H411" s="7">
        <v>2</v>
      </c>
      <c r="I411" s="12">
        <f>IF(OR(Table24[[#This Row],[Rating]]=4,Table24[[#This Row],[Rating]]=5), 0.05*Table24[[#This Row],[Salary]],0)</f>
        <v>0</v>
      </c>
      <c r="J411" s="14">
        <f>VLOOKUP(Table24[[#This Row],[Salary]],'Tax rates'!A$2:C$8, 2) + VLOOKUP(Table24[[#This Row],[Salary]],'Tax rates'!A$2:C$8, 3) * (Table24[[#This Row],[Salary]] - VLOOKUP(Table24[[#This Row],[Salary]],'Tax rates'!A$2:C$8,1))</f>
        <v>1424.1</v>
      </c>
      <c r="K411" s="35">
        <f>Table24[[#This Row],[Salary]]-Table24[[#This Row],[Taxes]]</f>
        <v>12030.9</v>
      </c>
    </row>
    <row r="412" spans="1:11" x14ac:dyDescent="0.25">
      <c r="A412" s="5" t="s">
        <v>223</v>
      </c>
      <c r="B412" s="5" t="s">
        <v>1</v>
      </c>
      <c r="C412" s="5" t="s">
        <v>35</v>
      </c>
      <c r="D412" s="5" t="s">
        <v>24</v>
      </c>
      <c r="E412" s="6">
        <v>39253</v>
      </c>
      <c r="F412" s="5" t="s">
        <v>9</v>
      </c>
      <c r="G412" s="10">
        <v>11230</v>
      </c>
      <c r="H412" s="7">
        <v>4</v>
      </c>
      <c r="I412" s="12">
        <f>IF(OR(Table24[[#This Row],[Rating]]=4,Table24[[#This Row],[Rating]]=5), 0.05*Table24[[#This Row],[Salary]],0)</f>
        <v>561.5</v>
      </c>
      <c r="J412" s="14">
        <f>VLOOKUP(Table24[[#This Row],[Salary]],'Tax rates'!A$2:C$8, 2) + VLOOKUP(Table24[[#This Row],[Salary]],'Tax rates'!A$2:C$8, 3) * (Table24[[#This Row],[Salary]] - VLOOKUP(Table24[[#This Row],[Salary]],'Tax rates'!A$2:C$8,1))</f>
        <v>1157.0999999999999</v>
      </c>
      <c r="K412" s="35">
        <f>Table24[[#This Row],[Salary]]-Table24[[#This Row],[Taxes]]</f>
        <v>10072.9</v>
      </c>
    </row>
    <row r="413" spans="1:11" x14ac:dyDescent="0.25">
      <c r="A413" s="5" t="s">
        <v>101</v>
      </c>
      <c r="B413" s="5" t="s">
        <v>1</v>
      </c>
      <c r="C413" s="5" t="s">
        <v>102</v>
      </c>
      <c r="D413" s="5" t="s">
        <v>16</v>
      </c>
      <c r="E413" s="6">
        <v>39639</v>
      </c>
      <c r="F413" s="7"/>
      <c r="G413" s="10">
        <v>64720</v>
      </c>
      <c r="H413" s="7">
        <v>5</v>
      </c>
      <c r="I413" s="12">
        <f>IF(OR(Table24[[#This Row],[Rating]]=4,Table24[[#This Row],[Rating]]=5), 0.05*Table24[[#This Row],[Salary]],0)</f>
        <v>3236</v>
      </c>
      <c r="J413" s="14">
        <f>VLOOKUP(Table24[[#This Row],[Salary]],'Tax rates'!A$2:C$8, 2) + VLOOKUP(Table24[[#This Row],[Salary]],'Tax rates'!A$2:C$8, 3) * (Table24[[#This Row],[Salary]] - VLOOKUP(Table24[[#This Row],[Salary]],'Tax rates'!A$2:C$8,1))</f>
        <v>10177.9</v>
      </c>
      <c r="K413" s="35">
        <f>Table24[[#This Row],[Salary]]-Table24[[#This Row],[Taxes]]</f>
        <v>54542.1</v>
      </c>
    </row>
    <row r="414" spans="1:11" x14ac:dyDescent="0.25">
      <c r="A414" s="5" t="s">
        <v>531</v>
      </c>
      <c r="B414" s="5" t="s">
        <v>1</v>
      </c>
      <c r="C414" s="5" t="s">
        <v>102</v>
      </c>
      <c r="D414" s="5" t="s">
        <v>16</v>
      </c>
      <c r="E414" s="6">
        <v>39116</v>
      </c>
      <c r="F414" s="7"/>
      <c r="G414" s="10">
        <v>60760</v>
      </c>
      <c r="H414" s="7">
        <v>2</v>
      </c>
      <c r="I414" s="12">
        <f>IF(OR(Table24[[#This Row],[Rating]]=4,Table24[[#This Row],[Rating]]=5), 0.05*Table24[[#This Row],[Salary]],0)</f>
        <v>0</v>
      </c>
      <c r="J414" s="14">
        <f>VLOOKUP(Table24[[#This Row],[Salary]],'Tax rates'!A$2:C$8, 2) + VLOOKUP(Table24[[#This Row],[Salary]],'Tax rates'!A$2:C$8, 3) * (Table24[[#This Row],[Salary]] - VLOOKUP(Table24[[#This Row],[Salary]],'Tax rates'!A$2:C$8,1))</f>
        <v>9306.7000000000007</v>
      </c>
      <c r="K414" s="35">
        <f>Table24[[#This Row],[Salary]]-Table24[[#This Row],[Taxes]]</f>
        <v>51453.3</v>
      </c>
    </row>
    <row r="415" spans="1:11" x14ac:dyDescent="0.25">
      <c r="A415" s="5" t="s">
        <v>49</v>
      </c>
      <c r="B415" s="5" t="s">
        <v>1</v>
      </c>
      <c r="C415" s="5" t="s">
        <v>37</v>
      </c>
      <c r="D415" s="5" t="s">
        <v>3</v>
      </c>
      <c r="E415" s="6">
        <v>41209</v>
      </c>
      <c r="F415" s="5" t="s">
        <v>25</v>
      </c>
      <c r="G415" s="10">
        <v>87980</v>
      </c>
      <c r="H415" s="7">
        <v>1</v>
      </c>
      <c r="I415" s="12">
        <f>IF(OR(Table24[[#This Row],[Rating]]=4,Table24[[#This Row],[Rating]]=5), 0.05*Table24[[#This Row],[Salary]],0)</f>
        <v>0</v>
      </c>
      <c r="J415" s="14">
        <f>VLOOKUP(Table24[[#This Row],[Salary]],'Tax rates'!A$2:C$8, 2) + VLOOKUP(Table24[[#This Row],[Salary]],'Tax rates'!A$2:C$8, 3) * (Table24[[#This Row],[Salary]] - VLOOKUP(Table24[[#This Row],[Salary]],'Tax rates'!A$2:C$8,1))</f>
        <v>15404.7</v>
      </c>
      <c r="K415" s="35">
        <f>Table24[[#This Row],[Salary]]-Table24[[#This Row],[Taxes]]</f>
        <v>72575.3</v>
      </c>
    </row>
    <row r="416" spans="1:11" x14ac:dyDescent="0.25">
      <c r="A416" s="5" t="s">
        <v>432</v>
      </c>
      <c r="B416" s="5" t="s">
        <v>1</v>
      </c>
      <c r="C416" s="5" t="s">
        <v>37</v>
      </c>
      <c r="D416" s="5" t="s">
        <v>16</v>
      </c>
      <c r="E416" s="6">
        <v>37803</v>
      </c>
      <c r="F416" s="7"/>
      <c r="G416" s="10">
        <v>78100</v>
      </c>
      <c r="H416" s="7">
        <v>3</v>
      </c>
      <c r="I416" s="12">
        <f>IF(OR(Table24[[#This Row],[Rating]]=4,Table24[[#This Row],[Rating]]=5), 0.05*Table24[[#This Row],[Salary]],0)</f>
        <v>0</v>
      </c>
      <c r="J416" s="14">
        <f>VLOOKUP(Table24[[#This Row],[Salary]],'Tax rates'!A$2:C$8, 2) + VLOOKUP(Table24[[#This Row],[Salary]],'Tax rates'!A$2:C$8, 3) * (Table24[[#This Row],[Salary]] - VLOOKUP(Table24[[#This Row],[Salary]],'Tax rates'!A$2:C$8,1))</f>
        <v>13121.5</v>
      </c>
      <c r="K416" s="35">
        <f>Table24[[#This Row],[Salary]]-Table24[[#This Row],[Taxes]]</f>
        <v>64978.5</v>
      </c>
    </row>
    <row r="417" spans="1:11" x14ac:dyDescent="0.25">
      <c r="A417" s="5" t="s">
        <v>524</v>
      </c>
      <c r="B417" s="5" t="s">
        <v>1</v>
      </c>
      <c r="C417" s="5" t="s">
        <v>37</v>
      </c>
      <c r="D417" s="5" t="s">
        <v>16</v>
      </c>
      <c r="E417" s="6">
        <v>38734</v>
      </c>
      <c r="F417" s="7"/>
      <c r="G417" s="10">
        <v>54190</v>
      </c>
      <c r="H417" s="7">
        <v>4</v>
      </c>
      <c r="I417" s="12">
        <f>IF(OR(Table24[[#This Row],[Rating]]=4,Table24[[#This Row],[Rating]]=5), 0.05*Table24[[#This Row],[Salary]],0)</f>
        <v>2709.5</v>
      </c>
      <c r="J417" s="14">
        <f>VLOOKUP(Table24[[#This Row],[Salary]],'Tax rates'!A$2:C$8, 2) + VLOOKUP(Table24[[#This Row],[Salary]],'Tax rates'!A$2:C$8, 3) * (Table24[[#This Row],[Salary]] - VLOOKUP(Table24[[#This Row],[Salary]],'Tax rates'!A$2:C$8,1))</f>
        <v>7861.3</v>
      </c>
      <c r="K417" s="35">
        <f>Table24[[#This Row],[Salary]]-Table24[[#This Row],[Taxes]]</f>
        <v>46328.7</v>
      </c>
    </row>
    <row r="418" spans="1:11" x14ac:dyDescent="0.25">
      <c r="A418" s="5" t="s">
        <v>463</v>
      </c>
      <c r="B418" s="5" t="s">
        <v>1</v>
      </c>
      <c r="C418" s="5" t="s">
        <v>37</v>
      </c>
      <c r="D418" s="5" t="s">
        <v>3</v>
      </c>
      <c r="E418" s="6">
        <v>41046</v>
      </c>
      <c r="F418" s="5" t="s">
        <v>4</v>
      </c>
      <c r="G418" s="10">
        <v>48550</v>
      </c>
      <c r="H418" s="7">
        <v>5</v>
      </c>
      <c r="I418" s="12">
        <f>IF(OR(Table24[[#This Row],[Rating]]=4,Table24[[#This Row],[Rating]]=5), 0.05*Table24[[#This Row],[Salary]],0)</f>
        <v>2427.5</v>
      </c>
      <c r="J418" s="14">
        <f>VLOOKUP(Table24[[#This Row],[Salary]],'Tax rates'!A$2:C$8, 2) + VLOOKUP(Table24[[#This Row],[Salary]],'Tax rates'!A$2:C$8, 3) * (Table24[[#This Row],[Salary]] - VLOOKUP(Table24[[#This Row],[Salary]],'Tax rates'!A$2:C$8,1))</f>
        <v>6620.5</v>
      </c>
      <c r="K418" s="35">
        <f>Table24[[#This Row],[Salary]]-Table24[[#This Row],[Taxes]]</f>
        <v>41929.5</v>
      </c>
    </row>
    <row r="419" spans="1:11" x14ac:dyDescent="0.25">
      <c r="A419" s="5" t="s">
        <v>36</v>
      </c>
      <c r="B419" s="5" t="s">
        <v>1</v>
      </c>
      <c r="C419" s="5" t="s">
        <v>37</v>
      </c>
      <c r="D419" s="5" t="s">
        <v>3</v>
      </c>
      <c r="E419" s="6">
        <v>40235</v>
      </c>
      <c r="F419" s="5" t="s">
        <v>11</v>
      </c>
      <c r="G419" s="10">
        <v>22860</v>
      </c>
      <c r="H419" s="7">
        <v>5</v>
      </c>
      <c r="I419" s="12">
        <f>IF(OR(Table24[[#This Row],[Rating]]=4,Table24[[#This Row],[Rating]]=5), 0.05*Table24[[#This Row],[Salary]],0)</f>
        <v>1143</v>
      </c>
      <c r="J419" s="14">
        <f>VLOOKUP(Table24[[#This Row],[Salary]],'Tax rates'!A$2:C$8, 2) + VLOOKUP(Table24[[#This Row],[Salary]],'Tax rates'!A$2:C$8, 3) * (Table24[[#This Row],[Salary]] - VLOOKUP(Table24[[#This Row],[Salary]],'Tax rates'!A$2:C$8,1))</f>
        <v>2552.6999999999998</v>
      </c>
      <c r="K419" s="35">
        <f>Table24[[#This Row],[Salary]]-Table24[[#This Row],[Taxes]]</f>
        <v>20307.3</v>
      </c>
    </row>
    <row r="420" spans="1:11" x14ac:dyDescent="0.25">
      <c r="A420" s="5" t="s">
        <v>756</v>
      </c>
      <c r="B420" s="5" t="s">
        <v>1</v>
      </c>
      <c r="C420" s="5" t="s">
        <v>106</v>
      </c>
      <c r="D420" s="5" t="s">
        <v>3</v>
      </c>
      <c r="E420" s="6">
        <v>41136</v>
      </c>
      <c r="F420" s="5" t="s">
        <v>4</v>
      </c>
      <c r="G420" s="10">
        <v>79760</v>
      </c>
      <c r="H420" s="7">
        <v>5</v>
      </c>
      <c r="I420" s="12">
        <f>IF(OR(Table24[[#This Row],[Rating]]=4,Table24[[#This Row],[Rating]]=5), 0.05*Table24[[#This Row],[Salary]],0)</f>
        <v>3988</v>
      </c>
      <c r="J420" s="14">
        <f>VLOOKUP(Table24[[#This Row],[Salary]],'Tax rates'!A$2:C$8, 2) + VLOOKUP(Table24[[#This Row],[Salary]],'Tax rates'!A$2:C$8, 3) * (Table24[[#This Row],[Salary]] - VLOOKUP(Table24[[#This Row],[Salary]],'Tax rates'!A$2:C$8,1))</f>
        <v>13486.7</v>
      </c>
      <c r="K420" s="35">
        <f>Table24[[#This Row],[Salary]]-Table24[[#This Row],[Taxes]]</f>
        <v>66273.3</v>
      </c>
    </row>
    <row r="421" spans="1:11" x14ac:dyDescent="0.25">
      <c r="A421" s="5" t="s">
        <v>752</v>
      </c>
      <c r="B421" s="5" t="s">
        <v>1</v>
      </c>
      <c r="C421" s="5" t="s">
        <v>106</v>
      </c>
      <c r="D421" s="5" t="s">
        <v>3</v>
      </c>
      <c r="E421" s="6">
        <v>36260</v>
      </c>
      <c r="F421" s="5" t="s">
        <v>4</v>
      </c>
      <c r="G421" s="10">
        <v>75150</v>
      </c>
      <c r="H421" s="7">
        <v>1</v>
      </c>
      <c r="I421" s="12">
        <f>IF(OR(Table24[[#This Row],[Rating]]=4,Table24[[#This Row],[Rating]]=5), 0.05*Table24[[#This Row],[Salary]],0)</f>
        <v>0</v>
      </c>
      <c r="J421" s="14">
        <f>VLOOKUP(Table24[[#This Row],[Salary]],'Tax rates'!A$2:C$8, 2) + VLOOKUP(Table24[[#This Row],[Salary]],'Tax rates'!A$2:C$8, 3) * (Table24[[#This Row],[Salary]] - VLOOKUP(Table24[[#This Row],[Salary]],'Tax rates'!A$2:C$8,1))</f>
        <v>12472.5</v>
      </c>
      <c r="K421" s="35">
        <f>Table24[[#This Row],[Salary]]-Table24[[#This Row],[Taxes]]</f>
        <v>62677.5</v>
      </c>
    </row>
    <row r="422" spans="1:11" x14ac:dyDescent="0.25">
      <c r="A422" s="5" t="s">
        <v>576</v>
      </c>
      <c r="B422" s="5" t="s">
        <v>1</v>
      </c>
      <c r="C422" s="5" t="s">
        <v>106</v>
      </c>
      <c r="D422" s="5" t="s">
        <v>3</v>
      </c>
      <c r="E422" s="6">
        <v>38751</v>
      </c>
      <c r="F422" s="5" t="s">
        <v>4</v>
      </c>
      <c r="G422" s="10">
        <v>60830</v>
      </c>
      <c r="H422" s="7">
        <v>2</v>
      </c>
      <c r="I422" s="12">
        <f>IF(OR(Table24[[#This Row],[Rating]]=4,Table24[[#This Row],[Rating]]=5), 0.05*Table24[[#This Row],[Salary]],0)</f>
        <v>0</v>
      </c>
      <c r="J422" s="14">
        <f>VLOOKUP(Table24[[#This Row],[Salary]],'Tax rates'!A$2:C$8, 2) + VLOOKUP(Table24[[#This Row],[Salary]],'Tax rates'!A$2:C$8, 3) * (Table24[[#This Row],[Salary]] - VLOOKUP(Table24[[#This Row],[Salary]],'Tax rates'!A$2:C$8,1))</f>
        <v>9322.1</v>
      </c>
      <c r="K422" s="35">
        <f>Table24[[#This Row],[Salary]]-Table24[[#This Row],[Taxes]]</f>
        <v>51507.9</v>
      </c>
    </row>
    <row r="423" spans="1:11" x14ac:dyDescent="0.25">
      <c r="A423" s="5" t="s">
        <v>718</v>
      </c>
      <c r="B423" s="5" t="s">
        <v>51</v>
      </c>
      <c r="C423" s="5" t="s">
        <v>30</v>
      </c>
      <c r="D423" s="5" t="s">
        <v>3</v>
      </c>
      <c r="E423" s="6">
        <v>39807</v>
      </c>
      <c r="F423" s="5" t="s">
        <v>25</v>
      </c>
      <c r="G423" s="10">
        <v>88820</v>
      </c>
      <c r="H423" s="7">
        <v>2</v>
      </c>
      <c r="I423" s="12">
        <f>IF(OR(Table24[[#This Row],[Rating]]=4,Table24[[#This Row],[Rating]]=5), 0.05*Table24[[#This Row],[Salary]],0)</f>
        <v>0</v>
      </c>
      <c r="J423" s="14">
        <f>VLOOKUP(Table24[[#This Row],[Salary]],'Tax rates'!A$2:C$8, 2) + VLOOKUP(Table24[[#This Row],[Salary]],'Tax rates'!A$2:C$8, 3) * (Table24[[#This Row],[Salary]] - VLOOKUP(Table24[[#This Row],[Salary]],'Tax rates'!A$2:C$8,1))</f>
        <v>15606.3</v>
      </c>
      <c r="K423" s="35">
        <f>Table24[[#This Row],[Salary]]-Table24[[#This Row],[Taxes]]</f>
        <v>73213.7</v>
      </c>
    </row>
    <row r="424" spans="1:11" x14ac:dyDescent="0.25">
      <c r="A424" s="5" t="s">
        <v>427</v>
      </c>
      <c r="B424" s="5" t="s">
        <v>51</v>
      </c>
      <c r="C424" s="5" t="s">
        <v>30</v>
      </c>
      <c r="D424" s="5" t="s">
        <v>3</v>
      </c>
      <c r="E424" s="6">
        <v>37848</v>
      </c>
      <c r="F424" s="5" t="s">
        <v>25</v>
      </c>
      <c r="G424" s="10">
        <v>76910</v>
      </c>
      <c r="H424" s="7">
        <v>2</v>
      </c>
      <c r="I424" s="12">
        <f>IF(OR(Table24[[#This Row],[Rating]]=4,Table24[[#This Row],[Rating]]=5), 0.05*Table24[[#This Row],[Salary]],0)</f>
        <v>0</v>
      </c>
      <c r="J424" s="14">
        <f>VLOOKUP(Table24[[#This Row],[Salary]],'Tax rates'!A$2:C$8, 2) + VLOOKUP(Table24[[#This Row],[Salary]],'Tax rates'!A$2:C$8, 3) * (Table24[[#This Row],[Salary]] - VLOOKUP(Table24[[#This Row],[Salary]],'Tax rates'!A$2:C$8,1))</f>
        <v>12859.7</v>
      </c>
      <c r="K424" s="35">
        <f>Table24[[#This Row],[Salary]]-Table24[[#This Row],[Taxes]]</f>
        <v>64050.3</v>
      </c>
    </row>
    <row r="425" spans="1:11" x14ac:dyDescent="0.25">
      <c r="A425" s="5" t="s">
        <v>287</v>
      </c>
      <c r="B425" s="5" t="s">
        <v>51</v>
      </c>
      <c r="C425" s="5" t="s">
        <v>30</v>
      </c>
      <c r="D425" s="5" t="s">
        <v>16</v>
      </c>
      <c r="E425" s="6">
        <v>39298</v>
      </c>
      <c r="F425" s="7"/>
      <c r="G425" s="10">
        <v>76870</v>
      </c>
      <c r="H425" s="7">
        <v>5</v>
      </c>
      <c r="I425" s="12">
        <f>IF(OR(Table24[[#This Row],[Rating]]=4,Table24[[#This Row],[Rating]]=5), 0.05*Table24[[#This Row],[Salary]],0)</f>
        <v>3843.5</v>
      </c>
      <c r="J425" s="14">
        <f>VLOOKUP(Table24[[#This Row],[Salary]],'Tax rates'!A$2:C$8, 2) + VLOOKUP(Table24[[#This Row],[Salary]],'Tax rates'!A$2:C$8, 3) * (Table24[[#This Row],[Salary]] - VLOOKUP(Table24[[#This Row],[Salary]],'Tax rates'!A$2:C$8,1))</f>
        <v>12850.9</v>
      </c>
      <c r="K425" s="35">
        <f>Table24[[#This Row],[Salary]]-Table24[[#This Row],[Taxes]]</f>
        <v>64019.1</v>
      </c>
    </row>
    <row r="426" spans="1:11" x14ac:dyDescent="0.25">
      <c r="A426" s="5" t="s">
        <v>676</v>
      </c>
      <c r="B426" s="5" t="s">
        <v>51</v>
      </c>
      <c r="C426" s="5" t="s">
        <v>30</v>
      </c>
      <c r="D426" s="5" t="s">
        <v>24</v>
      </c>
      <c r="E426" s="6">
        <v>39728</v>
      </c>
      <c r="F426" s="5" t="s">
        <v>4</v>
      </c>
      <c r="G426" s="10">
        <v>45565</v>
      </c>
      <c r="H426" s="7">
        <v>1</v>
      </c>
      <c r="I426" s="12">
        <f>IF(OR(Table24[[#This Row],[Rating]]=4,Table24[[#This Row],[Rating]]=5), 0.05*Table24[[#This Row],[Salary]],0)</f>
        <v>0</v>
      </c>
      <c r="J426" s="14">
        <f>VLOOKUP(Table24[[#This Row],[Salary]],'Tax rates'!A$2:C$8, 2) + VLOOKUP(Table24[[#This Row],[Salary]],'Tax rates'!A$2:C$8, 3) * (Table24[[#This Row],[Salary]] - VLOOKUP(Table24[[#This Row],[Salary]],'Tax rates'!A$2:C$8,1))</f>
        <v>5963.8</v>
      </c>
      <c r="K426" s="35">
        <f>Table24[[#This Row],[Salary]]-Table24[[#This Row],[Taxes]]</f>
        <v>39601.199999999997</v>
      </c>
    </row>
    <row r="427" spans="1:11" x14ac:dyDescent="0.25">
      <c r="A427" s="5" t="s">
        <v>289</v>
      </c>
      <c r="B427" s="5" t="s">
        <v>51</v>
      </c>
      <c r="C427" s="5" t="s">
        <v>30</v>
      </c>
      <c r="D427" s="5" t="s">
        <v>24</v>
      </c>
      <c r="E427" s="6">
        <v>35826</v>
      </c>
      <c r="F427" s="5" t="s">
        <v>4</v>
      </c>
      <c r="G427" s="10">
        <v>31205</v>
      </c>
      <c r="H427" s="7">
        <v>2</v>
      </c>
      <c r="I427" s="12">
        <f>IF(OR(Table24[[#This Row],[Rating]]=4,Table24[[#This Row],[Rating]]=5), 0.05*Table24[[#This Row],[Salary]],0)</f>
        <v>0</v>
      </c>
      <c r="J427" s="14">
        <f>VLOOKUP(Table24[[#This Row],[Salary]],'Tax rates'!A$2:C$8, 2) + VLOOKUP(Table24[[#This Row],[Salary]],'Tax rates'!A$2:C$8, 3) * (Table24[[#This Row],[Salary]] - VLOOKUP(Table24[[#This Row],[Salary]],'Tax rates'!A$2:C$8,1))</f>
        <v>3554.1</v>
      </c>
      <c r="K427" s="35">
        <f>Table24[[#This Row],[Salary]]-Table24[[#This Row],[Taxes]]</f>
        <v>27650.9</v>
      </c>
    </row>
    <row r="428" spans="1:11" x14ac:dyDescent="0.25">
      <c r="A428" s="5" t="s">
        <v>398</v>
      </c>
      <c r="B428" s="5" t="s">
        <v>51</v>
      </c>
      <c r="C428" s="5" t="s">
        <v>30</v>
      </c>
      <c r="D428" s="5" t="s">
        <v>24</v>
      </c>
      <c r="E428" s="6">
        <v>36217</v>
      </c>
      <c r="F428" s="5" t="s">
        <v>11</v>
      </c>
      <c r="G428" s="10">
        <v>22475</v>
      </c>
      <c r="H428" s="7">
        <v>4</v>
      </c>
      <c r="I428" s="12">
        <f>IF(OR(Table24[[#This Row],[Rating]]=4,Table24[[#This Row],[Rating]]=5), 0.05*Table24[[#This Row],[Salary]],0)</f>
        <v>1123.75</v>
      </c>
      <c r="J428" s="14">
        <f>VLOOKUP(Table24[[#This Row],[Salary]],'Tax rates'!A$2:C$8, 2) + VLOOKUP(Table24[[#This Row],[Salary]],'Tax rates'!A$2:C$8, 3) * (Table24[[#This Row],[Salary]] - VLOOKUP(Table24[[#This Row],[Salary]],'Tax rates'!A$2:C$8,1))</f>
        <v>2506.5</v>
      </c>
      <c r="K428" s="35">
        <f>Table24[[#This Row],[Salary]]-Table24[[#This Row],[Taxes]]</f>
        <v>19968.5</v>
      </c>
    </row>
    <row r="429" spans="1:11" x14ac:dyDescent="0.25">
      <c r="A429" s="5" t="s">
        <v>217</v>
      </c>
      <c r="B429" s="5" t="s">
        <v>51</v>
      </c>
      <c r="C429" s="5" t="s">
        <v>20</v>
      </c>
      <c r="D429" s="5" t="s">
        <v>16</v>
      </c>
      <c r="E429" s="6">
        <v>37667</v>
      </c>
      <c r="F429" s="7"/>
      <c r="G429" s="10">
        <v>73390</v>
      </c>
      <c r="H429" s="7">
        <v>2</v>
      </c>
      <c r="I429" s="12">
        <f>IF(OR(Table24[[#This Row],[Rating]]=4,Table24[[#This Row],[Rating]]=5), 0.05*Table24[[#This Row],[Salary]],0)</f>
        <v>0</v>
      </c>
      <c r="J429" s="14">
        <f>VLOOKUP(Table24[[#This Row],[Salary]],'Tax rates'!A$2:C$8, 2) + VLOOKUP(Table24[[#This Row],[Salary]],'Tax rates'!A$2:C$8, 3) * (Table24[[#This Row],[Salary]] - VLOOKUP(Table24[[#This Row],[Salary]],'Tax rates'!A$2:C$8,1))</f>
        <v>12085.3</v>
      </c>
      <c r="K429" s="35">
        <f>Table24[[#This Row],[Salary]]-Table24[[#This Row],[Taxes]]</f>
        <v>61304.7</v>
      </c>
    </row>
    <row r="430" spans="1:11" x14ac:dyDescent="0.25">
      <c r="A430" s="5" t="s">
        <v>565</v>
      </c>
      <c r="B430" s="5" t="s">
        <v>51</v>
      </c>
      <c r="C430" s="5" t="s">
        <v>73</v>
      </c>
      <c r="D430" s="5" t="s">
        <v>16</v>
      </c>
      <c r="E430" s="6">
        <v>40508</v>
      </c>
      <c r="F430" s="7"/>
      <c r="G430" s="10">
        <v>58130</v>
      </c>
      <c r="H430" s="7">
        <v>2</v>
      </c>
      <c r="I430" s="12">
        <f>IF(OR(Table24[[#This Row],[Rating]]=4,Table24[[#This Row],[Rating]]=5), 0.05*Table24[[#This Row],[Salary]],0)</f>
        <v>0</v>
      </c>
      <c r="J430" s="14">
        <f>VLOOKUP(Table24[[#This Row],[Salary]],'Tax rates'!A$2:C$8, 2) + VLOOKUP(Table24[[#This Row],[Salary]],'Tax rates'!A$2:C$8, 3) * (Table24[[#This Row],[Salary]] - VLOOKUP(Table24[[#This Row],[Salary]],'Tax rates'!A$2:C$8,1))</f>
        <v>8728.1</v>
      </c>
      <c r="K430" s="35">
        <f>Table24[[#This Row],[Salary]]-Table24[[#This Row],[Taxes]]</f>
        <v>49401.9</v>
      </c>
    </row>
    <row r="431" spans="1:11" x14ac:dyDescent="0.25">
      <c r="A431" s="5" t="s">
        <v>282</v>
      </c>
      <c r="B431" s="5" t="s">
        <v>51</v>
      </c>
      <c r="C431" s="5" t="s">
        <v>138</v>
      </c>
      <c r="D431" s="5" t="s">
        <v>3</v>
      </c>
      <c r="E431" s="6">
        <v>36182</v>
      </c>
      <c r="F431" s="5" t="s">
        <v>11</v>
      </c>
      <c r="G431" s="10">
        <v>68300</v>
      </c>
      <c r="H431" s="7">
        <v>5</v>
      </c>
      <c r="I431" s="12">
        <f>IF(OR(Table24[[#This Row],[Rating]]=4,Table24[[#This Row],[Rating]]=5), 0.05*Table24[[#This Row],[Salary]],0)</f>
        <v>3415</v>
      </c>
      <c r="J431" s="14">
        <f>VLOOKUP(Table24[[#This Row],[Salary]],'Tax rates'!A$2:C$8, 2) + VLOOKUP(Table24[[#This Row],[Salary]],'Tax rates'!A$2:C$8, 3) * (Table24[[#This Row],[Salary]] - VLOOKUP(Table24[[#This Row],[Salary]],'Tax rates'!A$2:C$8,1))</f>
        <v>10965.5</v>
      </c>
      <c r="K431" s="35">
        <f>Table24[[#This Row],[Salary]]-Table24[[#This Row],[Taxes]]</f>
        <v>57334.5</v>
      </c>
    </row>
    <row r="432" spans="1:11" x14ac:dyDescent="0.25">
      <c r="A432" s="5" t="s">
        <v>297</v>
      </c>
      <c r="B432" s="5" t="s">
        <v>51</v>
      </c>
      <c r="C432" s="5" t="s">
        <v>75</v>
      </c>
      <c r="D432" s="5" t="s">
        <v>16</v>
      </c>
      <c r="E432" s="6">
        <v>40233</v>
      </c>
      <c r="F432" s="7"/>
      <c r="G432" s="10">
        <v>64390</v>
      </c>
      <c r="H432" s="7">
        <v>2</v>
      </c>
      <c r="I432" s="12">
        <f>IF(OR(Table24[[#This Row],[Rating]]=4,Table24[[#This Row],[Rating]]=5), 0.05*Table24[[#This Row],[Salary]],0)</f>
        <v>0</v>
      </c>
      <c r="J432" s="14">
        <f>VLOOKUP(Table24[[#This Row],[Salary]],'Tax rates'!A$2:C$8, 2) + VLOOKUP(Table24[[#This Row],[Salary]],'Tax rates'!A$2:C$8, 3) * (Table24[[#This Row],[Salary]] - VLOOKUP(Table24[[#This Row],[Salary]],'Tax rates'!A$2:C$8,1))</f>
        <v>10105.299999999999</v>
      </c>
      <c r="K432" s="35">
        <f>Table24[[#This Row],[Salary]]-Table24[[#This Row],[Taxes]]</f>
        <v>54284.7</v>
      </c>
    </row>
    <row r="433" spans="1:11" x14ac:dyDescent="0.25">
      <c r="A433" s="5" t="s">
        <v>176</v>
      </c>
      <c r="B433" s="5" t="s">
        <v>51</v>
      </c>
      <c r="C433" s="5" t="s">
        <v>75</v>
      </c>
      <c r="D433" s="5" t="s">
        <v>16</v>
      </c>
      <c r="E433" s="6">
        <v>36038</v>
      </c>
      <c r="F433" s="7"/>
      <c r="G433" s="10">
        <v>30340</v>
      </c>
      <c r="H433" s="7">
        <v>3</v>
      </c>
      <c r="I433" s="12">
        <f>IF(OR(Table24[[#This Row],[Rating]]=4,Table24[[#This Row],[Rating]]=5), 0.05*Table24[[#This Row],[Salary]],0)</f>
        <v>0</v>
      </c>
      <c r="J433" s="14">
        <f>VLOOKUP(Table24[[#This Row],[Salary]],'Tax rates'!A$2:C$8, 2) + VLOOKUP(Table24[[#This Row],[Salary]],'Tax rates'!A$2:C$8, 3) * (Table24[[#This Row],[Salary]] - VLOOKUP(Table24[[#This Row],[Salary]],'Tax rates'!A$2:C$8,1))</f>
        <v>3450.2999999999997</v>
      </c>
      <c r="K433" s="35">
        <f>Table24[[#This Row],[Salary]]-Table24[[#This Row],[Taxes]]</f>
        <v>26889.7</v>
      </c>
    </row>
    <row r="434" spans="1:11" x14ac:dyDescent="0.25">
      <c r="A434" s="5" t="s">
        <v>710</v>
      </c>
      <c r="B434" s="5" t="s">
        <v>51</v>
      </c>
      <c r="C434" s="5" t="s">
        <v>75</v>
      </c>
      <c r="D434" s="5" t="s">
        <v>16</v>
      </c>
      <c r="E434" s="6">
        <v>39922</v>
      </c>
      <c r="F434" s="7"/>
      <c r="G434" s="10">
        <v>25790</v>
      </c>
      <c r="H434" s="7">
        <v>3</v>
      </c>
      <c r="I434" s="12">
        <f>IF(OR(Table24[[#This Row],[Rating]]=4,Table24[[#This Row],[Rating]]=5), 0.05*Table24[[#This Row],[Salary]],0)</f>
        <v>0</v>
      </c>
      <c r="J434" s="14">
        <f>VLOOKUP(Table24[[#This Row],[Salary]],'Tax rates'!A$2:C$8, 2) + VLOOKUP(Table24[[#This Row],[Salary]],'Tax rates'!A$2:C$8, 3) * (Table24[[#This Row],[Salary]] - VLOOKUP(Table24[[#This Row],[Salary]],'Tax rates'!A$2:C$8,1))</f>
        <v>2904.3</v>
      </c>
      <c r="K434" s="35">
        <f>Table24[[#This Row],[Salary]]-Table24[[#This Row],[Taxes]]</f>
        <v>22885.7</v>
      </c>
    </row>
    <row r="435" spans="1:11" x14ac:dyDescent="0.25">
      <c r="A435" s="5" t="s">
        <v>720</v>
      </c>
      <c r="B435" s="5" t="s">
        <v>51</v>
      </c>
      <c r="C435" s="5" t="s">
        <v>166</v>
      </c>
      <c r="D435" s="5" t="s">
        <v>3</v>
      </c>
      <c r="E435" s="6">
        <v>39388</v>
      </c>
      <c r="F435" s="5" t="s">
        <v>4</v>
      </c>
      <c r="G435" s="10">
        <v>71120</v>
      </c>
      <c r="H435" s="7">
        <v>4</v>
      </c>
      <c r="I435" s="12">
        <f>IF(OR(Table24[[#This Row],[Rating]]=4,Table24[[#This Row],[Rating]]=5), 0.05*Table24[[#This Row],[Salary]],0)</f>
        <v>3556</v>
      </c>
      <c r="J435" s="14">
        <f>VLOOKUP(Table24[[#This Row],[Salary]],'Tax rates'!A$2:C$8, 2) + VLOOKUP(Table24[[#This Row],[Salary]],'Tax rates'!A$2:C$8, 3) * (Table24[[#This Row],[Salary]] - VLOOKUP(Table24[[#This Row],[Salary]],'Tax rates'!A$2:C$8,1))</f>
        <v>11585.9</v>
      </c>
      <c r="K435" s="35">
        <f>Table24[[#This Row],[Salary]]-Table24[[#This Row],[Taxes]]</f>
        <v>59534.1</v>
      </c>
    </row>
    <row r="436" spans="1:11" x14ac:dyDescent="0.25">
      <c r="A436" s="5" t="s">
        <v>50</v>
      </c>
      <c r="B436" s="5" t="s">
        <v>51</v>
      </c>
      <c r="C436" s="5" t="s">
        <v>23</v>
      </c>
      <c r="D436" s="5" t="s">
        <v>3</v>
      </c>
      <c r="E436" s="6">
        <v>39085</v>
      </c>
      <c r="F436" s="5" t="s">
        <v>4</v>
      </c>
      <c r="G436" s="10">
        <v>87030</v>
      </c>
      <c r="H436" s="7">
        <v>3</v>
      </c>
      <c r="I436" s="12">
        <f>IF(OR(Table24[[#This Row],[Rating]]=4,Table24[[#This Row],[Rating]]=5), 0.05*Table24[[#This Row],[Salary]],0)</f>
        <v>0</v>
      </c>
      <c r="J436" s="14">
        <f>VLOOKUP(Table24[[#This Row],[Salary]],'Tax rates'!A$2:C$8, 2) + VLOOKUP(Table24[[#This Row],[Salary]],'Tax rates'!A$2:C$8, 3) * (Table24[[#This Row],[Salary]] - VLOOKUP(Table24[[#This Row],[Salary]],'Tax rates'!A$2:C$8,1))</f>
        <v>15176.7</v>
      </c>
      <c r="K436" s="35">
        <f>Table24[[#This Row],[Salary]]-Table24[[#This Row],[Taxes]]</f>
        <v>71853.3</v>
      </c>
    </row>
    <row r="437" spans="1:11" x14ac:dyDescent="0.25">
      <c r="A437" s="5" t="s">
        <v>213</v>
      </c>
      <c r="B437" s="5" t="s">
        <v>51</v>
      </c>
      <c r="C437" s="5" t="s">
        <v>23</v>
      </c>
      <c r="D437" s="5" t="s">
        <v>16</v>
      </c>
      <c r="E437" s="6">
        <v>35921</v>
      </c>
      <c r="F437" s="7"/>
      <c r="G437" s="10">
        <v>63330</v>
      </c>
      <c r="H437" s="7">
        <v>4</v>
      </c>
      <c r="I437" s="12">
        <f>IF(OR(Table24[[#This Row],[Rating]]=4,Table24[[#This Row],[Rating]]=5), 0.05*Table24[[#This Row],[Salary]],0)</f>
        <v>3166.5</v>
      </c>
      <c r="J437" s="14">
        <f>VLOOKUP(Table24[[#This Row],[Salary]],'Tax rates'!A$2:C$8, 2) + VLOOKUP(Table24[[#This Row],[Salary]],'Tax rates'!A$2:C$8, 3) * (Table24[[#This Row],[Salary]] - VLOOKUP(Table24[[#This Row],[Salary]],'Tax rates'!A$2:C$8,1))</f>
        <v>9872.1</v>
      </c>
      <c r="K437" s="35">
        <f>Table24[[#This Row],[Salary]]-Table24[[#This Row],[Taxes]]</f>
        <v>53457.9</v>
      </c>
    </row>
    <row r="438" spans="1:11" x14ac:dyDescent="0.25">
      <c r="A438" s="5" t="s">
        <v>635</v>
      </c>
      <c r="B438" s="5" t="s">
        <v>51</v>
      </c>
      <c r="C438" s="5" t="s">
        <v>23</v>
      </c>
      <c r="D438" s="5" t="s">
        <v>3</v>
      </c>
      <c r="E438" s="6">
        <v>40246</v>
      </c>
      <c r="F438" s="5" t="s">
        <v>11</v>
      </c>
      <c r="G438" s="10">
        <v>63080</v>
      </c>
      <c r="H438" s="7">
        <v>5</v>
      </c>
      <c r="I438" s="12">
        <f>IF(OR(Table24[[#This Row],[Rating]]=4,Table24[[#This Row],[Rating]]=5), 0.05*Table24[[#This Row],[Salary]],0)</f>
        <v>3154</v>
      </c>
      <c r="J438" s="14">
        <f>VLOOKUP(Table24[[#This Row],[Salary]],'Tax rates'!A$2:C$8, 2) + VLOOKUP(Table24[[#This Row],[Salary]],'Tax rates'!A$2:C$8, 3) * (Table24[[#This Row],[Salary]] - VLOOKUP(Table24[[#This Row],[Salary]],'Tax rates'!A$2:C$8,1))</f>
        <v>9817.1</v>
      </c>
      <c r="K438" s="35">
        <f>Table24[[#This Row],[Salary]]-Table24[[#This Row],[Taxes]]</f>
        <v>53262.9</v>
      </c>
    </row>
    <row r="439" spans="1:11" x14ac:dyDescent="0.25">
      <c r="A439" s="5" t="s">
        <v>300</v>
      </c>
      <c r="B439" s="5" t="s">
        <v>51</v>
      </c>
      <c r="C439" s="5" t="s">
        <v>23</v>
      </c>
      <c r="D439" s="5" t="s">
        <v>16</v>
      </c>
      <c r="E439" s="6">
        <v>39783</v>
      </c>
      <c r="F439" s="7"/>
      <c r="G439" s="10">
        <v>54000</v>
      </c>
      <c r="H439" s="7">
        <v>3</v>
      </c>
      <c r="I439" s="12">
        <f>IF(OR(Table24[[#This Row],[Rating]]=4,Table24[[#This Row],[Rating]]=5), 0.05*Table24[[#This Row],[Salary]],0)</f>
        <v>0</v>
      </c>
      <c r="J439" s="14">
        <f>VLOOKUP(Table24[[#This Row],[Salary]],'Tax rates'!A$2:C$8, 2) + VLOOKUP(Table24[[#This Row],[Salary]],'Tax rates'!A$2:C$8, 3) * (Table24[[#This Row],[Salary]] - VLOOKUP(Table24[[#This Row],[Salary]],'Tax rates'!A$2:C$8,1))</f>
        <v>7819.5</v>
      </c>
      <c r="K439" s="35">
        <f>Table24[[#This Row],[Salary]]-Table24[[#This Row],[Taxes]]</f>
        <v>46180.5</v>
      </c>
    </row>
    <row r="440" spans="1:11" x14ac:dyDescent="0.25">
      <c r="A440" s="5" t="s">
        <v>587</v>
      </c>
      <c r="B440" s="5" t="s">
        <v>51</v>
      </c>
      <c r="C440" s="5" t="s">
        <v>92</v>
      </c>
      <c r="D440" s="5" t="s">
        <v>16</v>
      </c>
      <c r="E440" s="6">
        <v>36673</v>
      </c>
      <c r="F440" s="5" t="s">
        <v>11</v>
      </c>
      <c r="G440" s="10">
        <v>69410</v>
      </c>
      <c r="H440" s="7">
        <v>4</v>
      </c>
      <c r="I440" s="12">
        <f>IF(OR(Table24[[#This Row],[Rating]]=4,Table24[[#This Row],[Rating]]=5), 0.05*Table24[[#This Row],[Salary]],0)</f>
        <v>3470.5</v>
      </c>
      <c r="J440" s="14">
        <f>VLOOKUP(Table24[[#This Row],[Salary]],'Tax rates'!A$2:C$8, 2) + VLOOKUP(Table24[[#This Row],[Salary]],'Tax rates'!A$2:C$8, 3) * (Table24[[#This Row],[Salary]] - VLOOKUP(Table24[[#This Row],[Salary]],'Tax rates'!A$2:C$8,1))</f>
        <v>11209.7</v>
      </c>
      <c r="K440" s="35">
        <f>Table24[[#This Row],[Salary]]-Table24[[#This Row],[Taxes]]</f>
        <v>58200.3</v>
      </c>
    </row>
    <row r="441" spans="1:11" x14ac:dyDescent="0.25">
      <c r="A441" s="5" t="s">
        <v>487</v>
      </c>
      <c r="B441" s="5" t="s">
        <v>51</v>
      </c>
      <c r="C441" s="5" t="s">
        <v>92</v>
      </c>
      <c r="D441" s="5" t="s">
        <v>3</v>
      </c>
      <c r="E441" s="6">
        <v>37043</v>
      </c>
      <c r="F441" s="5" t="s">
        <v>25</v>
      </c>
      <c r="G441" s="10">
        <v>45150</v>
      </c>
      <c r="H441" s="7">
        <v>1</v>
      </c>
      <c r="I441" s="12">
        <f>IF(OR(Table24[[#This Row],[Rating]]=4,Table24[[#This Row],[Rating]]=5), 0.05*Table24[[#This Row],[Salary]],0)</f>
        <v>0</v>
      </c>
      <c r="J441" s="14">
        <f>VLOOKUP(Table24[[#This Row],[Salary]],'Tax rates'!A$2:C$8, 2) + VLOOKUP(Table24[[#This Row],[Salary]],'Tax rates'!A$2:C$8, 3) * (Table24[[#This Row],[Salary]] - VLOOKUP(Table24[[#This Row],[Salary]],'Tax rates'!A$2:C$8,1))</f>
        <v>5872.5</v>
      </c>
      <c r="K441" s="35">
        <f>Table24[[#This Row],[Salary]]-Table24[[#This Row],[Taxes]]</f>
        <v>39277.5</v>
      </c>
    </row>
    <row r="442" spans="1:11" x14ac:dyDescent="0.25">
      <c r="A442" s="5" t="s">
        <v>563</v>
      </c>
      <c r="B442" s="5" t="s">
        <v>51</v>
      </c>
      <c r="C442" s="5" t="s">
        <v>18</v>
      </c>
      <c r="D442" s="5" t="s">
        <v>3</v>
      </c>
      <c r="E442" s="6">
        <v>39972</v>
      </c>
      <c r="F442" s="5" t="s">
        <v>4</v>
      </c>
      <c r="G442" s="10">
        <v>78170</v>
      </c>
      <c r="H442" s="7">
        <v>5</v>
      </c>
      <c r="I442" s="12">
        <f>IF(OR(Table24[[#This Row],[Rating]]=4,Table24[[#This Row],[Rating]]=5), 0.05*Table24[[#This Row],[Salary]],0)</f>
        <v>3908.5</v>
      </c>
      <c r="J442" s="14">
        <f>VLOOKUP(Table24[[#This Row],[Salary]],'Tax rates'!A$2:C$8, 2) + VLOOKUP(Table24[[#This Row],[Salary]],'Tax rates'!A$2:C$8, 3) * (Table24[[#This Row],[Salary]] - VLOOKUP(Table24[[#This Row],[Salary]],'Tax rates'!A$2:C$8,1))</f>
        <v>13136.9</v>
      </c>
      <c r="K442" s="35">
        <f>Table24[[#This Row],[Salary]]-Table24[[#This Row],[Taxes]]</f>
        <v>65033.1</v>
      </c>
    </row>
    <row r="443" spans="1:11" x14ac:dyDescent="0.25">
      <c r="A443" s="5" t="s">
        <v>357</v>
      </c>
      <c r="B443" s="5" t="s">
        <v>51</v>
      </c>
      <c r="C443" s="5" t="s">
        <v>18</v>
      </c>
      <c r="D443" s="5" t="s">
        <v>16</v>
      </c>
      <c r="E443" s="6">
        <v>38874</v>
      </c>
      <c r="F443" s="7"/>
      <c r="G443" s="10">
        <v>59330</v>
      </c>
      <c r="H443" s="7">
        <v>4</v>
      </c>
      <c r="I443" s="12">
        <f>IF(OR(Table24[[#This Row],[Rating]]=4,Table24[[#This Row],[Rating]]=5), 0.05*Table24[[#This Row],[Salary]],0)</f>
        <v>2966.5</v>
      </c>
      <c r="J443" s="14">
        <f>VLOOKUP(Table24[[#This Row],[Salary]],'Tax rates'!A$2:C$8, 2) + VLOOKUP(Table24[[#This Row],[Salary]],'Tax rates'!A$2:C$8, 3) * (Table24[[#This Row],[Salary]] - VLOOKUP(Table24[[#This Row],[Salary]],'Tax rates'!A$2:C$8,1))</f>
        <v>8992.1</v>
      </c>
      <c r="K443" s="35">
        <f>Table24[[#This Row],[Salary]]-Table24[[#This Row],[Taxes]]</f>
        <v>50337.9</v>
      </c>
    </row>
    <row r="444" spans="1:11" x14ac:dyDescent="0.25">
      <c r="A444" s="5" t="s">
        <v>112</v>
      </c>
      <c r="B444" s="5" t="s">
        <v>51</v>
      </c>
      <c r="C444" s="5" t="s">
        <v>18</v>
      </c>
      <c r="D444" s="5" t="s">
        <v>16</v>
      </c>
      <c r="E444" s="6">
        <v>36704</v>
      </c>
      <c r="F444" s="7"/>
      <c r="G444" s="10">
        <v>57760</v>
      </c>
      <c r="H444" s="7">
        <v>3</v>
      </c>
      <c r="I444" s="12">
        <f>IF(OR(Table24[[#This Row],[Rating]]=4,Table24[[#This Row],[Rating]]=5), 0.05*Table24[[#This Row],[Salary]],0)</f>
        <v>0</v>
      </c>
      <c r="J444" s="14">
        <f>VLOOKUP(Table24[[#This Row],[Salary]],'Tax rates'!A$2:C$8, 2) + VLOOKUP(Table24[[#This Row],[Salary]],'Tax rates'!A$2:C$8, 3) * (Table24[[#This Row],[Salary]] - VLOOKUP(Table24[[#This Row],[Salary]],'Tax rates'!A$2:C$8,1))</f>
        <v>8646.7000000000007</v>
      </c>
      <c r="K444" s="35">
        <f>Table24[[#This Row],[Salary]]-Table24[[#This Row],[Taxes]]</f>
        <v>49113.3</v>
      </c>
    </row>
    <row r="445" spans="1:11" x14ac:dyDescent="0.25">
      <c r="A445" s="5" t="s">
        <v>212</v>
      </c>
      <c r="B445" s="5" t="s">
        <v>51</v>
      </c>
      <c r="C445" s="5" t="s">
        <v>18</v>
      </c>
      <c r="D445" s="5" t="s">
        <v>3</v>
      </c>
      <c r="E445" s="6">
        <v>39348</v>
      </c>
      <c r="F445" s="5" t="s">
        <v>4</v>
      </c>
      <c r="G445" s="10">
        <v>46220</v>
      </c>
      <c r="H445" s="7">
        <v>2</v>
      </c>
      <c r="I445" s="12">
        <f>IF(OR(Table24[[#This Row],[Rating]]=4,Table24[[#This Row],[Rating]]=5), 0.05*Table24[[#This Row],[Salary]],0)</f>
        <v>0</v>
      </c>
      <c r="J445" s="14">
        <f>VLOOKUP(Table24[[#This Row],[Salary]],'Tax rates'!A$2:C$8, 2) + VLOOKUP(Table24[[#This Row],[Salary]],'Tax rates'!A$2:C$8, 3) * (Table24[[#This Row],[Salary]] - VLOOKUP(Table24[[#This Row],[Salary]],'Tax rates'!A$2:C$8,1))</f>
        <v>6107.9</v>
      </c>
      <c r="K445" s="35">
        <f>Table24[[#This Row],[Salary]]-Table24[[#This Row],[Taxes]]</f>
        <v>40112.1</v>
      </c>
    </row>
    <row r="446" spans="1:11" x14ac:dyDescent="0.25">
      <c r="A446" s="5" t="s">
        <v>546</v>
      </c>
      <c r="B446" s="5" t="s">
        <v>51</v>
      </c>
      <c r="C446" s="5" t="s">
        <v>18</v>
      </c>
      <c r="D446" s="5" t="s">
        <v>16</v>
      </c>
      <c r="E446" s="6">
        <v>36011</v>
      </c>
      <c r="F446" s="7"/>
      <c r="G446" s="10">
        <v>45050</v>
      </c>
      <c r="H446" s="7">
        <v>1</v>
      </c>
      <c r="I446" s="12">
        <f>IF(OR(Table24[[#This Row],[Rating]]=4,Table24[[#This Row],[Rating]]=5), 0.05*Table24[[#This Row],[Salary]],0)</f>
        <v>0</v>
      </c>
      <c r="J446" s="14">
        <f>VLOOKUP(Table24[[#This Row],[Salary]],'Tax rates'!A$2:C$8, 2) + VLOOKUP(Table24[[#This Row],[Salary]],'Tax rates'!A$2:C$8, 3) * (Table24[[#This Row],[Salary]] - VLOOKUP(Table24[[#This Row],[Salary]],'Tax rates'!A$2:C$8,1))</f>
        <v>5850.5</v>
      </c>
      <c r="K446" s="35">
        <f>Table24[[#This Row],[Salary]]-Table24[[#This Row],[Taxes]]</f>
        <v>39199.5</v>
      </c>
    </row>
    <row r="447" spans="1:11" x14ac:dyDescent="0.25">
      <c r="A447" s="5" t="s">
        <v>358</v>
      </c>
      <c r="B447" s="5" t="s">
        <v>51</v>
      </c>
      <c r="C447" s="5" t="s">
        <v>18</v>
      </c>
      <c r="D447" s="5" t="s">
        <v>3</v>
      </c>
      <c r="E447" s="6">
        <v>38816</v>
      </c>
      <c r="F447" s="5" t="s">
        <v>21</v>
      </c>
      <c r="G447" s="10">
        <v>44920</v>
      </c>
      <c r="H447" s="7">
        <v>1</v>
      </c>
      <c r="I447" s="12">
        <f>IF(OR(Table24[[#This Row],[Rating]]=4,Table24[[#This Row],[Rating]]=5), 0.05*Table24[[#This Row],[Salary]],0)</f>
        <v>0</v>
      </c>
      <c r="J447" s="14">
        <f>VLOOKUP(Table24[[#This Row],[Salary]],'Tax rates'!A$2:C$8, 2) + VLOOKUP(Table24[[#This Row],[Salary]],'Tax rates'!A$2:C$8, 3) * (Table24[[#This Row],[Salary]] - VLOOKUP(Table24[[#This Row],[Salary]],'Tax rates'!A$2:C$8,1))</f>
        <v>5821.9</v>
      </c>
      <c r="K447" s="35">
        <f>Table24[[#This Row],[Salary]]-Table24[[#This Row],[Taxes]]</f>
        <v>39098.1</v>
      </c>
    </row>
    <row r="448" spans="1:11" x14ac:dyDescent="0.25">
      <c r="A448" s="5" t="s">
        <v>167</v>
      </c>
      <c r="B448" s="5" t="s">
        <v>51</v>
      </c>
      <c r="C448" s="5" t="s">
        <v>18</v>
      </c>
      <c r="D448" s="5" t="s">
        <v>16</v>
      </c>
      <c r="E448" s="6">
        <v>36600</v>
      </c>
      <c r="F448" s="7"/>
      <c r="G448" s="10">
        <v>41840</v>
      </c>
      <c r="H448" s="7">
        <v>2</v>
      </c>
      <c r="I448" s="12">
        <f>IF(OR(Table24[[#This Row],[Rating]]=4,Table24[[#This Row],[Rating]]=5), 0.05*Table24[[#This Row],[Salary]],0)</f>
        <v>0</v>
      </c>
      <c r="J448" s="14">
        <f>VLOOKUP(Table24[[#This Row],[Salary]],'Tax rates'!A$2:C$8, 2) + VLOOKUP(Table24[[#This Row],[Salary]],'Tax rates'!A$2:C$8, 3) * (Table24[[#This Row],[Salary]] - VLOOKUP(Table24[[#This Row],[Salary]],'Tax rates'!A$2:C$8,1))</f>
        <v>5144.3</v>
      </c>
      <c r="K448" s="35">
        <f>Table24[[#This Row],[Salary]]-Table24[[#This Row],[Taxes]]</f>
        <v>36695.699999999997</v>
      </c>
    </row>
    <row r="449" spans="1:11" x14ac:dyDescent="0.25">
      <c r="A449" s="5" t="s">
        <v>173</v>
      </c>
      <c r="B449" s="5" t="s">
        <v>51</v>
      </c>
      <c r="C449" s="5" t="s">
        <v>18</v>
      </c>
      <c r="D449" s="5" t="s">
        <v>3</v>
      </c>
      <c r="E449" s="6">
        <v>39472</v>
      </c>
      <c r="F449" s="5" t="s">
        <v>4</v>
      </c>
      <c r="G449" s="10">
        <v>41060</v>
      </c>
      <c r="H449" s="7">
        <v>3</v>
      </c>
      <c r="I449" s="12">
        <f>IF(OR(Table24[[#This Row],[Rating]]=4,Table24[[#This Row],[Rating]]=5), 0.05*Table24[[#This Row],[Salary]],0)</f>
        <v>0</v>
      </c>
      <c r="J449" s="14">
        <f>VLOOKUP(Table24[[#This Row],[Salary]],'Tax rates'!A$2:C$8, 2) + VLOOKUP(Table24[[#This Row],[Salary]],'Tax rates'!A$2:C$8, 3) * (Table24[[#This Row],[Salary]] - VLOOKUP(Table24[[#This Row],[Salary]],'Tax rates'!A$2:C$8,1))</f>
        <v>4972.7</v>
      </c>
      <c r="K449" s="35">
        <f>Table24[[#This Row],[Salary]]-Table24[[#This Row],[Taxes]]</f>
        <v>36087.300000000003</v>
      </c>
    </row>
    <row r="450" spans="1:11" x14ac:dyDescent="0.25">
      <c r="A450" s="5" t="s">
        <v>237</v>
      </c>
      <c r="B450" s="5" t="s">
        <v>51</v>
      </c>
      <c r="C450" s="5" t="s">
        <v>18</v>
      </c>
      <c r="D450" s="5" t="s">
        <v>3</v>
      </c>
      <c r="E450" s="6">
        <v>36413</v>
      </c>
      <c r="F450" s="5" t="s">
        <v>4</v>
      </c>
      <c r="G450" s="10">
        <v>40060</v>
      </c>
      <c r="H450" s="7">
        <v>3</v>
      </c>
      <c r="I450" s="12">
        <f>IF(OR(Table24[[#This Row],[Rating]]=4,Table24[[#This Row],[Rating]]=5), 0.05*Table24[[#This Row],[Salary]],0)</f>
        <v>0</v>
      </c>
      <c r="J450" s="14">
        <f>VLOOKUP(Table24[[#This Row],[Salary]],'Tax rates'!A$2:C$8, 2) + VLOOKUP(Table24[[#This Row],[Salary]],'Tax rates'!A$2:C$8, 3) * (Table24[[#This Row],[Salary]] - VLOOKUP(Table24[[#This Row],[Salary]],'Tax rates'!A$2:C$8,1))</f>
        <v>4752.7</v>
      </c>
      <c r="K450" s="35">
        <f>Table24[[#This Row],[Salary]]-Table24[[#This Row],[Taxes]]</f>
        <v>35307.300000000003</v>
      </c>
    </row>
    <row r="451" spans="1:11" x14ac:dyDescent="0.25">
      <c r="A451" s="5" t="s">
        <v>557</v>
      </c>
      <c r="B451" s="5" t="s">
        <v>51</v>
      </c>
      <c r="C451" s="5" t="s">
        <v>18</v>
      </c>
      <c r="D451" s="5" t="s">
        <v>32</v>
      </c>
      <c r="E451" s="6">
        <v>36067</v>
      </c>
      <c r="F451" s="7"/>
      <c r="G451" s="10">
        <v>37612</v>
      </c>
      <c r="H451" s="7">
        <v>4</v>
      </c>
      <c r="I451" s="12">
        <f>IF(OR(Table24[[#This Row],[Rating]]=4,Table24[[#This Row],[Rating]]=5), 0.05*Table24[[#This Row],[Salary]],0)</f>
        <v>1880.6000000000001</v>
      </c>
      <c r="J451" s="14">
        <f>VLOOKUP(Table24[[#This Row],[Salary]],'Tax rates'!A$2:C$8, 2) + VLOOKUP(Table24[[#This Row],[Salary]],'Tax rates'!A$2:C$8, 3) * (Table24[[#This Row],[Salary]] - VLOOKUP(Table24[[#This Row],[Salary]],'Tax rates'!A$2:C$8,1))</f>
        <v>4322.9400000000005</v>
      </c>
      <c r="K451" s="35">
        <f>Table24[[#This Row],[Salary]]-Table24[[#This Row],[Taxes]]</f>
        <v>33289.06</v>
      </c>
    </row>
    <row r="452" spans="1:11" x14ac:dyDescent="0.25">
      <c r="A452" s="5" t="s">
        <v>76</v>
      </c>
      <c r="B452" s="5" t="s">
        <v>51</v>
      </c>
      <c r="C452" s="5" t="s">
        <v>18</v>
      </c>
      <c r="D452" s="5" t="s">
        <v>16</v>
      </c>
      <c r="E452" s="6">
        <v>39378</v>
      </c>
      <c r="F452" s="7"/>
      <c r="G452" s="10">
        <v>35460</v>
      </c>
      <c r="H452" s="7">
        <v>3</v>
      </c>
      <c r="I452" s="12">
        <f>IF(OR(Table24[[#This Row],[Rating]]=4,Table24[[#This Row],[Rating]]=5), 0.05*Table24[[#This Row],[Salary]],0)</f>
        <v>0</v>
      </c>
      <c r="J452" s="14">
        <f>VLOOKUP(Table24[[#This Row],[Salary]],'Tax rates'!A$2:C$8, 2) + VLOOKUP(Table24[[#This Row],[Salary]],'Tax rates'!A$2:C$8, 3) * (Table24[[#This Row],[Salary]] - VLOOKUP(Table24[[#This Row],[Salary]],'Tax rates'!A$2:C$8,1))</f>
        <v>4064.7</v>
      </c>
      <c r="K452" s="35">
        <f>Table24[[#This Row],[Salary]]-Table24[[#This Row],[Taxes]]</f>
        <v>31395.3</v>
      </c>
    </row>
    <row r="453" spans="1:11" x14ac:dyDescent="0.25">
      <c r="A453" s="5" t="s">
        <v>200</v>
      </c>
      <c r="B453" s="5" t="s">
        <v>51</v>
      </c>
      <c r="C453" s="5" t="s">
        <v>18</v>
      </c>
      <c r="D453" s="5" t="s">
        <v>3</v>
      </c>
      <c r="E453" s="6">
        <v>36084</v>
      </c>
      <c r="F453" s="5" t="s">
        <v>4</v>
      </c>
      <c r="G453" s="10">
        <v>33210</v>
      </c>
      <c r="H453" s="7">
        <v>4</v>
      </c>
      <c r="I453" s="12">
        <f>IF(OR(Table24[[#This Row],[Rating]]=4,Table24[[#This Row],[Rating]]=5), 0.05*Table24[[#This Row],[Salary]],0)</f>
        <v>1660.5</v>
      </c>
      <c r="J453" s="14">
        <f>VLOOKUP(Table24[[#This Row],[Salary]],'Tax rates'!A$2:C$8, 2) + VLOOKUP(Table24[[#This Row],[Salary]],'Tax rates'!A$2:C$8, 3) * (Table24[[#This Row],[Salary]] - VLOOKUP(Table24[[#This Row],[Salary]],'Tax rates'!A$2:C$8,1))</f>
        <v>3794.7</v>
      </c>
      <c r="K453" s="35">
        <f>Table24[[#This Row],[Salary]]-Table24[[#This Row],[Taxes]]</f>
        <v>29415.3</v>
      </c>
    </row>
    <row r="454" spans="1:11" x14ac:dyDescent="0.25">
      <c r="A454" s="5" t="s">
        <v>470</v>
      </c>
      <c r="B454" s="5" t="s">
        <v>51</v>
      </c>
      <c r="C454" s="5" t="s">
        <v>18</v>
      </c>
      <c r="D454" s="5" t="s">
        <v>32</v>
      </c>
      <c r="E454" s="6">
        <v>39278</v>
      </c>
      <c r="F454" s="7"/>
      <c r="G454" s="10">
        <v>30416</v>
      </c>
      <c r="H454" s="7">
        <v>1</v>
      </c>
      <c r="I454" s="12">
        <f>IF(OR(Table24[[#This Row],[Rating]]=4,Table24[[#This Row],[Rating]]=5), 0.05*Table24[[#This Row],[Salary]],0)</f>
        <v>0</v>
      </c>
      <c r="J454" s="14">
        <f>VLOOKUP(Table24[[#This Row],[Salary]],'Tax rates'!A$2:C$8, 2) + VLOOKUP(Table24[[#This Row],[Salary]],'Tax rates'!A$2:C$8, 3) * (Table24[[#This Row],[Salary]] - VLOOKUP(Table24[[#This Row],[Salary]],'Tax rates'!A$2:C$8,1))</f>
        <v>3459.42</v>
      </c>
      <c r="K454" s="35">
        <f>Table24[[#This Row],[Salary]]-Table24[[#This Row],[Taxes]]</f>
        <v>26956.58</v>
      </c>
    </row>
    <row r="455" spans="1:11" x14ac:dyDescent="0.25">
      <c r="A455" s="5" t="s">
        <v>481</v>
      </c>
      <c r="B455" s="5" t="s">
        <v>51</v>
      </c>
      <c r="C455" s="5" t="s">
        <v>18</v>
      </c>
      <c r="D455" s="5" t="s">
        <v>3</v>
      </c>
      <c r="E455" s="6">
        <v>37229</v>
      </c>
      <c r="F455" s="5" t="s">
        <v>11</v>
      </c>
      <c r="G455" s="10">
        <v>25310</v>
      </c>
      <c r="H455" s="7">
        <v>4</v>
      </c>
      <c r="I455" s="12">
        <f>IF(OR(Table24[[#This Row],[Rating]]=4,Table24[[#This Row],[Rating]]=5), 0.05*Table24[[#This Row],[Salary]],0)</f>
        <v>1265.5</v>
      </c>
      <c r="J455" s="14">
        <f>VLOOKUP(Table24[[#This Row],[Salary]],'Tax rates'!A$2:C$8, 2) + VLOOKUP(Table24[[#This Row],[Salary]],'Tax rates'!A$2:C$8, 3) * (Table24[[#This Row],[Salary]] - VLOOKUP(Table24[[#This Row],[Salary]],'Tax rates'!A$2:C$8,1))</f>
        <v>2846.7</v>
      </c>
      <c r="K455" s="35">
        <f>Table24[[#This Row],[Salary]]-Table24[[#This Row],[Taxes]]</f>
        <v>22463.3</v>
      </c>
    </row>
    <row r="456" spans="1:11" x14ac:dyDescent="0.25">
      <c r="A456" s="5" t="s">
        <v>568</v>
      </c>
      <c r="B456" s="5" t="s">
        <v>51</v>
      </c>
      <c r="C456" s="5" t="s">
        <v>18</v>
      </c>
      <c r="D456" s="5" t="s">
        <v>16</v>
      </c>
      <c r="E456" s="6">
        <v>36283</v>
      </c>
      <c r="F456" s="7"/>
      <c r="G456" s="10">
        <v>25130</v>
      </c>
      <c r="H456" s="7">
        <v>5</v>
      </c>
      <c r="I456" s="12">
        <f>IF(OR(Table24[[#This Row],[Rating]]=4,Table24[[#This Row],[Rating]]=5), 0.05*Table24[[#This Row],[Salary]],0)</f>
        <v>1256.5</v>
      </c>
      <c r="J456" s="14">
        <f>VLOOKUP(Table24[[#This Row],[Salary]],'Tax rates'!A$2:C$8, 2) + VLOOKUP(Table24[[#This Row],[Salary]],'Tax rates'!A$2:C$8, 3) * (Table24[[#This Row],[Salary]] - VLOOKUP(Table24[[#This Row],[Salary]],'Tax rates'!A$2:C$8,1))</f>
        <v>2825.1</v>
      </c>
      <c r="K456" s="35">
        <f>Table24[[#This Row],[Salary]]-Table24[[#This Row],[Taxes]]</f>
        <v>22304.9</v>
      </c>
    </row>
    <row r="457" spans="1:11" x14ac:dyDescent="0.25">
      <c r="A457" s="5" t="s">
        <v>131</v>
      </c>
      <c r="B457" s="5" t="s">
        <v>51</v>
      </c>
      <c r="C457" s="5" t="s">
        <v>18</v>
      </c>
      <c r="D457" s="5" t="s">
        <v>3</v>
      </c>
      <c r="E457" s="6">
        <v>39181</v>
      </c>
      <c r="F457" s="5" t="s">
        <v>11</v>
      </c>
      <c r="G457" s="10">
        <v>23330</v>
      </c>
      <c r="H457" s="7">
        <v>4</v>
      </c>
      <c r="I457" s="12">
        <f>IF(OR(Table24[[#This Row],[Rating]]=4,Table24[[#This Row],[Rating]]=5), 0.05*Table24[[#This Row],[Salary]],0)</f>
        <v>1166.5</v>
      </c>
      <c r="J457" s="14">
        <f>VLOOKUP(Table24[[#This Row],[Salary]],'Tax rates'!A$2:C$8, 2) + VLOOKUP(Table24[[#This Row],[Salary]],'Tax rates'!A$2:C$8, 3) * (Table24[[#This Row],[Salary]] - VLOOKUP(Table24[[#This Row],[Salary]],'Tax rates'!A$2:C$8,1))</f>
        <v>2609.1</v>
      </c>
      <c r="K457" s="35">
        <f>Table24[[#This Row],[Salary]]-Table24[[#This Row],[Taxes]]</f>
        <v>20720.900000000001</v>
      </c>
    </row>
    <row r="458" spans="1:11" x14ac:dyDescent="0.25">
      <c r="A458" s="5" t="s">
        <v>386</v>
      </c>
      <c r="B458" s="5" t="s">
        <v>51</v>
      </c>
      <c r="C458" s="5" t="s">
        <v>18</v>
      </c>
      <c r="D458" s="5" t="s">
        <v>32</v>
      </c>
      <c r="E458" s="6">
        <v>41056</v>
      </c>
      <c r="F458" s="7"/>
      <c r="G458" s="10">
        <v>22344</v>
      </c>
      <c r="H458" s="7">
        <v>4</v>
      </c>
      <c r="I458" s="12">
        <f>IF(OR(Table24[[#This Row],[Rating]]=4,Table24[[#This Row],[Rating]]=5), 0.05*Table24[[#This Row],[Salary]],0)</f>
        <v>1117.2</v>
      </c>
      <c r="J458" s="14">
        <f>VLOOKUP(Table24[[#This Row],[Salary]],'Tax rates'!A$2:C$8, 2) + VLOOKUP(Table24[[#This Row],[Salary]],'Tax rates'!A$2:C$8, 3) * (Table24[[#This Row],[Salary]] - VLOOKUP(Table24[[#This Row],[Salary]],'Tax rates'!A$2:C$8,1))</f>
        <v>2490.7799999999997</v>
      </c>
      <c r="K458" s="35">
        <f>Table24[[#This Row],[Salary]]-Table24[[#This Row],[Taxes]]</f>
        <v>19853.22</v>
      </c>
    </row>
    <row r="459" spans="1:11" x14ac:dyDescent="0.25">
      <c r="A459" s="5" t="s">
        <v>140</v>
      </c>
      <c r="B459" s="5" t="s">
        <v>51</v>
      </c>
      <c r="C459" s="5" t="s">
        <v>15</v>
      </c>
      <c r="D459" s="5" t="s">
        <v>3</v>
      </c>
      <c r="E459" s="6">
        <v>41137</v>
      </c>
      <c r="F459" s="5" t="s">
        <v>4</v>
      </c>
      <c r="G459" s="10">
        <v>39160</v>
      </c>
      <c r="H459" s="7">
        <v>3</v>
      </c>
      <c r="I459" s="12">
        <f>IF(OR(Table24[[#This Row],[Rating]]=4,Table24[[#This Row],[Rating]]=5), 0.05*Table24[[#This Row],[Salary]],0)</f>
        <v>0</v>
      </c>
      <c r="J459" s="14">
        <f>VLOOKUP(Table24[[#This Row],[Salary]],'Tax rates'!A$2:C$8, 2) + VLOOKUP(Table24[[#This Row],[Salary]],'Tax rates'!A$2:C$8, 3) * (Table24[[#This Row],[Salary]] - VLOOKUP(Table24[[#This Row],[Salary]],'Tax rates'!A$2:C$8,1))</f>
        <v>4554.7</v>
      </c>
      <c r="K459" s="35">
        <f>Table24[[#This Row],[Salary]]-Table24[[#This Row],[Taxes]]</f>
        <v>34605.300000000003</v>
      </c>
    </row>
    <row r="460" spans="1:11" x14ac:dyDescent="0.25">
      <c r="A460" s="5" t="s">
        <v>124</v>
      </c>
      <c r="B460" s="5" t="s">
        <v>51</v>
      </c>
      <c r="C460" s="5" t="s">
        <v>59</v>
      </c>
      <c r="D460" s="5" t="s">
        <v>16</v>
      </c>
      <c r="E460" s="6">
        <v>39330</v>
      </c>
      <c r="F460" s="7"/>
      <c r="G460" s="10">
        <v>81930</v>
      </c>
      <c r="H460" s="7">
        <v>5</v>
      </c>
      <c r="I460" s="12">
        <f>IF(OR(Table24[[#This Row],[Rating]]=4,Table24[[#This Row],[Rating]]=5), 0.05*Table24[[#This Row],[Salary]],0)</f>
        <v>4096.5</v>
      </c>
      <c r="J460" s="14">
        <f>VLOOKUP(Table24[[#This Row],[Salary]],'Tax rates'!A$2:C$8, 2) + VLOOKUP(Table24[[#This Row],[Salary]],'Tax rates'!A$2:C$8, 3) * (Table24[[#This Row],[Salary]] - VLOOKUP(Table24[[#This Row],[Salary]],'Tax rates'!A$2:C$8,1))</f>
        <v>13964.1</v>
      </c>
      <c r="K460" s="35">
        <f>Table24[[#This Row],[Salary]]-Table24[[#This Row],[Taxes]]</f>
        <v>67965.899999999994</v>
      </c>
    </row>
    <row r="461" spans="1:11" x14ac:dyDescent="0.25">
      <c r="A461" s="5" t="s">
        <v>703</v>
      </c>
      <c r="B461" s="5" t="s">
        <v>51</v>
      </c>
      <c r="C461" s="5" t="s">
        <v>59</v>
      </c>
      <c r="D461" s="5" t="s">
        <v>3</v>
      </c>
      <c r="E461" s="6">
        <v>40552</v>
      </c>
      <c r="F461" s="5" t="s">
        <v>4</v>
      </c>
      <c r="G461" s="10">
        <v>62740</v>
      </c>
      <c r="H461" s="7">
        <v>4</v>
      </c>
      <c r="I461" s="12">
        <f>IF(OR(Table24[[#This Row],[Rating]]=4,Table24[[#This Row],[Rating]]=5), 0.05*Table24[[#This Row],[Salary]],0)</f>
        <v>3137</v>
      </c>
      <c r="J461" s="14">
        <f>VLOOKUP(Table24[[#This Row],[Salary]],'Tax rates'!A$2:C$8, 2) + VLOOKUP(Table24[[#This Row],[Salary]],'Tax rates'!A$2:C$8, 3) * (Table24[[#This Row],[Salary]] - VLOOKUP(Table24[[#This Row],[Salary]],'Tax rates'!A$2:C$8,1))</f>
        <v>9742.2999999999993</v>
      </c>
      <c r="K461" s="35">
        <f>Table24[[#This Row],[Salary]]-Table24[[#This Row],[Taxes]]</f>
        <v>52997.7</v>
      </c>
    </row>
    <row r="462" spans="1:11" x14ac:dyDescent="0.25">
      <c r="A462" s="5" t="s">
        <v>620</v>
      </c>
      <c r="B462" s="5" t="s">
        <v>51</v>
      </c>
      <c r="C462" s="5" t="s">
        <v>59</v>
      </c>
      <c r="D462" s="5" t="s">
        <v>24</v>
      </c>
      <c r="E462" s="6">
        <v>36371</v>
      </c>
      <c r="F462" s="5" t="s">
        <v>11</v>
      </c>
      <c r="G462" s="10">
        <v>26790</v>
      </c>
      <c r="H462" s="7">
        <v>2</v>
      </c>
      <c r="I462" s="12">
        <f>IF(OR(Table24[[#This Row],[Rating]]=4,Table24[[#This Row],[Rating]]=5), 0.05*Table24[[#This Row],[Salary]],0)</f>
        <v>0</v>
      </c>
      <c r="J462" s="14">
        <f>VLOOKUP(Table24[[#This Row],[Salary]],'Tax rates'!A$2:C$8, 2) + VLOOKUP(Table24[[#This Row],[Salary]],'Tax rates'!A$2:C$8, 3) * (Table24[[#This Row],[Salary]] - VLOOKUP(Table24[[#This Row],[Salary]],'Tax rates'!A$2:C$8,1))</f>
        <v>3024.2999999999997</v>
      </c>
      <c r="K462" s="35">
        <f>Table24[[#This Row],[Salary]]-Table24[[#This Row],[Taxes]]</f>
        <v>23765.7</v>
      </c>
    </row>
    <row r="463" spans="1:11" x14ac:dyDescent="0.25">
      <c r="A463" s="5" t="s">
        <v>705</v>
      </c>
      <c r="B463" s="5" t="s">
        <v>51</v>
      </c>
      <c r="C463" s="5" t="s">
        <v>59</v>
      </c>
      <c r="D463" s="5" t="s">
        <v>24</v>
      </c>
      <c r="E463" s="6">
        <v>37141</v>
      </c>
      <c r="F463" s="5" t="s">
        <v>9</v>
      </c>
      <c r="G463" s="10">
        <v>15910</v>
      </c>
      <c r="H463" s="7">
        <v>3</v>
      </c>
      <c r="I463" s="12">
        <f>IF(OR(Table24[[#This Row],[Rating]]=4,Table24[[#This Row],[Rating]]=5), 0.05*Table24[[#This Row],[Salary]],0)</f>
        <v>0</v>
      </c>
      <c r="J463" s="14">
        <f>VLOOKUP(Table24[[#This Row],[Salary]],'Tax rates'!A$2:C$8, 2) + VLOOKUP(Table24[[#This Row],[Salary]],'Tax rates'!A$2:C$8, 3) * (Table24[[#This Row],[Salary]] - VLOOKUP(Table24[[#This Row],[Salary]],'Tax rates'!A$2:C$8,1))</f>
        <v>1718.6999999999998</v>
      </c>
      <c r="K463" s="35">
        <f>Table24[[#This Row],[Salary]]-Table24[[#This Row],[Taxes]]</f>
        <v>14191.3</v>
      </c>
    </row>
    <row r="464" spans="1:11" x14ac:dyDescent="0.25">
      <c r="A464" s="5" t="s">
        <v>159</v>
      </c>
      <c r="B464" s="5" t="s">
        <v>51</v>
      </c>
      <c r="C464" s="5" t="s">
        <v>8</v>
      </c>
      <c r="D464" s="5" t="s">
        <v>3</v>
      </c>
      <c r="E464" s="6">
        <v>41177</v>
      </c>
      <c r="F464" s="5" t="s">
        <v>4</v>
      </c>
      <c r="G464" s="10">
        <v>64510</v>
      </c>
      <c r="H464" s="7">
        <v>3</v>
      </c>
      <c r="I464" s="12">
        <f>IF(OR(Table24[[#This Row],[Rating]]=4,Table24[[#This Row],[Rating]]=5), 0.05*Table24[[#This Row],[Salary]],0)</f>
        <v>0</v>
      </c>
      <c r="J464" s="14">
        <f>VLOOKUP(Table24[[#This Row],[Salary]],'Tax rates'!A$2:C$8, 2) + VLOOKUP(Table24[[#This Row],[Salary]],'Tax rates'!A$2:C$8, 3) * (Table24[[#This Row],[Salary]] - VLOOKUP(Table24[[#This Row],[Salary]],'Tax rates'!A$2:C$8,1))</f>
        <v>10131.700000000001</v>
      </c>
      <c r="K464" s="35">
        <f>Table24[[#This Row],[Salary]]-Table24[[#This Row],[Taxes]]</f>
        <v>54378.3</v>
      </c>
    </row>
    <row r="465" spans="1:11" x14ac:dyDescent="0.25">
      <c r="A465" s="5" t="s">
        <v>450</v>
      </c>
      <c r="B465" s="5" t="s">
        <v>51</v>
      </c>
      <c r="C465" s="5" t="s">
        <v>8</v>
      </c>
      <c r="D465" s="5" t="s">
        <v>3</v>
      </c>
      <c r="E465" s="6">
        <v>36414</v>
      </c>
      <c r="F465" s="5" t="s">
        <v>9</v>
      </c>
      <c r="G465" s="10">
        <v>39680</v>
      </c>
      <c r="H465" s="7">
        <v>5</v>
      </c>
      <c r="I465" s="12">
        <f>IF(OR(Table24[[#This Row],[Rating]]=4,Table24[[#This Row],[Rating]]=5), 0.05*Table24[[#This Row],[Salary]],0)</f>
        <v>1984</v>
      </c>
      <c r="J465" s="14">
        <f>VLOOKUP(Table24[[#This Row],[Salary]],'Tax rates'!A$2:C$8, 2) + VLOOKUP(Table24[[#This Row],[Salary]],'Tax rates'!A$2:C$8, 3) * (Table24[[#This Row],[Salary]] - VLOOKUP(Table24[[#This Row],[Salary]],'Tax rates'!A$2:C$8,1))</f>
        <v>4669.1000000000004</v>
      </c>
      <c r="K465" s="35">
        <f>Table24[[#This Row],[Salary]]-Table24[[#This Row],[Taxes]]</f>
        <v>35010.9</v>
      </c>
    </row>
    <row r="466" spans="1:11" x14ac:dyDescent="0.25">
      <c r="A466" s="5" t="s">
        <v>491</v>
      </c>
      <c r="B466" s="5" t="s">
        <v>51</v>
      </c>
      <c r="C466" s="5" t="s">
        <v>8</v>
      </c>
      <c r="D466" s="5" t="s">
        <v>32</v>
      </c>
      <c r="E466" s="6">
        <v>36263</v>
      </c>
      <c r="F466" s="7"/>
      <c r="G466" s="10">
        <v>38768</v>
      </c>
      <c r="H466" s="7">
        <v>4</v>
      </c>
      <c r="I466" s="12">
        <f>IF(OR(Table24[[#This Row],[Rating]]=4,Table24[[#This Row],[Rating]]=5), 0.05*Table24[[#This Row],[Salary]],0)</f>
        <v>1938.4</v>
      </c>
      <c r="J466" s="14">
        <f>VLOOKUP(Table24[[#This Row],[Salary]],'Tax rates'!A$2:C$8, 2) + VLOOKUP(Table24[[#This Row],[Salary]],'Tax rates'!A$2:C$8, 3) * (Table24[[#This Row],[Salary]] - VLOOKUP(Table24[[#This Row],[Salary]],'Tax rates'!A$2:C$8,1))</f>
        <v>4468.46</v>
      </c>
      <c r="K466" s="35">
        <f>Table24[[#This Row],[Salary]]-Table24[[#This Row],[Taxes]]</f>
        <v>34299.54</v>
      </c>
    </row>
    <row r="467" spans="1:11" x14ac:dyDescent="0.25">
      <c r="A467" s="5" t="s">
        <v>523</v>
      </c>
      <c r="B467" s="5" t="s">
        <v>51</v>
      </c>
      <c r="C467" s="5" t="s">
        <v>8</v>
      </c>
      <c r="D467" s="5" t="s">
        <v>3</v>
      </c>
      <c r="E467" s="6">
        <v>39654</v>
      </c>
      <c r="F467" s="5" t="s">
        <v>9</v>
      </c>
      <c r="G467" s="10">
        <v>32360</v>
      </c>
      <c r="H467" s="7">
        <v>4</v>
      </c>
      <c r="I467" s="12">
        <f>IF(OR(Table24[[#This Row],[Rating]]=4,Table24[[#This Row],[Rating]]=5), 0.05*Table24[[#This Row],[Salary]],0)</f>
        <v>1618</v>
      </c>
      <c r="J467" s="14">
        <f>VLOOKUP(Table24[[#This Row],[Salary]],'Tax rates'!A$2:C$8, 2) + VLOOKUP(Table24[[#This Row],[Salary]],'Tax rates'!A$2:C$8, 3) * (Table24[[#This Row],[Salary]] - VLOOKUP(Table24[[#This Row],[Salary]],'Tax rates'!A$2:C$8,1))</f>
        <v>3692.7</v>
      </c>
      <c r="K467" s="35">
        <f>Table24[[#This Row],[Salary]]-Table24[[#This Row],[Taxes]]</f>
        <v>28667.3</v>
      </c>
    </row>
    <row r="468" spans="1:11" x14ac:dyDescent="0.25">
      <c r="A468" s="5" t="s">
        <v>382</v>
      </c>
      <c r="B468" s="5" t="s">
        <v>51</v>
      </c>
      <c r="C468" s="5" t="s">
        <v>2</v>
      </c>
      <c r="D468" s="5" t="s">
        <v>3</v>
      </c>
      <c r="E468" s="6">
        <v>39448</v>
      </c>
      <c r="F468" s="5" t="s">
        <v>11</v>
      </c>
      <c r="G468" s="10">
        <v>83710</v>
      </c>
      <c r="H468" s="7">
        <v>3</v>
      </c>
      <c r="I468" s="12">
        <f>IF(OR(Table24[[#This Row],[Rating]]=4,Table24[[#This Row],[Rating]]=5), 0.05*Table24[[#This Row],[Salary]],0)</f>
        <v>0</v>
      </c>
      <c r="J468" s="14">
        <f>VLOOKUP(Table24[[#This Row],[Salary]],'Tax rates'!A$2:C$8, 2) + VLOOKUP(Table24[[#This Row],[Salary]],'Tax rates'!A$2:C$8, 3) * (Table24[[#This Row],[Salary]] - VLOOKUP(Table24[[#This Row],[Salary]],'Tax rates'!A$2:C$8,1))</f>
        <v>14379.9</v>
      </c>
      <c r="K468" s="35">
        <f>Table24[[#This Row],[Salary]]-Table24[[#This Row],[Taxes]]</f>
        <v>69330.100000000006</v>
      </c>
    </row>
    <row r="469" spans="1:11" x14ac:dyDescent="0.25">
      <c r="A469" s="5" t="s">
        <v>279</v>
      </c>
      <c r="B469" s="5" t="s">
        <v>51</v>
      </c>
      <c r="C469" s="5" t="s">
        <v>2</v>
      </c>
      <c r="D469" s="5" t="s">
        <v>24</v>
      </c>
      <c r="E469" s="6">
        <v>37815</v>
      </c>
      <c r="F469" s="5" t="s">
        <v>4</v>
      </c>
      <c r="G469" s="10">
        <v>48740</v>
      </c>
      <c r="H469" s="7">
        <v>1</v>
      </c>
      <c r="I469" s="12">
        <f>IF(OR(Table24[[#This Row],[Rating]]=4,Table24[[#This Row],[Rating]]=5), 0.05*Table24[[#This Row],[Salary]],0)</f>
        <v>0</v>
      </c>
      <c r="J469" s="14">
        <f>VLOOKUP(Table24[[#This Row],[Salary]],'Tax rates'!A$2:C$8, 2) + VLOOKUP(Table24[[#This Row],[Salary]],'Tax rates'!A$2:C$8, 3) * (Table24[[#This Row],[Salary]] - VLOOKUP(Table24[[#This Row],[Salary]],'Tax rates'!A$2:C$8,1))</f>
        <v>6662.3</v>
      </c>
      <c r="K469" s="35">
        <f>Table24[[#This Row],[Salary]]-Table24[[#This Row],[Taxes]]</f>
        <v>42077.7</v>
      </c>
    </row>
    <row r="470" spans="1:11" x14ac:dyDescent="0.25">
      <c r="A470" s="5" t="s">
        <v>581</v>
      </c>
      <c r="B470" s="5" t="s">
        <v>51</v>
      </c>
      <c r="C470" s="5" t="s">
        <v>2</v>
      </c>
      <c r="D470" s="5" t="s">
        <v>24</v>
      </c>
      <c r="E470" s="6">
        <v>35842</v>
      </c>
      <c r="F470" s="5" t="s">
        <v>21</v>
      </c>
      <c r="G470" s="10">
        <v>39530</v>
      </c>
      <c r="H470" s="7">
        <v>5</v>
      </c>
      <c r="I470" s="12">
        <f>IF(OR(Table24[[#This Row],[Rating]]=4,Table24[[#This Row],[Rating]]=5), 0.05*Table24[[#This Row],[Salary]],0)</f>
        <v>1976.5</v>
      </c>
      <c r="J470" s="14">
        <f>VLOOKUP(Table24[[#This Row],[Salary]],'Tax rates'!A$2:C$8, 2) + VLOOKUP(Table24[[#This Row],[Salary]],'Tax rates'!A$2:C$8, 3) * (Table24[[#This Row],[Salary]] - VLOOKUP(Table24[[#This Row],[Salary]],'Tax rates'!A$2:C$8,1))</f>
        <v>4636.1000000000004</v>
      </c>
      <c r="K470" s="35">
        <f>Table24[[#This Row],[Salary]]-Table24[[#This Row],[Taxes]]</f>
        <v>34893.9</v>
      </c>
    </row>
    <row r="471" spans="1:11" x14ac:dyDescent="0.25">
      <c r="A471" s="5" t="s">
        <v>700</v>
      </c>
      <c r="B471" s="5" t="s">
        <v>51</v>
      </c>
      <c r="C471" s="5" t="s">
        <v>2</v>
      </c>
      <c r="D471" s="5" t="s">
        <v>3</v>
      </c>
      <c r="E471" s="6">
        <v>39002</v>
      </c>
      <c r="F471" s="5" t="s">
        <v>11</v>
      </c>
      <c r="G471" s="10">
        <v>32120</v>
      </c>
      <c r="H471" s="7">
        <v>1</v>
      </c>
      <c r="I471" s="12">
        <f>IF(OR(Table24[[#This Row],[Rating]]=4,Table24[[#This Row],[Rating]]=5), 0.05*Table24[[#This Row],[Salary]],0)</f>
        <v>0</v>
      </c>
      <c r="J471" s="14">
        <f>VLOOKUP(Table24[[#This Row],[Salary]],'Tax rates'!A$2:C$8, 2) + VLOOKUP(Table24[[#This Row],[Salary]],'Tax rates'!A$2:C$8, 3) * (Table24[[#This Row],[Salary]] - VLOOKUP(Table24[[#This Row],[Salary]],'Tax rates'!A$2:C$8,1))</f>
        <v>3663.9</v>
      </c>
      <c r="K471" s="35">
        <f>Table24[[#This Row],[Salary]]-Table24[[#This Row],[Taxes]]</f>
        <v>28456.1</v>
      </c>
    </row>
    <row r="472" spans="1:11" x14ac:dyDescent="0.25">
      <c r="A472" s="5" t="s">
        <v>509</v>
      </c>
      <c r="B472" s="5" t="s">
        <v>51</v>
      </c>
      <c r="C472" s="5" t="s">
        <v>2</v>
      </c>
      <c r="D472" s="5" t="s">
        <v>3</v>
      </c>
      <c r="E472" s="6">
        <v>37793</v>
      </c>
      <c r="F472" s="5" t="s">
        <v>4</v>
      </c>
      <c r="G472" s="10">
        <v>29210</v>
      </c>
      <c r="H472" s="7">
        <v>5</v>
      </c>
      <c r="I472" s="12">
        <f>IF(OR(Table24[[#This Row],[Rating]]=4,Table24[[#This Row],[Rating]]=5), 0.05*Table24[[#This Row],[Salary]],0)</f>
        <v>1460.5</v>
      </c>
      <c r="J472" s="14">
        <f>VLOOKUP(Table24[[#This Row],[Salary]],'Tax rates'!A$2:C$8, 2) + VLOOKUP(Table24[[#This Row],[Salary]],'Tax rates'!A$2:C$8, 3) * (Table24[[#This Row],[Salary]] - VLOOKUP(Table24[[#This Row],[Salary]],'Tax rates'!A$2:C$8,1))</f>
        <v>3314.7</v>
      </c>
      <c r="K472" s="35">
        <f>Table24[[#This Row],[Salary]]-Table24[[#This Row],[Taxes]]</f>
        <v>25895.3</v>
      </c>
    </row>
    <row r="473" spans="1:11" x14ac:dyDescent="0.25">
      <c r="A473" s="5" t="s">
        <v>365</v>
      </c>
      <c r="B473" s="5" t="s">
        <v>51</v>
      </c>
      <c r="C473" s="5" t="s">
        <v>2</v>
      </c>
      <c r="D473" s="5" t="s">
        <v>3</v>
      </c>
      <c r="E473" s="6">
        <v>40078</v>
      </c>
      <c r="F473" s="5" t="s">
        <v>11</v>
      </c>
      <c r="G473" s="10">
        <v>23190</v>
      </c>
      <c r="H473" s="7">
        <v>5</v>
      </c>
      <c r="I473" s="12">
        <f>IF(OR(Table24[[#This Row],[Rating]]=4,Table24[[#This Row],[Rating]]=5), 0.05*Table24[[#This Row],[Salary]],0)</f>
        <v>1159.5</v>
      </c>
      <c r="J473" s="14">
        <f>VLOOKUP(Table24[[#This Row],[Salary]],'Tax rates'!A$2:C$8, 2) + VLOOKUP(Table24[[#This Row],[Salary]],'Tax rates'!A$2:C$8, 3) * (Table24[[#This Row],[Salary]] - VLOOKUP(Table24[[#This Row],[Salary]],'Tax rates'!A$2:C$8,1))</f>
        <v>2592.3000000000002</v>
      </c>
      <c r="K473" s="35">
        <f>Table24[[#This Row],[Salary]]-Table24[[#This Row],[Taxes]]</f>
        <v>20597.7</v>
      </c>
    </row>
    <row r="474" spans="1:11" x14ac:dyDescent="0.25">
      <c r="A474" s="5" t="s">
        <v>305</v>
      </c>
      <c r="B474" s="5" t="s">
        <v>51</v>
      </c>
      <c r="C474" s="5" t="s">
        <v>35</v>
      </c>
      <c r="D474" s="5" t="s">
        <v>16</v>
      </c>
      <c r="E474" s="6">
        <v>40451</v>
      </c>
      <c r="F474" s="7"/>
      <c r="G474" s="10">
        <v>87830</v>
      </c>
      <c r="H474" s="7">
        <v>2</v>
      </c>
      <c r="I474" s="12">
        <f>IF(OR(Table24[[#This Row],[Rating]]=4,Table24[[#This Row],[Rating]]=5), 0.05*Table24[[#This Row],[Salary]],0)</f>
        <v>0</v>
      </c>
      <c r="J474" s="14">
        <f>VLOOKUP(Table24[[#This Row],[Salary]],'Tax rates'!A$2:C$8, 2) + VLOOKUP(Table24[[#This Row],[Salary]],'Tax rates'!A$2:C$8, 3) * (Table24[[#This Row],[Salary]] - VLOOKUP(Table24[[#This Row],[Salary]],'Tax rates'!A$2:C$8,1))</f>
        <v>15368.7</v>
      </c>
      <c r="K474" s="35">
        <f>Table24[[#This Row],[Salary]]-Table24[[#This Row],[Taxes]]</f>
        <v>72461.3</v>
      </c>
    </row>
    <row r="475" spans="1:11" x14ac:dyDescent="0.25">
      <c r="A475" s="5" t="s">
        <v>681</v>
      </c>
      <c r="B475" s="5" t="s">
        <v>51</v>
      </c>
      <c r="C475" s="5" t="s">
        <v>35</v>
      </c>
      <c r="D475" s="5" t="s">
        <v>16</v>
      </c>
      <c r="E475" s="6">
        <v>39248</v>
      </c>
      <c r="F475" s="7"/>
      <c r="G475" s="10">
        <v>78590</v>
      </c>
      <c r="H475" s="7">
        <v>1</v>
      </c>
      <c r="I475" s="12">
        <f>IF(OR(Table24[[#This Row],[Rating]]=4,Table24[[#This Row],[Rating]]=5), 0.05*Table24[[#This Row],[Salary]],0)</f>
        <v>0</v>
      </c>
      <c r="J475" s="14">
        <f>VLOOKUP(Table24[[#This Row],[Salary]],'Tax rates'!A$2:C$8, 2) + VLOOKUP(Table24[[#This Row],[Salary]],'Tax rates'!A$2:C$8, 3) * (Table24[[#This Row],[Salary]] - VLOOKUP(Table24[[#This Row],[Salary]],'Tax rates'!A$2:C$8,1))</f>
        <v>13229.3</v>
      </c>
      <c r="K475" s="35">
        <f>Table24[[#This Row],[Salary]]-Table24[[#This Row],[Taxes]]</f>
        <v>65360.7</v>
      </c>
    </row>
    <row r="476" spans="1:11" x14ac:dyDescent="0.25">
      <c r="A476" s="5" t="s">
        <v>544</v>
      </c>
      <c r="B476" s="5" t="s">
        <v>51</v>
      </c>
      <c r="C476" s="5" t="s">
        <v>35</v>
      </c>
      <c r="D476" s="5" t="s">
        <v>3</v>
      </c>
      <c r="E476" s="6">
        <v>36243</v>
      </c>
      <c r="F476" s="5" t="s">
        <v>9</v>
      </c>
      <c r="G476" s="10">
        <v>77680</v>
      </c>
      <c r="H476" s="7">
        <v>3</v>
      </c>
      <c r="I476" s="12">
        <f>IF(OR(Table24[[#This Row],[Rating]]=4,Table24[[#This Row],[Rating]]=5), 0.05*Table24[[#This Row],[Salary]],0)</f>
        <v>0</v>
      </c>
      <c r="J476" s="14">
        <f>VLOOKUP(Table24[[#This Row],[Salary]],'Tax rates'!A$2:C$8, 2) + VLOOKUP(Table24[[#This Row],[Salary]],'Tax rates'!A$2:C$8, 3) * (Table24[[#This Row],[Salary]] - VLOOKUP(Table24[[#This Row],[Salary]],'Tax rates'!A$2:C$8,1))</f>
        <v>13029.1</v>
      </c>
      <c r="K476" s="35">
        <f>Table24[[#This Row],[Salary]]-Table24[[#This Row],[Taxes]]</f>
        <v>64650.9</v>
      </c>
    </row>
    <row r="477" spans="1:11" x14ac:dyDescent="0.25">
      <c r="A477" s="5" t="s">
        <v>329</v>
      </c>
      <c r="B477" s="5" t="s">
        <v>51</v>
      </c>
      <c r="C477" s="5" t="s">
        <v>35</v>
      </c>
      <c r="D477" s="5" t="s">
        <v>3</v>
      </c>
      <c r="E477" s="6">
        <v>39441</v>
      </c>
      <c r="F477" s="5" t="s">
        <v>25</v>
      </c>
      <c r="G477" s="10">
        <v>68860</v>
      </c>
      <c r="H477" s="7">
        <v>2</v>
      </c>
      <c r="I477" s="12">
        <f>IF(OR(Table24[[#This Row],[Rating]]=4,Table24[[#This Row],[Rating]]=5), 0.05*Table24[[#This Row],[Salary]],0)</f>
        <v>0</v>
      </c>
      <c r="J477" s="14">
        <f>VLOOKUP(Table24[[#This Row],[Salary]],'Tax rates'!A$2:C$8, 2) + VLOOKUP(Table24[[#This Row],[Salary]],'Tax rates'!A$2:C$8, 3) * (Table24[[#This Row],[Salary]] - VLOOKUP(Table24[[#This Row],[Salary]],'Tax rates'!A$2:C$8,1))</f>
        <v>11088.7</v>
      </c>
      <c r="K477" s="35">
        <f>Table24[[#This Row],[Salary]]-Table24[[#This Row],[Taxes]]</f>
        <v>57771.3</v>
      </c>
    </row>
    <row r="478" spans="1:11" x14ac:dyDescent="0.25">
      <c r="A478" s="5" t="s">
        <v>777</v>
      </c>
      <c r="B478" s="5" t="s">
        <v>51</v>
      </c>
      <c r="C478" s="5" t="s">
        <v>35</v>
      </c>
      <c r="D478" s="5" t="s">
        <v>24</v>
      </c>
      <c r="E478" s="6">
        <v>39535</v>
      </c>
      <c r="F478" s="5" t="s">
        <v>9</v>
      </c>
      <c r="G478" s="10">
        <v>49080</v>
      </c>
      <c r="H478" s="7">
        <v>5</v>
      </c>
      <c r="I478" s="12">
        <f>IF(OR(Table24[[#This Row],[Rating]]=4,Table24[[#This Row],[Rating]]=5), 0.05*Table24[[#This Row],[Salary]],0)</f>
        <v>2454</v>
      </c>
      <c r="J478" s="14">
        <f>VLOOKUP(Table24[[#This Row],[Salary]],'Tax rates'!A$2:C$8, 2) + VLOOKUP(Table24[[#This Row],[Salary]],'Tax rates'!A$2:C$8, 3) * (Table24[[#This Row],[Salary]] - VLOOKUP(Table24[[#This Row],[Salary]],'Tax rates'!A$2:C$8,1))</f>
        <v>6737.1</v>
      </c>
      <c r="K478" s="35">
        <f>Table24[[#This Row],[Salary]]-Table24[[#This Row],[Taxes]]</f>
        <v>42342.9</v>
      </c>
    </row>
    <row r="479" spans="1:11" x14ac:dyDescent="0.25">
      <c r="A479" s="5" t="s">
        <v>275</v>
      </c>
      <c r="B479" s="5" t="s">
        <v>51</v>
      </c>
      <c r="C479" s="5" t="s">
        <v>35</v>
      </c>
      <c r="D479" s="5" t="s">
        <v>3</v>
      </c>
      <c r="E479" s="6">
        <v>39091</v>
      </c>
      <c r="F479" s="5" t="s">
        <v>11</v>
      </c>
      <c r="G479" s="10">
        <v>46410</v>
      </c>
      <c r="H479" s="7">
        <v>2</v>
      </c>
      <c r="I479" s="12">
        <f>IF(OR(Table24[[#This Row],[Rating]]=4,Table24[[#This Row],[Rating]]=5), 0.05*Table24[[#This Row],[Salary]],0)</f>
        <v>0</v>
      </c>
      <c r="J479" s="14">
        <f>VLOOKUP(Table24[[#This Row],[Salary]],'Tax rates'!A$2:C$8, 2) + VLOOKUP(Table24[[#This Row],[Salary]],'Tax rates'!A$2:C$8, 3) * (Table24[[#This Row],[Salary]] - VLOOKUP(Table24[[#This Row],[Salary]],'Tax rates'!A$2:C$8,1))</f>
        <v>6149.7</v>
      </c>
      <c r="K479" s="35">
        <f>Table24[[#This Row],[Salary]]-Table24[[#This Row],[Taxes]]</f>
        <v>40260.300000000003</v>
      </c>
    </row>
    <row r="480" spans="1:11" x14ac:dyDescent="0.25">
      <c r="A480" s="5" t="s">
        <v>185</v>
      </c>
      <c r="B480" s="5" t="s">
        <v>51</v>
      </c>
      <c r="C480" s="5" t="s">
        <v>35</v>
      </c>
      <c r="D480" s="5" t="s">
        <v>24</v>
      </c>
      <c r="E480" s="6">
        <v>36053</v>
      </c>
      <c r="F480" s="5" t="s">
        <v>9</v>
      </c>
      <c r="G480" s="10">
        <v>46105</v>
      </c>
      <c r="H480" s="7">
        <v>5</v>
      </c>
      <c r="I480" s="12">
        <f>IF(OR(Table24[[#This Row],[Rating]]=4,Table24[[#This Row],[Rating]]=5), 0.05*Table24[[#This Row],[Salary]],0)</f>
        <v>2305.25</v>
      </c>
      <c r="J480" s="14">
        <f>VLOOKUP(Table24[[#This Row],[Salary]],'Tax rates'!A$2:C$8, 2) + VLOOKUP(Table24[[#This Row],[Salary]],'Tax rates'!A$2:C$8, 3) * (Table24[[#This Row],[Salary]] - VLOOKUP(Table24[[#This Row],[Salary]],'Tax rates'!A$2:C$8,1))</f>
        <v>6082.6</v>
      </c>
      <c r="K480" s="35">
        <f>Table24[[#This Row],[Salary]]-Table24[[#This Row],[Taxes]]</f>
        <v>40022.400000000001</v>
      </c>
    </row>
    <row r="481" spans="1:11" x14ac:dyDescent="0.25">
      <c r="A481" s="5" t="s">
        <v>512</v>
      </c>
      <c r="B481" s="5" t="s">
        <v>51</v>
      </c>
      <c r="C481" s="5" t="s">
        <v>35</v>
      </c>
      <c r="D481" s="5" t="s">
        <v>16</v>
      </c>
      <c r="E481" s="6">
        <v>40393</v>
      </c>
      <c r="F481" s="7"/>
      <c r="G481" s="10">
        <v>41770</v>
      </c>
      <c r="H481" s="7">
        <v>5</v>
      </c>
      <c r="I481" s="12">
        <f>IF(OR(Table24[[#This Row],[Rating]]=4,Table24[[#This Row],[Rating]]=5), 0.05*Table24[[#This Row],[Salary]],0)</f>
        <v>2088.5</v>
      </c>
      <c r="J481" s="14">
        <f>VLOOKUP(Table24[[#This Row],[Salary]],'Tax rates'!A$2:C$8, 2) + VLOOKUP(Table24[[#This Row],[Salary]],'Tax rates'!A$2:C$8, 3) * (Table24[[#This Row],[Salary]] - VLOOKUP(Table24[[#This Row],[Salary]],'Tax rates'!A$2:C$8,1))</f>
        <v>5128.8999999999996</v>
      </c>
      <c r="K481" s="35">
        <f>Table24[[#This Row],[Salary]]-Table24[[#This Row],[Taxes]]</f>
        <v>36641.1</v>
      </c>
    </row>
    <row r="482" spans="1:11" x14ac:dyDescent="0.25">
      <c r="A482" s="5" t="s">
        <v>86</v>
      </c>
      <c r="B482" s="5" t="s">
        <v>51</v>
      </c>
      <c r="C482" s="5" t="s">
        <v>35</v>
      </c>
      <c r="D482" s="5" t="s">
        <v>16</v>
      </c>
      <c r="E482" s="6">
        <v>39272</v>
      </c>
      <c r="F482" s="7"/>
      <c r="G482" s="10">
        <v>35240</v>
      </c>
      <c r="H482" s="7">
        <v>3</v>
      </c>
      <c r="I482" s="12">
        <f>IF(OR(Table24[[#This Row],[Rating]]=4,Table24[[#This Row],[Rating]]=5), 0.05*Table24[[#This Row],[Salary]],0)</f>
        <v>0</v>
      </c>
      <c r="J482" s="14">
        <f>VLOOKUP(Table24[[#This Row],[Salary]],'Tax rates'!A$2:C$8, 2) + VLOOKUP(Table24[[#This Row],[Salary]],'Tax rates'!A$2:C$8, 3) * (Table24[[#This Row],[Salary]] - VLOOKUP(Table24[[#This Row],[Salary]],'Tax rates'!A$2:C$8,1))</f>
        <v>4038.2999999999997</v>
      </c>
      <c r="K482" s="35">
        <f>Table24[[#This Row],[Salary]]-Table24[[#This Row],[Taxes]]</f>
        <v>31201.7</v>
      </c>
    </row>
    <row r="483" spans="1:11" x14ac:dyDescent="0.25">
      <c r="A483" s="5" t="s">
        <v>339</v>
      </c>
      <c r="B483" s="5" t="s">
        <v>51</v>
      </c>
      <c r="C483" s="5" t="s">
        <v>35</v>
      </c>
      <c r="D483" s="5" t="s">
        <v>16</v>
      </c>
      <c r="E483" s="6">
        <v>39534</v>
      </c>
      <c r="F483" s="7"/>
      <c r="G483" s="10">
        <v>32880</v>
      </c>
      <c r="H483" s="7">
        <v>3</v>
      </c>
      <c r="I483" s="12">
        <f>IF(OR(Table24[[#This Row],[Rating]]=4,Table24[[#This Row],[Rating]]=5), 0.05*Table24[[#This Row],[Salary]],0)</f>
        <v>0</v>
      </c>
      <c r="J483" s="14">
        <f>VLOOKUP(Table24[[#This Row],[Salary]],'Tax rates'!A$2:C$8, 2) + VLOOKUP(Table24[[#This Row],[Salary]],'Tax rates'!A$2:C$8, 3) * (Table24[[#This Row],[Salary]] - VLOOKUP(Table24[[#This Row],[Salary]],'Tax rates'!A$2:C$8,1))</f>
        <v>3755.1</v>
      </c>
      <c r="K483" s="35">
        <f>Table24[[#This Row],[Salary]]-Table24[[#This Row],[Taxes]]</f>
        <v>29124.9</v>
      </c>
    </row>
    <row r="484" spans="1:11" x14ac:dyDescent="0.25">
      <c r="A484" s="5" t="s">
        <v>535</v>
      </c>
      <c r="B484" s="5" t="s">
        <v>51</v>
      </c>
      <c r="C484" s="5" t="s">
        <v>35</v>
      </c>
      <c r="D484" s="5" t="s">
        <v>16</v>
      </c>
      <c r="E484" s="6">
        <v>40718</v>
      </c>
      <c r="F484" s="7"/>
      <c r="G484" s="10">
        <v>26020</v>
      </c>
      <c r="H484" s="7">
        <v>5</v>
      </c>
      <c r="I484" s="12">
        <f>IF(OR(Table24[[#This Row],[Rating]]=4,Table24[[#This Row],[Rating]]=5), 0.05*Table24[[#This Row],[Salary]],0)</f>
        <v>1301</v>
      </c>
      <c r="J484" s="14">
        <f>VLOOKUP(Table24[[#This Row],[Salary]],'Tax rates'!A$2:C$8, 2) + VLOOKUP(Table24[[#This Row],[Salary]],'Tax rates'!A$2:C$8, 3) * (Table24[[#This Row],[Salary]] - VLOOKUP(Table24[[#This Row],[Salary]],'Tax rates'!A$2:C$8,1))</f>
        <v>2931.8999999999996</v>
      </c>
      <c r="K484" s="35">
        <f>Table24[[#This Row],[Salary]]-Table24[[#This Row],[Taxes]]</f>
        <v>23088.1</v>
      </c>
    </row>
    <row r="485" spans="1:11" x14ac:dyDescent="0.25">
      <c r="A485" s="5" t="s">
        <v>517</v>
      </c>
      <c r="B485" s="5" t="s">
        <v>51</v>
      </c>
      <c r="C485" s="5" t="s">
        <v>35</v>
      </c>
      <c r="D485" s="5" t="s">
        <v>3</v>
      </c>
      <c r="E485" s="6">
        <v>39171</v>
      </c>
      <c r="F485" s="5" t="s">
        <v>21</v>
      </c>
      <c r="G485" s="10">
        <v>25690</v>
      </c>
      <c r="H485" s="7">
        <v>2</v>
      </c>
      <c r="I485" s="12">
        <f>IF(OR(Table24[[#This Row],[Rating]]=4,Table24[[#This Row],[Rating]]=5), 0.05*Table24[[#This Row],[Salary]],0)</f>
        <v>0</v>
      </c>
      <c r="J485" s="14">
        <f>VLOOKUP(Table24[[#This Row],[Salary]],'Tax rates'!A$2:C$8, 2) + VLOOKUP(Table24[[#This Row],[Salary]],'Tax rates'!A$2:C$8, 3) * (Table24[[#This Row],[Salary]] - VLOOKUP(Table24[[#This Row],[Salary]],'Tax rates'!A$2:C$8,1))</f>
        <v>2892.3</v>
      </c>
      <c r="K485" s="35">
        <f>Table24[[#This Row],[Salary]]-Table24[[#This Row],[Taxes]]</f>
        <v>22797.7</v>
      </c>
    </row>
    <row r="486" spans="1:11" x14ac:dyDescent="0.25">
      <c r="A486" s="5" t="s">
        <v>604</v>
      </c>
      <c r="B486" s="5" t="s">
        <v>51</v>
      </c>
      <c r="C486" s="5" t="s">
        <v>35</v>
      </c>
      <c r="D486" s="5" t="s">
        <v>3</v>
      </c>
      <c r="E486" s="6">
        <v>39679</v>
      </c>
      <c r="F486" s="5" t="s">
        <v>4</v>
      </c>
      <c r="G486" s="10">
        <v>22820</v>
      </c>
      <c r="H486" s="7">
        <v>5</v>
      </c>
      <c r="I486" s="12">
        <f>IF(OR(Table24[[#This Row],[Rating]]=4,Table24[[#This Row],[Rating]]=5), 0.05*Table24[[#This Row],[Salary]],0)</f>
        <v>1141</v>
      </c>
      <c r="J486" s="14">
        <f>VLOOKUP(Table24[[#This Row],[Salary]],'Tax rates'!A$2:C$8, 2) + VLOOKUP(Table24[[#This Row],[Salary]],'Tax rates'!A$2:C$8, 3) * (Table24[[#This Row],[Salary]] - VLOOKUP(Table24[[#This Row],[Salary]],'Tax rates'!A$2:C$8,1))</f>
        <v>2547.8999999999996</v>
      </c>
      <c r="K486" s="35">
        <f>Table24[[#This Row],[Salary]]-Table24[[#This Row],[Taxes]]</f>
        <v>20272.099999999999</v>
      </c>
    </row>
    <row r="487" spans="1:11" x14ac:dyDescent="0.25">
      <c r="A487" s="5" t="s">
        <v>114</v>
      </c>
      <c r="B487" s="5" t="s">
        <v>51</v>
      </c>
      <c r="C487" s="5" t="s">
        <v>37</v>
      </c>
      <c r="D487" s="5" t="s">
        <v>3</v>
      </c>
      <c r="E487" s="6">
        <v>40533</v>
      </c>
      <c r="F487" s="5" t="s">
        <v>9</v>
      </c>
      <c r="G487" s="10">
        <v>62180</v>
      </c>
      <c r="H487" s="7">
        <v>2</v>
      </c>
      <c r="I487" s="12">
        <f>IF(OR(Table24[[#This Row],[Rating]]=4,Table24[[#This Row],[Rating]]=5), 0.05*Table24[[#This Row],[Salary]],0)</f>
        <v>0</v>
      </c>
      <c r="J487" s="14">
        <f>VLOOKUP(Table24[[#This Row],[Salary]],'Tax rates'!A$2:C$8, 2) + VLOOKUP(Table24[[#This Row],[Salary]],'Tax rates'!A$2:C$8, 3) * (Table24[[#This Row],[Salary]] - VLOOKUP(Table24[[#This Row],[Salary]],'Tax rates'!A$2:C$8,1))</f>
        <v>9619.1</v>
      </c>
      <c r="K487" s="35">
        <f>Table24[[#This Row],[Salary]]-Table24[[#This Row],[Taxes]]</f>
        <v>52560.9</v>
      </c>
    </row>
    <row r="488" spans="1:11" x14ac:dyDescent="0.25">
      <c r="A488" s="5" t="s">
        <v>95</v>
      </c>
      <c r="B488" s="5" t="s">
        <v>51</v>
      </c>
      <c r="C488" s="5" t="s">
        <v>37</v>
      </c>
      <c r="D488" s="5" t="s">
        <v>24</v>
      </c>
      <c r="E488" s="6">
        <v>40263</v>
      </c>
      <c r="F488" s="5" t="s">
        <v>4</v>
      </c>
      <c r="G488" s="10">
        <v>49405</v>
      </c>
      <c r="H488" s="7">
        <v>4</v>
      </c>
      <c r="I488" s="12">
        <f>IF(OR(Table24[[#This Row],[Rating]]=4,Table24[[#This Row],[Rating]]=5), 0.05*Table24[[#This Row],[Salary]],0)</f>
        <v>2470.25</v>
      </c>
      <c r="J488" s="14">
        <f>VLOOKUP(Table24[[#This Row],[Salary]],'Tax rates'!A$2:C$8, 2) + VLOOKUP(Table24[[#This Row],[Salary]],'Tax rates'!A$2:C$8, 3) * (Table24[[#This Row],[Salary]] - VLOOKUP(Table24[[#This Row],[Salary]],'Tax rates'!A$2:C$8,1))</f>
        <v>6808.6</v>
      </c>
      <c r="K488" s="35">
        <f>Table24[[#This Row],[Salary]]-Table24[[#This Row],[Taxes]]</f>
        <v>42596.4</v>
      </c>
    </row>
    <row r="489" spans="1:11" x14ac:dyDescent="0.25">
      <c r="A489" s="5" t="s">
        <v>391</v>
      </c>
      <c r="B489" s="5" t="s">
        <v>51</v>
      </c>
      <c r="C489" s="5" t="s">
        <v>37</v>
      </c>
      <c r="D489" s="5" t="s">
        <v>3</v>
      </c>
      <c r="E489" s="6">
        <v>36567</v>
      </c>
      <c r="F489" s="5" t="s">
        <v>9</v>
      </c>
      <c r="G489" s="10">
        <v>45450</v>
      </c>
      <c r="H489" s="7">
        <v>5</v>
      </c>
      <c r="I489" s="12">
        <f>IF(OR(Table24[[#This Row],[Rating]]=4,Table24[[#This Row],[Rating]]=5), 0.05*Table24[[#This Row],[Salary]],0)</f>
        <v>2272.5</v>
      </c>
      <c r="J489" s="14">
        <f>VLOOKUP(Table24[[#This Row],[Salary]],'Tax rates'!A$2:C$8, 2) + VLOOKUP(Table24[[#This Row],[Salary]],'Tax rates'!A$2:C$8, 3) * (Table24[[#This Row],[Salary]] - VLOOKUP(Table24[[#This Row],[Salary]],'Tax rates'!A$2:C$8,1))</f>
        <v>5938.5</v>
      </c>
      <c r="K489" s="35">
        <f>Table24[[#This Row],[Salary]]-Table24[[#This Row],[Taxes]]</f>
        <v>39511.5</v>
      </c>
    </row>
    <row r="490" spans="1:11" x14ac:dyDescent="0.25">
      <c r="A490" s="5" t="s">
        <v>454</v>
      </c>
      <c r="B490" s="5" t="s">
        <v>51</v>
      </c>
      <c r="C490" s="5" t="s">
        <v>37</v>
      </c>
      <c r="D490" s="5" t="s">
        <v>3</v>
      </c>
      <c r="E490" s="6">
        <v>40922</v>
      </c>
      <c r="F490" s="5" t="s">
        <v>4</v>
      </c>
      <c r="G490" s="10">
        <v>39110</v>
      </c>
      <c r="H490" s="7">
        <v>5</v>
      </c>
      <c r="I490" s="12">
        <f>IF(OR(Table24[[#This Row],[Rating]]=4,Table24[[#This Row],[Rating]]=5), 0.05*Table24[[#This Row],[Salary]],0)</f>
        <v>1955.5</v>
      </c>
      <c r="J490" s="14">
        <f>VLOOKUP(Table24[[#This Row],[Salary]],'Tax rates'!A$2:C$8, 2) + VLOOKUP(Table24[[#This Row],[Salary]],'Tax rates'!A$2:C$8, 3) * (Table24[[#This Row],[Salary]] - VLOOKUP(Table24[[#This Row],[Salary]],'Tax rates'!A$2:C$8,1))</f>
        <v>4543.7</v>
      </c>
      <c r="K490" s="35">
        <f>Table24[[#This Row],[Salary]]-Table24[[#This Row],[Taxes]]</f>
        <v>34566.300000000003</v>
      </c>
    </row>
    <row r="491" spans="1:11" x14ac:dyDescent="0.25">
      <c r="A491" s="5" t="s">
        <v>566</v>
      </c>
      <c r="B491" s="5" t="s">
        <v>51</v>
      </c>
      <c r="C491" s="5" t="s">
        <v>106</v>
      </c>
      <c r="D491" s="5" t="s">
        <v>3</v>
      </c>
      <c r="E491" s="6">
        <v>39029</v>
      </c>
      <c r="F491" s="5" t="s">
        <v>11</v>
      </c>
      <c r="G491" s="10">
        <v>85300</v>
      </c>
      <c r="H491" s="7">
        <v>2</v>
      </c>
      <c r="I491" s="12">
        <f>IF(OR(Table24[[#This Row],[Rating]]=4,Table24[[#This Row],[Rating]]=5), 0.05*Table24[[#This Row],[Salary]],0)</f>
        <v>0</v>
      </c>
      <c r="J491" s="14">
        <f>VLOOKUP(Table24[[#This Row],[Salary]],'Tax rates'!A$2:C$8, 2) + VLOOKUP(Table24[[#This Row],[Salary]],'Tax rates'!A$2:C$8, 3) * (Table24[[#This Row],[Salary]] - VLOOKUP(Table24[[#This Row],[Salary]],'Tax rates'!A$2:C$8,1))</f>
        <v>14761.5</v>
      </c>
      <c r="K491" s="35">
        <f>Table24[[#This Row],[Salary]]-Table24[[#This Row],[Taxes]]</f>
        <v>70538.5</v>
      </c>
    </row>
    <row r="492" spans="1:11" x14ac:dyDescent="0.25">
      <c r="A492" s="5" t="s">
        <v>348</v>
      </c>
      <c r="B492" s="5" t="s">
        <v>51</v>
      </c>
      <c r="C492" s="5" t="s">
        <v>106</v>
      </c>
      <c r="D492" s="5" t="s">
        <v>32</v>
      </c>
      <c r="E492" s="6">
        <v>40787</v>
      </c>
      <c r="F492" s="5" t="s">
        <v>4</v>
      </c>
      <c r="G492" s="10">
        <v>29070</v>
      </c>
      <c r="H492" s="7">
        <v>3</v>
      </c>
      <c r="I492" s="12">
        <f>IF(OR(Table24[[#This Row],[Rating]]=4,Table24[[#This Row],[Rating]]=5), 0.05*Table24[[#This Row],[Salary]],0)</f>
        <v>0</v>
      </c>
      <c r="J492" s="14">
        <f>VLOOKUP(Table24[[#This Row],[Salary]],'Tax rates'!A$2:C$8, 2) + VLOOKUP(Table24[[#This Row],[Salary]],'Tax rates'!A$2:C$8, 3) * (Table24[[#This Row],[Salary]] - VLOOKUP(Table24[[#This Row],[Salary]],'Tax rates'!A$2:C$8,1))</f>
        <v>3297.9</v>
      </c>
      <c r="K492" s="35">
        <f>Table24[[#This Row],[Salary]]-Table24[[#This Row],[Taxes]]</f>
        <v>25772.1</v>
      </c>
    </row>
    <row r="493" spans="1:11" x14ac:dyDescent="0.25">
      <c r="A493" s="5" t="s">
        <v>376</v>
      </c>
      <c r="B493" s="5" t="s">
        <v>27</v>
      </c>
      <c r="C493" s="5" t="s">
        <v>30</v>
      </c>
      <c r="D493" s="5" t="s">
        <v>3</v>
      </c>
      <c r="E493" s="6">
        <v>35918</v>
      </c>
      <c r="F493" s="5" t="s">
        <v>25</v>
      </c>
      <c r="G493" s="10">
        <v>73740</v>
      </c>
      <c r="H493" s="7">
        <v>4</v>
      </c>
      <c r="I493" s="12">
        <f>IF(OR(Table24[[#This Row],[Rating]]=4,Table24[[#This Row],[Rating]]=5), 0.05*Table24[[#This Row],[Salary]],0)</f>
        <v>3687</v>
      </c>
      <c r="J493" s="14">
        <f>VLOOKUP(Table24[[#This Row],[Salary]],'Tax rates'!A$2:C$8, 2) + VLOOKUP(Table24[[#This Row],[Salary]],'Tax rates'!A$2:C$8, 3) * (Table24[[#This Row],[Salary]] - VLOOKUP(Table24[[#This Row],[Salary]],'Tax rates'!A$2:C$8,1))</f>
        <v>12162.3</v>
      </c>
      <c r="K493" s="35">
        <f>Table24[[#This Row],[Salary]]-Table24[[#This Row],[Taxes]]</f>
        <v>61577.7</v>
      </c>
    </row>
    <row r="494" spans="1:11" x14ac:dyDescent="0.25">
      <c r="A494" s="5" t="s">
        <v>643</v>
      </c>
      <c r="B494" s="5" t="s">
        <v>27</v>
      </c>
      <c r="C494" s="5" t="s">
        <v>30</v>
      </c>
      <c r="D494" s="5" t="s">
        <v>24</v>
      </c>
      <c r="E494" s="6">
        <v>40254</v>
      </c>
      <c r="F494" s="5" t="s">
        <v>11</v>
      </c>
      <c r="G494" s="10">
        <v>48700</v>
      </c>
      <c r="H494" s="7">
        <v>3</v>
      </c>
      <c r="I494" s="12">
        <f>IF(OR(Table24[[#This Row],[Rating]]=4,Table24[[#This Row],[Rating]]=5), 0.05*Table24[[#This Row],[Salary]],0)</f>
        <v>0</v>
      </c>
      <c r="J494" s="14">
        <f>VLOOKUP(Table24[[#This Row],[Salary]],'Tax rates'!A$2:C$8, 2) + VLOOKUP(Table24[[#This Row],[Salary]],'Tax rates'!A$2:C$8, 3) * (Table24[[#This Row],[Salary]] - VLOOKUP(Table24[[#This Row],[Salary]],'Tax rates'!A$2:C$8,1))</f>
        <v>6653.5</v>
      </c>
      <c r="K494" s="35">
        <f>Table24[[#This Row],[Salary]]-Table24[[#This Row],[Taxes]]</f>
        <v>42046.5</v>
      </c>
    </row>
    <row r="495" spans="1:11" x14ac:dyDescent="0.25">
      <c r="A495" s="5" t="s">
        <v>211</v>
      </c>
      <c r="B495" s="5" t="s">
        <v>27</v>
      </c>
      <c r="C495" s="5" t="s">
        <v>30</v>
      </c>
      <c r="D495" s="5" t="s">
        <v>3</v>
      </c>
      <c r="E495" s="6">
        <v>36136</v>
      </c>
      <c r="F495" s="5" t="s">
        <v>11</v>
      </c>
      <c r="G495" s="10">
        <v>45000</v>
      </c>
      <c r="H495" s="7">
        <v>4</v>
      </c>
      <c r="I495" s="12">
        <f>IF(OR(Table24[[#This Row],[Rating]]=4,Table24[[#This Row],[Rating]]=5), 0.05*Table24[[#This Row],[Salary]],0)</f>
        <v>2250</v>
      </c>
      <c r="J495" s="14">
        <f>VLOOKUP(Table24[[#This Row],[Salary]],'Tax rates'!A$2:C$8, 2) + VLOOKUP(Table24[[#This Row],[Salary]],'Tax rates'!A$2:C$8, 3) * (Table24[[#This Row],[Salary]] - VLOOKUP(Table24[[#This Row],[Salary]],'Tax rates'!A$2:C$8,1))</f>
        <v>5839.5</v>
      </c>
      <c r="K495" s="35">
        <f>Table24[[#This Row],[Salary]]-Table24[[#This Row],[Taxes]]</f>
        <v>39160.5</v>
      </c>
    </row>
    <row r="496" spans="1:11" x14ac:dyDescent="0.25">
      <c r="A496" s="5" t="s">
        <v>146</v>
      </c>
      <c r="B496" s="5" t="s">
        <v>27</v>
      </c>
      <c r="C496" s="5" t="s">
        <v>30</v>
      </c>
      <c r="D496" s="5" t="s">
        <v>16</v>
      </c>
      <c r="E496" s="6">
        <v>38986</v>
      </c>
      <c r="F496" s="7"/>
      <c r="G496" s="10">
        <v>36230</v>
      </c>
      <c r="H496" s="7">
        <v>2</v>
      </c>
      <c r="I496" s="12">
        <f>IF(OR(Table24[[#This Row],[Rating]]=4,Table24[[#This Row],[Rating]]=5), 0.05*Table24[[#This Row],[Salary]],0)</f>
        <v>0</v>
      </c>
      <c r="J496" s="14">
        <f>VLOOKUP(Table24[[#This Row],[Salary]],'Tax rates'!A$2:C$8, 2) + VLOOKUP(Table24[[#This Row],[Salary]],'Tax rates'!A$2:C$8, 3) * (Table24[[#This Row],[Salary]] - VLOOKUP(Table24[[#This Row],[Salary]],'Tax rates'!A$2:C$8,1))</f>
        <v>4157.1000000000004</v>
      </c>
      <c r="K496" s="35">
        <f>Table24[[#This Row],[Salary]]-Table24[[#This Row],[Taxes]]</f>
        <v>32072.9</v>
      </c>
    </row>
    <row r="497" spans="1:11" x14ac:dyDescent="0.25">
      <c r="A497" s="5" t="s">
        <v>216</v>
      </c>
      <c r="B497" s="5" t="s">
        <v>27</v>
      </c>
      <c r="C497" s="5" t="s">
        <v>197</v>
      </c>
      <c r="D497" s="5" t="s">
        <v>32</v>
      </c>
      <c r="E497" s="6">
        <v>41151</v>
      </c>
      <c r="F497" s="7"/>
      <c r="G497" s="10">
        <v>35680</v>
      </c>
      <c r="H497" s="7">
        <v>2</v>
      </c>
      <c r="I497" s="12">
        <f>IF(OR(Table24[[#This Row],[Rating]]=4,Table24[[#This Row],[Rating]]=5), 0.05*Table24[[#This Row],[Salary]],0)</f>
        <v>0</v>
      </c>
      <c r="J497" s="14">
        <f>VLOOKUP(Table24[[#This Row],[Salary]],'Tax rates'!A$2:C$8, 2) + VLOOKUP(Table24[[#This Row],[Salary]],'Tax rates'!A$2:C$8, 3) * (Table24[[#This Row],[Salary]] - VLOOKUP(Table24[[#This Row],[Salary]],'Tax rates'!A$2:C$8,1))</f>
        <v>4091.1</v>
      </c>
      <c r="K497" s="35">
        <f>Table24[[#This Row],[Salary]]-Table24[[#This Row],[Taxes]]</f>
        <v>31588.9</v>
      </c>
    </row>
    <row r="498" spans="1:11" x14ac:dyDescent="0.25">
      <c r="A498" s="5" t="s">
        <v>47</v>
      </c>
      <c r="B498" s="5" t="s">
        <v>27</v>
      </c>
      <c r="C498" s="5" t="s">
        <v>20</v>
      </c>
      <c r="D498" s="5" t="s">
        <v>16</v>
      </c>
      <c r="E498" s="6">
        <v>40550</v>
      </c>
      <c r="F498" s="7"/>
      <c r="G498" s="10">
        <v>80050</v>
      </c>
      <c r="H498" s="7">
        <v>2</v>
      </c>
      <c r="I498" s="12">
        <f>IF(OR(Table24[[#This Row],[Rating]]=4,Table24[[#This Row],[Rating]]=5), 0.05*Table24[[#This Row],[Salary]],0)</f>
        <v>0</v>
      </c>
      <c r="J498" s="14">
        <f>VLOOKUP(Table24[[#This Row],[Salary]],'Tax rates'!A$2:C$8, 2) + VLOOKUP(Table24[[#This Row],[Salary]],'Tax rates'!A$2:C$8, 3) * (Table24[[#This Row],[Salary]] - VLOOKUP(Table24[[#This Row],[Salary]],'Tax rates'!A$2:C$8,1))</f>
        <v>13550.5</v>
      </c>
      <c r="K498" s="35">
        <f>Table24[[#This Row],[Salary]]-Table24[[#This Row],[Taxes]]</f>
        <v>66499.5</v>
      </c>
    </row>
    <row r="499" spans="1:11" x14ac:dyDescent="0.25">
      <c r="A499" s="5" t="s">
        <v>452</v>
      </c>
      <c r="B499" s="5" t="s">
        <v>27</v>
      </c>
      <c r="C499" s="5" t="s">
        <v>20</v>
      </c>
      <c r="D499" s="5" t="s">
        <v>16</v>
      </c>
      <c r="E499" s="6">
        <v>36176</v>
      </c>
      <c r="F499" s="7"/>
      <c r="G499" s="10">
        <v>32940</v>
      </c>
      <c r="H499" s="7">
        <v>5</v>
      </c>
      <c r="I499" s="12">
        <f>IF(OR(Table24[[#This Row],[Rating]]=4,Table24[[#This Row],[Rating]]=5), 0.05*Table24[[#This Row],[Salary]],0)</f>
        <v>1647</v>
      </c>
      <c r="J499" s="14">
        <f>VLOOKUP(Table24[[#This Row],[Salary]],'Tax rates'!A$2:C$8, 2) + VLOOKUP(Table24[[#This Row],[Salary]],'Tax rates'!A$2:C$8, 3) * (Table24[[#This Row],[Salary]] - VLOOKUP(Table24[[#This Row],[Salary]],'Tax rates'!A$2:C$8,1))</f>
        <v>3762.2999999999997</v>
      </c>
      <c r="K499" s="35">
        <f>Table24[[#This Row],[Salary]]-Table24[[#This Row],[Taxes]]</f>
        <v>29177.7</v>
      </c>
    </row>
    <row r="500" spans="1:11" x14ac:dyDescent="0.25">
      <c r="A500" s="5" t="s">
        <v>573</v>
      </c>
      <c r="B500" s="5" t="s">
        <v>27</v>
      </c>
      <c r="C500" s="5" t="s">
        <v>73</v>
      </c>
      <c r="D500" s="5" t="s">
        <v>3</v>
      </c>
      <c r="E500" s="6">
        <v>38051</v>
      </c>
      <c r="F500" s="5" t="s">
        <v>4</v>
      </c>
      <c r="G500" s="10">
        <v>30350</v>
      </c>
      <c r="H500" s="7">
        <v>1</v>
      </c>
      <c r="I500" s="12">
        <f>IF(OR(Table24[[#This Row],[Rating]]=4,Table24[[#This Row],[Rating]]=5), 0.05*Table24[[#This Row],[Salary]],0)</f>
        <v>0</v>
      </c>
      <c r="J500" s="14">
        <f>VLOOKUP(Table24[[#This Row],[Salary]],'Tax rates'!A$2:C$8, 2) + VLOOKUP(Table24[[#This Row],[Salary]],'Tax rates'!A$2:C$8, 3) * (Table24[[#This Row],[Salary]] - VLOOKUP(Table24[[#This Row],[Salary]],'Tax rates'!A$2:C$8,1))</f>
        <v>3451.5</v>
      </c>
      <c r="K500" s="35">
        <f>Table24[[#This Row],[Salary]]-Table24[[#This Row],[Taxes]]</f>
        <v>26898.5</v>
      </c>
    </row>
    <row r="501" spans="1:11" x14ac:dyDescent="0.25">
      <c r="A501" s="5" t="s">
        <v>363</v>
      </c>
      <c r="B501" s="5" t="s">
        <v>27</v>
      </c>
      <c r="C501" s="5" t="s">
        <v>75</v>
      </c>
      <c r="D501" s="5" t="s">
        <v>3</v>
      </c>
      <c r="E501" s="6">
        <v>40310</v>
      </c>
      <c r="F501" s="5" t="s">
        <v>9</v>
      </c>
      <c r="G501" s="10">
        <v>82120</v>
      </c>
      <c r="H501" s="7">
        <v>5</v>
      </c>
      <c r="I501" s="12">
        <f>IF(OR(Table24[[#This Row],[Rating]]=4,Table24[[#This Row],[Rating]]=5), 0.05*Table24[[#This Row],[Salary]],0)</f>
        <v>4106</v>
      </c>
      <c r="J501" s="14">
        <f>VLOOKUP(Table24[[#This Row],[Salary]],'Tax rates'!A$2:C$8, 2) + VLOOKUP(Table24[[#This Row],[Salary]],'Tax rates'!A$2:C$8, 3) * (Table24[[#This Row],[Salary]] - VLOOKUP(Table24[[#This Row],[Salary]],'Tax rates'!A$2:C$8,1))</f>
        <v>14005.9</v>
      </c>
      <c r="K501" s="35">
        <f>Table24[[#This Row],[Salary]]-Table24[[#This Row],[Taxes]]</f>
        <v>68114.100000000006</v>
      </c>
    </row>
    <row r="502" spans="1:11" x14ac:dyDescent="0.25">
      <c r="A502" s="5" t="s">
        <v>733</v>
      </c>
      <c r="B502" s="5" t="s">
        <v>27</v>
      </c>
      <c r="C502" s="5" t="s">
        <v>75</v>
      </c>
      <c r="D502" s="5" t="s">
        <v>3</v>
      </c>
      <c r="E502" s="6">
        <v>40575</v>
      </c>
      <c r="F502" s="5" t="s">
        <v>9</v>
      </c>
      <c r="G502" s="10">
        <v>74710</v>
      </c>
      <c r="H502" s="7">
        <v>2</v>
      </c>
      <c r="I502" s="12">
        <f>IF(OR(Table24[[#This Row],[Rating]]=4,Table24[[#This Row],[Rating]]=5), 0.05*Table24[[#This Row],[Salary]],0)</f>
        <v>0</v>
      </c>
      <c r="J502" s="14">
        <f>VLOOKUP(Table24[[#This Row],[Salary]],'Tax rates'!A$2:C$8, 2) + VLOOKUP(Table24[[#This Row],[Salary]],'Tax rates'!A$2:C$8, 3) * (Table24[[#This Row],[Salary]] - VLOOKUP(Table24[[#This Row],[Salary]],'Tax rates'!A$2:C$8,1))</f>
        <v>12375.7</v>
      </c>
      <c r="K502" s="35">
        <f>Table24[[#This Row],[Salary]]-Table24[[#This Row],[Taxes]]</f>
        <v>62334.3</v>
      </c>
    </row>
    <row r="503" spans="1:11" x14ac:dyDescent="0.25">
      <c r="A503" s="5" t="s">
        <v>569</v>
      </c>
      <c r="B503" s="5" t="s">
        <v>27</v>
      </c>
      <c r="C503" s="5" t="s">
        <v>75</v>
      </c>
      <c r="D503" s="5" t="s">
        <v>16</v>
      </c>
      <c r="E503" s="6">
        <v>40983</v>
      </c>
      <c r="F503" s="7"/>
      <c r="G503" s="10">
        <v>64460</v>
      </c>
      <c r="H503" s="7">
        <v>1</v>
      </c>
      <c r="I503" s="12">
        <f>IF(OR(Table24[[#This Row],[Rating]]=4,Table24[[#This Row],[Rating]]=5), 0.05*Table24[[#This Row],[Salary]],0)</f>
        <v>0</v>
      </c>
      <c r="J503" s="14">
        <f>VLOOKUP(Table24[[#This Row],[Salary]],'Tax rates'!A$2:C$8, 2) + VLOOKUP(Table24[[#This Row],[Salary]],'Tax rates'!A$2:C$8, 3) * (Table24[[#This Row],[Salary]] - VLOOKUP(Table24[[#This Row],[Salary]],'Tax rates'!A$2:C$8,1))</f>
        <v>10120.700000000001</v>
      </c>
      <c r="K503" s="35">
        <f>Table24[[#This Row],[Salary]]-Table24[[#This Row],[Taxes]]</f>
        <v>54339.3</v>
      </c>
    </row>
    <row r="504" spans="1:11" x14ac:dyDescent="0.25">
      <c r="A504" s="5" t="s">
        <v>165</v>
      </c>
      <c r="B504" s="5" t="s">
        <v>27</v>
      </c>
      <c r="C504" s="5" t="s">
        <v>166</v>
      </c>
      <c r="D504" s="5" t="s">
        <v>24</v>
      </c>
      <c r="E504" s="6">
        <v>40505</v>
      </c>
      <c r="F504" s="5" t="s">
        <v>11</v>
      </c>
      <c r="G504" s="10">
        <v>46230</v>
      </c>
      <c r="H504" s="7">
        <v>2</v>
      </c>
      <c r="I504" s="12">
        <f>IF(OR(Table24[[#This Row],[Rating]]=4,Table24[[#This Row],[Rating]]=5), 0.05*Table24[[#This Row],[Salary]],0)</f>
        <v>0</v>
      </c>
      <c r="J504" s="14">
        <f>VLOOKUP(Table24[[#This Row],[Salary]],'Tax rates'!A$2:C$8, 2) + VLOOKUP(Table24[[#This Row],[Salary]],'Tax rates'!A$2:C$8, 3) * (Table24[[#This Row],[Salary]] - VLOOKUP(Table24[[#This Row],[Salary]],'Tax rates'!A$2:C$8,1))</f>
        <v>6110.1</v>
      </c>
      <c r="K504" s="35">
        <f>Table24[[#This Row],[Salary]]-Table24[[#This Row],[Taxes]]</f>
        <v>40119.9</v>
      </c>
    </row>
    <row r="505" spans="1:11" x14ac:dyDescent="0.25">
      <c r="A505" s="5" t="s">
        <v>294</v>
      </c>
      <c r="B505" s="5" t="s">
        <v>27</v>
      </c>
      <c r="C505" s="5" t="s">
        <v>23</v>
      </c>
      <c r="D505" s="5" t="s">
        <v>16</v>
      </c>
      <c r="E505" s="6">
        <v>40620</v>
      </c>
      <c r="F505" s="7"/>
      <c r="G505" s="10">
        <v>84300</v>
      </c>
      <c r="H505" s="7">
        <v>1</v>
      </c>
      <c r="I505" s="12">
        <f>IF(OR(Table24[[#This Row],[Rating]]=4,Table24[[#This Row],[Rating]]=5), 0.05*Table24[[#This Row],[Salary]],0)</f>
        <v>0</v>
      </c>
      <c r="J505" s="14">
        <f>VLOOKUP(Table24[[#This Row],[Salary]],'Tax rates'!A$2:C$8, 2) + VLOOKUP(Table24[[#This Row],[Salary]],'Tax rates'!A$2:C$8, 3) * (Table24[[#This Row],[Salary]] - VLOOKUP(Table24[[#This Row],[Salary]],'Tax rates'!A$2:C$8,1))</f>
        <v>14521.5</v>
      </c>
      <c r="K505" s="35">
        <f>Table24[[#This Row],[Salary]]-Table24[[#This Row],[Taxes]]</f>
        <v>69778.5</v>
      </c>
    </row>
    <row r="506" spans="1:11" x14ac:dyDescent="0.25">
      <c r="A506" s="5" t="s">
        <v>77</v>
      </c>
      <c r="B506" s="5" t="s">
        <v>27</v>
      </c>
      <c r="C506" s="5" t="s">
        <v>23</v>
      </c>
      <c r="D506" s="5" t="s">
        <v>3</v>
      </c>
      <c r="E506" s="6">
        <v>40370</v>
      </c>
      <c r="F506" s="5" t="s">
        <v>4</v>
      </c>
      <c r="G506" s="10">
        <v>66840</v>
      </c>
      <c r="H506" s="7">
        <v>4</v>
      </c>
      <c r="I506" s="12">
        <f>IF(OR(Table24[[#This Row],[Rating]]=4,Table24[[#This Row],[Rating]]=5), 0.05*Table24[[#This Row],[Salary]],0)</f>
        <v>3342</v>
      </c>
      <c r="J506" s="14">
        <f>VLOOKUP(Table24[[#This Row],[Salary]],'Tax rates'!A$2:C$8, 2) + VLOOKUP(Table24[[#This Row],[Salary]],'Tax rates'!A$2:C$8, 3) * (Table24[[#This Row],[Salary]] - VLOOKUP(Table24[[#This Row],[Salary]],'Tax rates'!A$2:C$8,1))</f>
        <v>10644.3</v>
      </c>
      <c r="K506" s="35">
        <f>Table24[[#This Row],[Salary]]-Table24[[#This Row],[Taxes]]</f>
        <v>56195.7</v>
      </c>
    </row>
    <row r="507" spans="1:11" x14ac:dyDescent="0.25">
      <c r="A507" s="5" t="s">
        <v>245</v>
      </c>
      <c r="B507" s="5" t="s">
        <v>27</v>
      </c>
      <c r="C507" s="5" t="s">
        <v>23</v>
      </c>
      <c r="D507" s="5" t="s">
        <v>16</v>
      </c>
      <c r="E507" s="6">
        <v>39616</v>
      </c>
      <c r="F507" s="7"/>
      <c r="G507" s="10">
        <v>66710</v>
      </c>
      <c r="H507" s="7">
        <v>2</v>
      </c>
      <c r="I507" s="12">
        <f>IF(OR(Table24[[#This Row],[Rating]]=4,Table24[[#This Row],[Rating]]=5), 0.05*Table24[[#This Row],[Salary]],0)</f>
        <v>0</v>
      </c>
      <c r="J507" s="14">
        <f>VLOOKUP(Table24[[#This Row],[Salary]],'Tax rates'!A$2:C$8, 2) + VLOOKUP(Table24[[#This Row],[Salary]],'Tax rates'!A$2:C$8, 3) * (Table24[[#This Row],[Salary]] - VLOOKUP(Table24[[#This Row],[Salary]],'Tax rates'!A$2:C$8,1))</f>
        <v>10615.7</v>
      </c>
      <c r="K507" s="35">
        <f>Table24[[#This Row],[Salary]]-Table24[[#This Row],[Taxes]]</f>
        <v>56094.3</v>
      </c>
    </row>
    <row r="508" spans="1:11" x14ac:dyDescent="0.25">
      <c r="A508" s="5" t="s">
        <v>301</v>
      </c>
      <c r="B508" s="5" t="s">
        <v>27</v>
      </c>
      <c r="C508" s="5" t="s">
        <v>23</v>
      </c>
      <c r="D508" s="5" t="s">
        <v>24</v>
      </c>
      <c r="E508" s="6">
        <v>39299</v>
      </c>
      <c r="F508" s="5" t="s">
        <v>9</v>
      </c>
      <c r="G508" s="10">
        <v>47760</v>
      </c>
      <c r="H508" s="7">
        <v>3</v>
      </c>
      <c r="I508" s="12">
        <f>IF(OR(Table24[[#This Row],[Rating]]=4,Table24[[#This Row],[Rating]]=5), 0.05*Table24[[#This Row],[Salary]],0)</f>
        <v>0</v>
      </c>
      <c r="J508" s="14">
        <f>VLOOKUP(Table24[[#This Row],[Salary]],'Tax rates'!A$2:C$8, 2) + VLOOKUP(Table24[[#This Row],[Salary]],'Tax rates'!A$2:C$8, 3) * (Table24[[#This Row],[Salary]] - VLOOKUP(Table24[[#This Row],[Salary]],'Tax rates'!A$2:C$8,1))</f>
        <v>6446.7</v>
      </c>
      <c r="K508" s="35">
        <f>Table24[[#This Row],[Salary]]-Table24[[#This Row],[Taxes]]</f>
        <v>41313.300000000003</v>
      </c>
    </row>
    <row r="509" spans="1:11" x14ac:dyDescent="0.25">
      <c r="A509" s="5" t="s">
        <v>708</v>
      </c>
      <c r="B509" s="5" t="s">
        <v>27</v>
      </c>
      <c r="C509" s="5" t="s">
        <v>23</v>
      </c>
      <c r="D509" s="5" t="s">
        <v>16</v>
      </c>
      <c r="E509" s="6">
        <v>40468</v>
      </c>
      <c r="F509" s="7"/>
      <c r="G509" s="10">
        <v>39440</v>
      </c>
      <c r="H509" s="7">
        <v>4</v>
      </c>
      <c r="I509" s="12">
        <f>IF(OR(Table24[[#This Row],[Rating]]=4,Table24[[#This Row],[Rating]]=5), 0.05*Table24[[#This Row],[Salary]],0)</f>
        <v>1972</v>
      </c>
      <c r="J509" s="14">
        <f>VLOOKUP(Table24[[#This Row],[Salary]],'Tax rates'!A$2:C$8, 2) + VLOOKUP(Table24[[#This Row],[Salary]],'Tax rates'!A$2:C$8, 3) * (Table24[[#This Row],[Salary]] - VLOOKUP(Table24[[#This Row],[Salary]],'Tax rates'!A$2:C$8,1))</f>
        <v>4616.3</v>
      </c>
      <c r="K509" s="35">
        <f>Table24[[#This Row],[Salary]]-Table24[[#This Row],[Taxes]]</f>
        <v>34823.699999999997</v>
      </c>
    </row>
    <row r="510" spans="1:11" x14ac:dyDescent="0.25">
      <c r="A510" s="5" t="s">
        <v>534</v>
      </c>
      <c r="B510" s="5" t="s">
        <v>27</v>
      </c>
      <c r="C510" s="5" t="s">
        <v>23</v>
      </c>
      <c r="D510" s="5" t="s">
        <v>24</v>
      </c>
      <c r="E510" s="6">
        <v>39731</v>
      </c>
      <c r="F510" s="5" t="s">
        <v>4</v>
      </c>
      <c r="G510" s="10">
        <v>13435</v>
      </c>
      <c r="H510" s="7">
        <v>1</v>
      </c>
      <c r="I510" s="12">
        <f>IF(OR(Table24[[#This Row],[Rating]]=4,Table24[[#This Row],[Rating]]=5), 0.05*Table24[[#This Row],[Salary]],0)</f>
        <v>0</v>
      </c>
      <c r="J510" s="14">
        <f>VLOOKUP(Table24[[#This Row],[Salary]],'Tax rates'!A$2:C$8, 2) + VLOOKUP(Table24[[#This Row],[Salary]],'Tax rates'!A$2:C$8, 3) * (Table24[[#This Row],[Salary]] - VLOOKUP(Table24[[#This Row],[Salary]],'Tax rates'!A$2:C$8,1))</f>
        <v>1421.7</v>
      </c>
      <c r="K510" s="35">
        <f>Table24[[#This Row],[Salary]]-Table24[[#This Row],[Taxes]]</f>
        <v>12013.3</v>
      </c>
    </row>
    <row r="511" spans="1:11" x14ac:dyDescent="0.25">
      <c r="A511" s="5" t="s">
        <v>91</v>
      </c>
      <c r="B511" s="5" t="s">
        <v>27</v>
      </c>
      <c r="C511" s="5" t="s">
        <v>92</v>
      </c>
      <c r="D511" s="5" t="s">
        <v>16</v>
      </c>
      <c r="E511" s="6">
        <v>40263</v>
      </c>
      <c r="F511" s="5" t="s">
        <v>21</v>
      </c>
      <c r="G511" s="10">
        <v>71190</v>
      </c>
      <c r="H511" s="7">
        <v>4</v>
      </c>
      <c r="I511" s="12">
        <f>IF(OR(Table24[[#This Row],[Rating]]=4,Table24[[#This Row],[Rating]]=5), 0.05*Table24[[#This Row],[Salary]],0)</f>
        <v>3559.5</v>
      </c>
      <c r="J511" s="14">
        <f>VLOOKUP(Table24[[#This Row],[Salary]],'Tax rates'!A$2:C$8, 2) + VLOOKUP(Table24[[#This Row],[Salary]],'Tax rates'!A$2:C$8, 3) * (Table24[[#This Row],[Salary]] - VLOOKUP(Table24[[#This Row],[Salary]],'Tax rates'!A$2:C$8,1))</f>
        <v>11601.3</v>
      </c>
      <c r="K511" s="35">
        <f>Table24[[#This Row],[Salary]]-Table24[[#This Row],[Taxes]]</f>
        <v>59588.7</v>
      </c>
    </row>
    <row r="512" spans="1:11" x14ac:dyDescent="0.25">
      <c r="A512" s="5" t="s">
        <v>125</v>
      </c>
      <c r="B512" s="5" t="s">
        <v>27</v>
      </c>
      <c r="C512" s="5" t="s">
        <v>18</v>
      </c>
      <c r="D512" s="5" t="s">
        <v>3</v>
      </c>
      <c r="E512" s="6">
        <v>36198</v>
      </c>
      <c r="F512" s="5" t="s">
        <v>9</v>
      </c>
      <c r="G512" s="10">
        <v>81400</v>
      </c>
      <c r="H512" s="7">
        <v>2</v>
      </c>
      <c r="I512" s="12">
        <f>IF(OR(Table24[[#This Row],[Rating]]=4,Table24[[#This Row],[Rating]]=5), 0.05*Table24[[#This Row],[Salary]],0)</f>
        <v>0</v>
      </c>
      <c r="J512" s="14">
        <f>VLOOKUP(Table24[[#This Row],[Salary]],'Tax rates'!A$2:C$8, 2) + VLOOKUP(Table24[[#This Row],[Salary]],'Tax rates'!A$2:C$8, 3) * (Table24[[#This Row],[Salary]] - VLOOKUP(Table24[[#This Row],[Salary]],'Tax rates'!A$2:C$8,1))</f>
        <v>13847.5</v>
      </c>
      <c r="K512" s="35">
        <f>Table24[[#This Row],[Salary]]-Table24[[#This Row],[Taxes]]</f>
        <v>67552.5</v>
      </c>
    </row>
    <row r="513" spans="1:11" x14ac:dyDescent="0.25">
      <c r="A513" s="5" t="s">
        <v>281</v>
      </c>
      <c r="B513" s="5" t="s">
        <v>27</v>
      </c>
      <c r="C513" s="5" t="s">
        <v>18</v>
      </c>
      <c r="D513" s="5" t="s">
        <v>3</v>
      </c>
      <c r="E513" s="6">
        <v>39597</v>
      </c>
      <c r="F513" s="5" t="s">
        <v>4</v>
      </c>
      <c r="G513" s="10">
        <v>81010</v>
      </c>
      <c r="H513" s="7">
        <v>4</v>
      </c>
      <c r="I513" s="12">
        <f>IF(OR(Table24[[#This Row],[Rating]]=4,Table24[[#This Row],[Rating]]=5), 0.05*Table24[[#This Row],[Salary]],0)</f>
        <v>4050.5</v>
      </c>
      <c r="J513" s="14">
        <f>VLOOKUP(Table24[[#This Row],[Salary]],'Tax rates'!A$2:C$8, 2) + VLOOKUP(Table24[[#This Row],[Salary]],'Tax rates'!A$2:C$8, 3) * (Table24[[#This Row],[Salary]] - VLOOKUP(Table24[[#This Row],[Salary]],'Tax rates'!A$2:C$8,1))</f>
        <v>13761.7</v>
      </c>
      <c r="K513" s="35">
        <f>Table24[[#This Row],[Salary]]-Table24[[#This Row],[Taxes]]</f>
        <v>67248.3</v>
      </c>
    </row>
    <row r="514" spans="1:11" x14ac:dyDescent="0.25">
      <c r="A514" s="5" t="s">
        <v>221</v>
      </c>
      <c r="B514" s="5" t="s">
        <v>27</v>
      </c>
      <c r="C514" s="5" t="s">
        <v>18</v>
      </c>
      <c r="D514" s="5" t="s">
        <v>16</v>
      </c>
      <c r="E514" s="6">
        <v>38912</v>
      </c>
      <c r="F514" s="7"/>
      <c r="G514" s="10">
        <v>80330</v>
      </c>
      <c r="H514" s="7">
        <v>4</v>
      </c>
      <c r="I514" s="12">
        <f>IF(OR(Table24[[#This Row],[Rating]]=4,Table24[[#This Row],[Rating]]=5), 0.05*Table24[[#This Row],[Salary]],0)</f>
        <v>4016.5</v>
      </c>
      <c r="J514" s="14">
        <f>VLOOKUP(Table24[[#This Row],[Salary]],'Tax rates'!A$2:C$8, 2) + VLOOKUP(Table24[[#This Row],[Salary]],'Tax rates'!A$2:C$8, 3) * (Table24[[#This Row],[Salary]] - VLOOKUP(Table24[[#This Row],[Salary]],'Tax rates'!A$2:C$8,1))</f>
        <v>13612.1</v>
      </c>
      <c r="K514" s="35">
        <f>Table24[[#This Row],[Salary]]-Table24[[#This Row],[Taxes]]</f>
        <v>66717.899999999994</v>
      </c>
    </row>
    <row r="515" spans="1:11" x14ac:dyDescent="0.25">
      <c r="A515" s="5" t="s">
        <v>693</v>
      </c>
      <c r="B515" s="5" t="s">
        <v>27</v>
      </c>
      <c r="C515" s="5" t="s">
        <v>18</v>
      </c>
      <c r="D515" s="5" t="s">
        <v>3</v>
      </c>
      <c r="E515" s="6">
        <v>35801</v>
      </c>
      <c r="F515" s="5" t="s">
        <v>4</v>
      </c>
      <c r="G515" s="10">
        <v>78570</v>
      </c>
      <c r="H515" s="7">
        <v>1</v>
      </c>
      <c r="I515" s="12">
        <f>IF(OR(Table24[[#This Row],[Rating]]=4,Table24[[#This Row],[Rating]]=5), 0.05*Table24[[#This Row],[Salary]],0)</f>
        <v>0</v>
      </c>
      <c r="J515" s="14">
        <f>VLOOKUP(Table24[[#This Row],[Salary]],'Tax rates'!A$2:C$8, 2) + VLOOKUP(Table24[[#This Row],[Salary]],'Tax rates'!A$2:C$8, 3) * (Table24[[#This Row],[Salary]] - VLOOKUP(Table24[[#This Row],[Salary]],'Tax rates'!A$2:C$8,1))</f>
        <v>13224.9</v>
      </c>
      <c r="K515" s="35">
        <f>Table24[[#This Row],[Salary]]-Table24[[#This Row],[Taxes]]</f>
        <v>65345.1</v>
      </c>
    </row>
    <row r="516" spans="1:11" x14ac:dyDescent="0.25">
      <c r="A516" s="5" t="s">
        <v>235</v>
      </c>
      <c r="B516" s="5" t="s">
        <v>27</v>
      </c>
      <c r="C516" s="5" t="s">
        <v>18</v>
      </c>
      <c r="D516" s="5" t="s">
        <v>16</v>
      </c>
      <c r="E516" s="6">
        <v>35927</v>
      </c>
      <c r="F516" s="7"/>
      <c r="G516" s="10">
        <v>76910</v>
      </c>
      <c r="H516" s="7">
        <v>1</v>
      </c>
      <c r="I516" s="12">
        <f>IF(OR(Table24[[#This Row],[Rating]]=4,Table24[[#This Row],[Rating]]=5), 0.05*Table24[[#This Row],[Salary]],0)</f>
        <v>0</v>
      </c>
      <c r="J516" s="14">
        <f>VLOOKUP(Table24[[#This Row],[Salary]],'Tax rates'!A$2:C$8, 2) + VLOOKUP(Table24[[#This Row],[Salary]],'Tax rates'!A$2:C$8, 3) * (Table24[[#This Row],[Salary]] - VLOOKUP(Table24[[#This Row],[Salary]],'Tax rates'!A$2:C$8,1))</f>
        <v>12859.7</v>
      </c>
      <c r="K516" s="35">
        <f>Table24[[#This Row],[Salary]]-Table24[[#This Row],[Taxes]]</f>
        <v>64050.3</v>
      </c>
    </row>
    <row r="517" spans="1:11" x14ac:dyDescent="0.25">
      <c r="A517" s="5" t="s">
        <v>79</v>
      </c>
      <c r="B517" s="5" t="s">
        <v>27</v>
      </c>
      <c r="C517" s="5" t="s">
        <v>18</v>
      </c>
      <c r="D517" s="5" t="s">
        <v>16</v>
      </c>
      <c r="E517" s="6">
        <v>39144</v>
      </c>
      <c r="F517" s="7"/>
      <c r="G517" s="10">
        <v>64430</v>
      </c>
      <c r="H517" s="7">
        <v>4</v>
      </c>
      <c r="I517" s="12">
        <f>IF(OR(Table24[[#This Row],[Rating]]=4,Table24[[#This Row],[Rating]]=5), 0.05*Table24[[#This Row],[Salary]],0)</f>
        <v>3221.5</v>
      </c>
      <c r="J517" s="14">
        <f>VLOOKUP(Table24[[#This Row],[Salary]],'Tax rates'!A$2:C$8, 2) + VLOOKUP(Table24[[#This Row],[Salary]],'Tax rates'!A$2:C$8, 3) * (Table24[[#This Row],[Salary]] - VLOOKUP(Table24[[#This Row],[Salary]],'Tax rates'!A$2:C$8,1))</f>
        <v>10114.1</v>
      </c>
      <c r="K517" s="35">
        <f>Table24[[#This Row],[Salary]]-Table24[[#This Row],[Taxes]]</f>
        <v>54315.9</v>
      </c>
    </row>
    <row r="518" spans="1:11" x14ac:dyDescent="0.25">
      <c r="A518" s="5" t="s">
        <v>631</v>
      </c>
      <c r="B518" s="5" t="s">
        <v>27</v>
      </c>
      <c r="C518" s="5" t="s">
        <v>18</v>
      </c>
      <c r="D518" s="5" t="s">
        <v>3</v>
      </c>
      <c r="E518" s="6">
        <v>38878</v>
      </c>
      <c r="F518" s="5" t="s">
        <v>11</v>
      </c>
      <c r="G518" s="10">
        <v>61150</v>
      </c>
      <c r="H518" s="7">
        <v>2</v>
      </c>
      <c r="I518" s="12">
        <f>IF(OR(Table24[[#This Row],[Rating]]=4,Table24[[#This Row],[Rating]]=5), 0.05*Table24[[#This Row],[Salary]],0)</f>
        <v>0</v>
      </c>
      <c r="J518" s="14">
        <f>VLOOKUP(Table24[[#This Row],[Salary]],'Tax rates'!A$2:C$8, 2) + VLOOKUP(Table24[[#This Row],[Salary]],'Tax rates'!A$2:C$8, 3) * (Table24[[#This Row],[Salary]] - VLOOKUP(Table24[[#This Row],[Salary]],'Tax rates'!A$2:C$8,1))</f>
        <v>9392.5</v>
      </c>
      <c r="K518" s="35">
        <f>Table24[[#This Row],[Salary]]-Table24[[#This Row],[Taxes]]</f>
        <v>51757.5</v>
      </c>
    </row>
    <row r="519" spans="1:11" x14ac:dyDescent="0.25">
      <c r="A519" s="5" t="s">
        <v>621</v>
      </c>
      <c r="B519" s="5" t="s">
        <v>27</v>
      </c>
      <c r="C519" s="5" t="s">
        <v>18</v>
      </c>
      <c r="D519" s="5" t="s">
        <v>16</v>
      </c>
      <c r="E519" s="6">
        <v>37326</v>
      </c>
      <c r="F519" s="7"/>
      <c r="G519" s="10">
        <v>52770</v>
      </c>
      <c r="H519" s="7">
        <v>2</v>
      </c>
      <c r="I519" s="12">
        <f>IF(OR(Table24[[#This Row],[Rating]]=4,Table24[[#This Row],[Rating]]=5), 0.05*Table24[[#This Row],[Salary]],0)</f>
        <v>0</v>
      </c>
      <c r="J519" s="14">
        <f>VLOOKUP(Table24[[#This Row],[Salary]],'Tax rates'!A$2:C$8, 2) + VLOOKUP(Table24[[#This Row],[Salary]],'Tax rates'!A$2:C$8, 3) * (Table24[[#This Row],[Salary]] - VLOOKUP(Table24[[#This Row],[Salary]],'Tax rates'!A$2:C$8,1))</f>
        <v>7548.9</v>
      </c>
      <c r="K519" s="35">
        <f>Table24[[#This Row],[Salary]]-Table24[[#This Row],[Taxes]]</f>
        <v>45221.1</v>
      </c>
    </row>
    <row r="520" spans="1:11" x14ac:dyDescent="0.25">
      <c r="A520" s="5" t="s">
        <v>68</v>
      </c>
      <c r="B520" s="5" t="s">
        <v>27</v>
      </c>
      <c r="C520" s="5" t="s">
        <v>18</v>
      </c>
      <c r="D520" s="5" t="s">
        <v>24</v>
      </c>
      <c r="E520" s="6">
        <v>35807</v>
      </c>
      <c r="F520" s="5" t="s">
        <v>4</v>
      </c>
      <c r="G520" s="10">
        <v>48835</v>
      </c>
      <c r="H520" s="7">
        <v>5</v>
      </c>
      <c r="I520" s="12">
        <f>IF(OR(Table24[[#This Row],[Rating]]=4,Table24[[#This Row],[Rating]]=5), 0.05*Table24[[#This Row],[Salary]],0)</f>
        <v>2441.75</v>
      </c>
      <c r="J520" s="14">
        <f>VLOOKUP(Table24[[#This Row],[Salary]],'Tax rates'!A$2:C$8, 2) + VLOOKUP(Table24[[#This Row],[Salary]],'Tax rates'!A$2:C$8, 3) * (Table24[[#This Row],[Salary]] - VLOOKUP(Table24[[#This Row],[Salary]],'Tax rates'!A$2:C$8,1))</f>
        <v>6683.2</v>
      </c>
      <c r="K520" s="35">
        <f>Table24[[#This Row],[Salary]]-Table24[[#This Row],[Taxes]]</f>
        <v>42151.8</v>
      </c>
    </row>
    <row r="521" spans="1:11" x14ac:dyDescent="0.25">
      <c r="A521" s="5" t="s">
        <v>435</v>
      </c>
      <c r="B521" s="5" t="s">
        <v>27</v>
      </c>
      <c r="C521" s="5" t="s">
        <v>18</v>
      </c>
      <c r="D521" s="5" t="s">
        <v>24</v>
      </c>
      <c r="E521" s="6">
        <v>40456</v>
      </c>
      <c r="F521" s="5" t="s">
        <v>4</v>
      </c>
      <c r="G521" s="10">
        <v>46645</v>
      </c>
      <c r="H521" s="7">
        <v>5</v>
      </c>
      <c r="I521" s="12">
        <f>IF(OR(Table24[[#This Row],[Rating]]=4,Table24[[#This Row],[Rating]]=5), 0.05*Table24[[#This Row],[Salary]],0)</f>
        <v>2332.25</v>
      </c>
      <c r="J521" s="14">
        <f>VLOOKUP(Table24[[#This Row],[Salary]],'Tax rates'!A$2:C$8, 2) + VLOOKUP(Table24[[#This Row],[Salary]],'Tax rates'!A$2:C$8, 3) * (Table24[[#This Row],[Salary]] - VLOOKUP(Table24[[#This Row],[Salary]],'Tax rates'!A$2:C$8,1))</f>
        <v>6201.4</v>
      </c>
      <c r="K521" s="35">
        <f>Table24[[#This Row],[Salary]]-Table24[[#This Row],[Taxes]]</f>
        <v>40443.599999999999</v>
      </c>
    </row>
    <row r="522" spans="1:11" x14ac:dyDescent="0.25">
      <c r="A522" s="5" t="s">
        <v>109</v>
      </c>
      <c r="B522" s="5" t="s">
        <v>27</v>
      </c>
      <c r="C522" s="5" t="s">
        <v>18</v>
      </c>
      <c r="D522" s="5" t="s">
        <v>3</v>
      </c>
      <c r="E522" s="6">
        <v>40424</v>
      </c>
      <c r="F522" s="5" t="s">
        <v>21</v>
      </c>
      <c r="G522" s="10">
        <v>39520</v>
      </c>
      <c r="H522" s="7">
        <v>5</v>
      </c>
      <c r="I522" s="12">
        <f>IF(OR(Table24[[#This Row],[Rating]]=4,Table24[[#This Row],[Rating]]=5), 0.05*Table24[[#This Row],[Salary]],0)</f>
        <v>1976</v>
      </c>
      <c r="J522" s="14">
        <f>VLOOKUP(Table24[[#This Row],[Salary]],'Tax rates'!A$2:C$8, 2) + VLOOKUP(Table24[[#This Row],[Salary]],'Tax rates'!A$2:C$8, 3) * (Table24[[#This Row],[Salary]] - VLOOKUP(Table24[[#This Row],[Salary]],'Tax rates'!A$2:C$8,1))</f>
        <v>4633.8999999999996</v>
      </c>
      <c r="K522" s="35">
        <f>Table24[[#This Row],[Salary]]-Table24[[#This Row],[Taxes]]</f>
        <v>34886.1</v>
      </c>
    </row>
    <row r="523" spans="1:11" x14ac:dyDescent="0.25">
      <c r="A523" s="5" t="s">
        <v>596</v>
      </c>
      <c r="B523" s="5" t="s">
        <v>27</v>
      </c>
      <c r="C523" s="5" t="s">
        <v>18</v>
      </c>
      <c r="D523" s="5" t="s">
        <v>3</v>
      </c>
      <c r="E523" s="6">
        <v>39168</v>
      </c>
      <c r="F523" s="5" t="s">
        <v>4</v>
      </c>
      <c r="G523" s="10">
        <v>24300</v>
      </c>
      <c r="H523" s="7">
        <v>3</v>
      </c>
      <c r="I523" s="12">
        <f>IF(OR(Table24[[#This Row],[Rating]]=4,Table24[[#This Row],[Rating]]=5), 0.05*Table24[[#This Row],[Salary]],0)</f>
        <v>0</v>
      </c>
      <c r="J523" s="14">
        <f>VLOOKUP(Table24[[#This Row],[Salary]],'Tax rates'!A$2:C$8, 2) + VLOOKUP(Table24[[#This Row],[Salary]],'Tax rates'!A$2:C$8, 3) * (Table24[[#This Row],[Salary]] - VLOOKUP(Table24[[#This Row],[Salary]],'Tax rates'!A$2:C$8,1))</f>
        <v>2725.5</v>
      </c>
      <c r="K523" s="35">
        <f>Table24[[#This Row],[Salary]]-Table24[[#This Row],[Taxes]]</f>
        <v>21574.5</v>
      </c>
    </row>
    <row r="524" spans="1:11" x14ac:dyDescent="0.25">
      <c r="A524" s="5" t="s">
        <v>599</v>
      </c>
      <c r="B524" s="5" t="s">
        <v>27</v>
      </c>
      <c r="C524" s="5" t="s">
        <v>18</v>
      </c>
      <c r="D524" s="5" t="s">
        <v>24</v>
      </c>
      <c r="E524" s="6">
        <v>39697</v>
      </c>
      <c r="F524" s="5" t="s">
        <v>25</v>
      </c>
      <c r="G524" s="10">
        <v>15260</v>
      </c>
      <c r="H524" s="7">
        <v>2</v>
      </c>
      <c r="I524" s="12">
        <f>IF(OR(Table24[[#This Row],[Rating]]=4,Table24[[#This Row],[Rating]]=5), 0.05*Table24[[#This Row],[Salary]],0)</f>
        <v>0</v>
      </c>
      <c r="J524" s="14">
        <f>VLOOKUP(Table24[[#This Row],[Salary]],'Tax rates'!A$2:C$8, 2) + VLOOKUP(Table24[[#This Row],[Salary]],'Tax rates'!A$2:C$8, 3) * (Table24[[#This Row],[Salary]] - VLOOKUP(Table24[[#This Row],[Salary]],'Tax rates'!A$2:C$8,1))</f>
        <v>1640.6999999999998</v>
      </c>
      <c r="K524" s="35">
        <f>Table24[[#This Row],[Salary]]-Table24[[#This Row],[Taxes]]</f>
        <v>13619.3</v>
      </c>
    </row>
    <row r="525" spans="1:11" x14ac:dyDescent="0.25">
      <c r="A525" s="5" t="s">
        <v>768</v>
      </c>
      <c r="B525" s="5" t="s">
        <v>27</v>
      </c>
      <c r="C525" s="5" t="s">
        <v>15</v>
      </c>
      <c r="D525" s="5" t="s">
        <v>3</v>
      </c>
      <c r="E525" s="6">
        <v>37407</v>
      </c>
      <c r="F525" s="5" t="s">
        <v>4</v>
      </c>
      <c r="G525" s="10">
        <v>59140</v>
      </c>
      <c r="H525" s="7">
        <v>5</v>
      </c>
      <c r="I525" s="12">
        <f>IF(OR(Table24[[#This Row],[Rating]]=4,Table24[[#This Row],[Rating]]=5), 0.05*Table24[[#This Row],[Salary]],0)</f>
        <v>2957</v>
      </c>
      <c r="J525" s="14">
        <f>VLOOKUP(Table24[[#This Row],[Salary]],'Tax rates'!A$2:C$8, 2) + VLOOKUP(Table24[[#This Row],[Salary]],'Tax rates'!A$2:C$8, 3) * (Table24[[#This Row],[Salary]] - VLOOKUP(Table24[[#This Row],[Salary]],'Tax rates'!A$2:C$8,1))</f>
        <v>8950.2999999999993</v>
      </c>
      <c r="K525" s="35">
        <f>Table24[[#This Row],[Salary]]-Table24[[#This Row],[Taxes]]</f>
        <v>50189.7</v>
      </c>
    </row>
    <row r="526" spans="1:11" x14ac:dyDescent="0.25">
      <c r="A526" s="5" t="s">
        <v>117</v>
      </c>
      <c r="B526" s="5" t="s">
        <v>27</v>
      </c>
      <c r="C526" s="5" t="s">
        <v>59</v>
      </c>
      <c r="D526" s="5" t="s">
        <v>3</v>
      </c>
      <c r="E526" s="6">
        <v>41070</v>
      </c>
      <c r="F526" s="5" t="s">
        <v>25</v>
      </c>
      <c r="G526" s="10">
        <v>73930</v>
      </c>
      <c r="H526" s="7">
        <v>1</v>
      </c>
      <c r="I526" s="12">
        <f>IF(OR(Table24[[#This Row],[Rating]]=4,Table24[[#This Row],[Rating]]=5), 0.05*Table24[[#This Row],[Salary]],0)</f>
        <v>0</v>
      </c>
      <c r="J526" s="14">
        <f>VLOOKUP(Table24[[#This Row],[Salary]],'Tax rates'!A$2:C$8, 2) + VLOOKUP(Table24[[#This Row],[Salary]],'Tax rates'!A$2:C$8, 3) * (Table24[[#This Row],[Salary]] - VLOOKUP(Table24[[#This Row],[Salary]],'Tax rates'!A$2:C$8,1))</f>
        <v>12204.1</v>
      </c>
      <c r="K526" s="35">
        <f>Table24[[#This Row],[Salary]]-Table24[[#This Row],[Taxes]]</f>
        <v>61725.9</v>
      </c>
    </row>
    <row r="527" spans="1:11" x14ac:dyDescent="0.25">
      <c r="A527" s="5" t="s">
        <v>88</v>
      </c>
      <c r="B527" s="5" t="s">
        <v>27</v>
      </c>
      <c r="C527" s="5" t="s">
        <v>59</v>
      </c>
      <c r="D527" s="5" t="s">
        <v>3</v>
      </c>
      <c r="E527" s="6">
        <v>40395</v>
      </c>
      <c r="F527" s="5" t="s">
        <v>4</v>
      </c>
      <c r="G527" s="10">
        <v>57560</v>
      </c>
      <c r="H527" s="7">
        <v>4</v>
      </c>
      <c r="I527" s="12">
        <f>IF(OR(Table24[[#This Row],[Rating]]=4,Table24[[#This Row],[Rating]]=5), 0.05*Table24[[#This Row],[Salary]],0)</f>
        <v>2878</v>
      </c>
      <c r="J527" s="14">
        <f>VLOOKUP(Table24[[#This Row],[Salary]],'Tax rates'!A$2:C$8, 2) + VLOOKUP(Table24[[#This Row],[Salary]],'Tax rates'!A$2:C$8, 3) * (Table24[[#This Row],[Salary]] - VLOOKUP(Table24[[#This Row],[Salary]],'Tax rates'!A$2:C$8,1))</f>
        <v>8602.7000000000007</v>
      </c>
      <c r="K527" s="35">
        <f>Table24[[#This Row],[Salary]]-Table24[[#This Row],[Taxes]]</f>
        <v>48957.3</v>
      </c>
    </row>
    <row r="528" spans="1:11" x14ac:dyDescent="0.25">
      <c r="A528" s="5" t="s">
        <v>709</v>
      </c>
      <c r="B528" s="5" t="s">
        <v>27</v>
      </c>
      <c r="C528" s="5" t="s">
        <v>59</v>
      </c>
      <c r="D528" s="5" t="s">
        <v>16</v>
      </c>
      <c r="E528" s="6">
        <v>39592</v>
      </c>
      <c r="F528" s="7"/>
      <c r="G528" s="10">
        <v>57520</v>
      </c>
      <c r="H528" s="7">
        <v>3</v>
      </c>
      <c r="I528" s="12">
        <f>IF(OR(Table24[[#This Row],[Rating]]=4,Table24[[#This Row],[Rating]]=5), 0.05*Table24[[#This Row],[Salary]],0)</f>
        <v>0</v>
      </c>
      <c r="J528" s="14">
        <f>VLOOKUP(Table24[[#This Row],[Salary]],'Tax rates'!A$2:C$8, 2) + VLOOKUP(Table24[[#This Row],[Salary]],'Tax rates'!A$2:C$8, 3) * (Table24[[#This Row],[Salary]] - VLOOKUP(Table24[[#This Row],[Salary]],'Tax rates'!A$2:C$8,1))</f>
        <v>8593.9</v>
      </c>
      <c r="K528" s="35">
        <f>Table24[[#This Row],[Salary]]-Table24[[#This Row],[Taxes]]</f>
        <v>48926.1</v>
      </c>
    </row>
    <row r="529" spans="1:11" x14ac:dyDescent="0.25">
      <c r="A529" s="5" t="s">
        <v>384</v>
      </c>
      <c r="B529" s="5" t="s">
        <v>27</v>
      </c>
      <c r="C529" s="5" t="s">
        <v>59</v>
      </c>
      <c r="D529" s="5" t="s">
        <v>3</v>
      </c>
      <c r="E529" s="6">
        <v>36392</v>
      </c>
      <c r="F529" s="5" t="s">
        <v>11</v>
      </c>
      <c r="G529" s="10">
        <v>51410</v>
      </c>
      <c r="H529" s="7">
        <v>4</v>
      </c>
      <c r="I529" s="12">
        <f>IF(OR(Table24[[#This Row],[Rating]]=4,Table24[[#This Row],[Rating]]=5), 0.05*Table24[[#This Row],[Salary]],0)</f>
        <v>2570.5</v>
      </c>
      <c r="J529" s="14">
        <f>VLOOKUP(Table24[[#This Row],[Salary]],'Tax rates'!A$2:C$8, 2) + VLOOKUP(Table24[[#This Row],[Salary]],'Tax rates'!A$2:C$8, 3) * (Table24[[#This Row],[Salary]] - VLOOKUP(Table24[[#This Row],[Salary]],'Tax rates'!A$2:C$8,1))</f>
        <v>7249.7</v>
      </c>
      <c r="K529" s="35">
        <f>Table24[[#This Row],[Salary]]-Table24[[#This Row],[Taxes]]</f>
        <v>44160.3</v>
      </c>
    </row>
    <row r="530" spans="1:11" x14ac:dyDescent="0.25">
      <c r="A530" s="5" t="s">
        <v>593</v>
      </c>
      <c r="B530" s="5" t="s">
        <v>27</v>
      </c>
      <c r="C530" s="5" t="s">
        <v>59</v>
      </c>
      <c r="D530" s="5" t="s">
        <v>16</v>
      </c>
      <c r="E530" s="6">
        <v>36199</v>
      </c>
      <c r="F530" s="7"/>
      <c r="G530" s="10">
        <v>31270</v>
      </c>
      <c r="H530" s="7">
        <v>5</v>
      </c>
      <c r="I530" s="12">
        <f>IF(OR(Table24[[#This Row],[Rating]]=4,Table24[[#This Row],[Rating]]=5), 0.05*Table24[[#This Row],[Salary]],0)</f>
        <v>1563.5</v>
      </c>
      <c r="J530" s="14">
        <f>VLOOKUP(Table24[[#This Row],[Salary]],'Tax rates'!A$2:C$8, 2) + VLOOKUP(Table24[[#This Row],[Salary]],'Tax rates'!A$2:C$8, 3) * (Table24[[#This Row],[Salary]] - VLOOKUP(Table24[[#This Row],[Salary]],'Tax rates'!A$2:C$8,1))</f>
        <v>3561.9</v>
      </c>
      <c r="K530" s="35">
        <f>Table24[[#This Row],[Salary]]-Table24[[#This Row],[Taxes]]</f>
        <v>27708.1</v>
      </c>
    </row>
    <row r="531" spans="1:11" x14ac:dyDescent="0.25">
      <c r="A531" s="5" t="s">
        <v>306</v>
      </c>
      <c r="B531" s="5" t="s">
        <v>27</v>
      </c>
      <c r="C531" s="5" t="s">
        <v>59</v>
      </c>
      <c r="D531" s="5" t="s">
        <v>3</v>
      </c>
      <c r="E531" s="6">
        <v>40712</v>
      </c>
      <c r="F531" s="5" t="s">
        <v>4</v>
      </c>
      <c r="G531" s="10">
        <v>22900</v>
      </c>
      <c r="H531" s="7">
        <v>1</v>
      </c>
      <c r="I531" s="12">
        <f>IF(OR(Table24[[#This Row],[Rating]]=4,Table24[[#This Row],[Rating]]=5), 0.05*Table24[[#This Row],[Salary]],0)</f>
        <v>0</v>
      </c>
      <c r="J531" s="14">
        <f>VLOOKUP(Table24[[#This Row],[Salary]],'Tax rates'!A$2:C$8, 2) + VLOOKUP(Table24[[#This Row],[Salary]],'Tax rates'!A$2:C$8, 3) * (Table24[[#This Row],[Salary]] - VLOOKUP(Table24[[#This Row],[Salary]],'Tax rates'!A$2:C$8,1))</f>
        <v>2557.5</v>
      </c>
      <c r="K531" s="35">
        <f>Table24[[#This Row],[Salary]]-Table24[[#This Row],[Taxes]]</f>
        <v>20342.5</v>
      </c>
    </row>
    <row r="532" spans="1:11" x14ac:dyDescent="0.25">
      <c r="A532" s="5" t="s">
        <v>155</v>
      </c>
      <c r="B532" s="5" t="s">
        <v>27</v>
      </c>
      <c r="C532" s="5" t="s">
        <v>8</v>
      </c>
      <c r="D532" s="5" t="s">
        <v>3</v>
      </c>
      <c r="E532" s="6">
        <v>36082</v>
      </c>
      <c r="F532" s="5" t="s">
        <v>11</v>
      </c>
      <c r="G532" s="10">
        <v>82400</v>
      </c>
      <c r="H532" s="7">
        <v>2</v>
      </c>
      <c r="I532" s="12">
        <f>IF(OR(Table24[[#This Row],[Rating]]=4,Table24[[#This Row],[Rating]]=5), 0.05*Table24[[#This Row],[Salary]],0)</f>
        <v>0</v>
      </c>
      <c r="J532" s="14">
        <f>VLOOKUP(Table24[[#This Row],[Salary]],'Tax rates'!A$2:C$8, 2) + VLOOKUP(Table24[[#This Row],[Salary]],'Tax rates'!A$2:C$8, 3) * (Table24[[#This Row],[Salary]] - VLOOKUP(Table24[[#This Row],[Salary]],'Tax rates'!A$2:C$8,1))</f>
        <v>14067.5</v>
      </c>
      <c r="K532" s="35">
        <f>Table24[[#This Row],[Salary]]-Table24[[#This Row],[Taxes]]</f>
        <v>68332.5</v>
      </c>
    </row>
    <row r="533" spans="1:11" x14ac:dyDescent="0.25">
      <c r="A533" s="5" t="s">
        <v>634</v>
      </c>
      <c r="B533" s="5" t="s">
        <v>27</v>
      </c>
      <c r="C533" s="5" t="s">
        <v>8</v>
      </c>
      <c r="D533" s="5" t="s">
        <v>3</v>
      </c>
      <c r="E533" s="6">
        <v>35989</v>
      </c>
      <c r="F533" s="5" t="s">
        <v>25</v>
      </c>
      <c r="G533" s="10">
        <v>71010</v>
      </c>
      <c r="H533" s="7">
        <v>5</v>
      </c>
      <c r="I533" s="12">
        <f>IF(OR(Table24[[#This Row],[Rating]]=4,Table24[[#This Row],[Rating]]=5), 0.05*Table24[[#This Row],[Salary]],0)</f>
        <v>3550.5</v>
      </c>
      <c r="J533" s="14">
        <f>VLOOKUP(Table24[[#This Row],[Salary]],'Tax rates'!A$2:C$8, 2) + VLOOKUP(Table24[[#This Row],[Salary]],'Tax rates'!A$2:C$8, 3) * (Table24[[#This Row],[Salary]] - VLOOKUP(Table24[[#This Row],[Salary]],'Tax rates'!A$2:C$8,1))</f>
        <v>11561.7</v>
      </c>
      <c r="K533" s="35">
        <f>Table24[[#This Row],[Salary]]-Table24[[#This Row],[Taxes]]</f>
        <v>59448.3</v>
      </c>
    </row>
    <row r="534" spans="1:11" x14ac:dyDescent="0.25">
      <c r="A534" s="5" t="s">
        <v>701</v>
      </c>
      <c r="B534" s="5" t="s">
        <v>27</v>
      </c>
      <c r="C534" s="5" t="s">
        <v>8</v>
      </c>
      <c r="D534" s="5" t="s">
        <v>16</v>
      </c>
      <c r="E534" s="6">
        <v>40054</v>
      </c>
      <c r="F534" s="7"/>
      <c r="G534" s="10">
        <v>56920</v>
      </c>
      <c r="H534" s="7">
        <v>4</v>
      </c>
      <c r="I534" s="12">
        <f>IF(OR(Table24[[#This Row],[Rating]]=4,Table24[[#This Row],[Rating]]=5), 0.05*Table24[[#This Row],[Salary]],0)</f>
        <v>2846</v>
      </c>
      <c r="J534" s="14">
        <f>VLOOKUP(Table24[[#This Row],[Salary]],'Tax rates'!A$2:C$8, 2) + VLOOKUP(Table24[[#This Row],[Salary]],'Tax rates'!A$2:C$8, 3) * (Table24[[#This Row],[Salary]] - VLOOKUP(Table24[[#This Row],[Salary]],'Tax rates'!A$2:C$8,1))</f>
        <v>8461.9</v>
      </c>
      <c r="K534" s="35">
        <f>Table24[[#This Row],[Salary]]-Table24[[#This Row],[Taxes]]</f>
        <v>48458.1</v>
      </c>
    </row>
    <row r="535" spans="1:11" x14ac:dyDescent="0.25">
      <c r="A535" s="5" t="s">
        <v>430</v>
      </c>
      <c r="B535" s="5" t="s">
        <v>27</v>
      </c>
      <c r="C535" s="5" t="s">
        <v>8</v>
      </c>
      <c r="D535" s="5" t="s">
        <v>3</v>
      </c>
      <c r="E535" s="6">
        <v>41228</v>
      </c>
      <c r="F535" s="5" t="s">
        <v>11</v>
      </c>
      <c r="G535" s="10">
        <v>46340</v>
      </c>
      <c r="H535" s="7">
        <v>5</v>
      </c>
      <c r="I535" s="12">
        <f>IF(OR(Table24[[#This Row],[Rating]]=4,Table24[[#This Row],[Rating]]=5), 0.05*Table24[[#This Row],[Salary]],0)</f>
        <v>2317</v>
      </c>
      <c r="J535" s="14">
        <f>VLOOKUP(Table24[[#This Row],[Salary]],'Tax rates'!A$2:C$8, 2) + VLOOKUP(Table24[[#This Row],[Salary]],'Tax rates'!A$2:C$8, 3) * (Table24[[#This Row],[Salary]] - VLOOKUP(Table24[[#This Row],[Salary]],'Tax rates'!A$2:C$8,1))</f>
        <v>6134.3</v>
      </c>
      <c r="K535" s="35">
        <f>Table24[[#This Row],[Salary]]-Table24[[#This Row],[Taxes]]</f>
        <v>40205.699999999997</v>
      </c>
    </row>
    <row r="536" spans="1:11" x14ac:dyDescent="0.25">
      <c r="A536" s="5" t="s">
        <v>759</v>
      </c>
      <c r="B536" s="5" t="s">
        <v>27</v>
      </c>
      <c r="C536" s="5" t="s">
        <v>63</v>
      </c>
      <c r="D536" s="5" t="s">
        <v>16</v>
      </c>
      <c r="E536" s="6">
        <v>40591</v>
      </c>
      <c r="F536" s="7"/>
      <c r="G536" s="10">
        <v>49070</v>
      </c>
      <c r="H536" s="7">
        <v>3</v>
      </c>
      <c r="I536" s="12">
        <f>IF(OR(Table24[[#This Row],[Rating]]=4,Table24[[#This Row],[Rating]]=5), 0.05*Table24[[#This Row],[Salary]],0)</f>
        <v>0</v>
      </c>
      <c r="J536" s="14">
        <f>VLOOKUP(Table24[[#This Row],[Salary]],'Tax rates'!A$2:C$8, 2) + VLOOKUP(Table24[[#This Row],[Salary]],'Tax rates'!A$2:C$8, 3) * (Table24[[#This Row],[Salary]] - VLOOKUP(Table24[[#This Row],[Salary]],'Tax rates'!A$2:C$8,1))</f>
        <v>6734.9</v>
      </c>
      <c r="K536" s="35">
        <f>Table24[[#This Row],[Salary]]-Table24[[#This Row],[Taxes]]</f>
        <v>42335.1</v>
      </c>
    </row>
    <row r="537" spans="1:11" x14ac:dyDescent="0.25">
      <c r="A537" s="5" t="s">
        <v>26</v>
      </c>
      <c r="B537" s="5" t="s">
        <v>27</v>
      </c>
      <c r="C537" s="5" t="s">
        <v>2</v>
      </c>
      <c r="D537" s="5" t="s">
        <v>16</v>
      </c>
      <c r="E537" s="6">
        <v>40587</v>
      </c>
      <c r="F537" s="7"/>
      <c r="G537" s="10">
        <v>89450</v>
      </c>
      <c r="H537" s="7">
        <v>2</v>
      </c>
      <c r="I537" s="12">
        <f>IF(OR(Table24[[#This Row],[Rating]]=4,Table24[[#This Row],[Rating]]=5), 0.05*Table24[[#This Row],[Salary]],0)</f>
        <v>0</v>
      </c>
      <c r="J537" s="14">
        <f>VLOOKUP(Table24[[#This Row],[Salary]],'Tax rates'!A$2:C$8, 2) + VLOOKUP(Table24[[#This Row],[Salary]],'Tax rates'!A$2:C$8, 3) * (Table24[[#This Row],[Salary]] - VLOOKUP(Table24[[#This Row],[Salary]],'Tax rates'!A$2:C$8,1))</f>
        <v>15757.5</v>
      </c>
      <c r="K537" s="35">
        <f>Table24[[#This Row],[Salary]]-Table24[[#This Row],[Taxes]]</f>
        <v>73692.5</v>
      </c>
    </row>
    <row r="538" spans="1:11" x14ac:dyDescent="0.25">
      <c r="A538" s="5" t="s">
        <v>510</v>
      </c>
      <c r="B538" s="5" t="s">
        <v>27</v>
      </c>
      <c r="C538" s="5" t="s">
        <v>2</v>
      </c>
      <c r="D538" s="5" t="s">
        <v>3</v>
      </c>
      <c r="E538" s="6">
        <v>40759</v>
      </c>
      <c r="F538" s="5" t="s">
        <v>4</v>
      </c>
      <c r="G538" s="10">
        <v>67920</v>
      </c>
      <c r="H538" s="7">
        <v>4</v>
      </c>
      <c r="I538" s="12">
        <f>IF(OR(Table24[[#This Row],[Rating]]=4,Table24[[#This Row],[Rating]]=5), 0.05*Table24[[#This Row],[Salary]],0)</f>
        <v>3396</v>
      </c>
      <c r="J538" s="14">
        <f>VLOOKUP(Table24[[#This Row],[Salary]],'Tax rates'!A$2:C$8, 2) + VLOOKUP(Table24[[#This Row],[Salary]],'Tax rates'!A$2:C$8, 3) * (Table24[[#This Row],[Salary]] - VLOOKUP(Table24[[#This Row],[Salary]],'Tax rates'!A$2:C$8,1))</f>
        <v>10881.9</v>
      </c>
      <c r="K538" s="35">
        <f>Table24[[#This Row],[Salary]]-Table24[[#This Row],[Taxes]]</f>
        <v>57038.1</v>
      </c>
    </row>
    <row r="539" spans="1:11" x14ac:dyDescent="0.25">
      <c r="A539" s="5" t="s">
        <v>680</v>
      </c>
      <c r="B539" s="5" t="s">
        <v>27</v>
      </c>
      <c r="C539" s="5" t="s">
        <v>2</v>
      </c>
      <c r="D539" s="5" t="s">
        <v>16</v>
      </c>
      <c r="E539" s="6">
        <v>38027</v>
      </c>
      <c r="F539" s="7"/>
      <c r="G539" s="10">
        <v>64590</v>
      </c>
      <c r="H539" s="7">
        <v>1</v>
      </c>
      <c r="I539" s="12">
        <f>IF(OR(Table24[[#This Row],[Rating]]=4,Table24[[#This Row],[Rating]]=5), 0.05*Table24[[#This Row],[Salary]],0)</f>
        <v>0</v>
      </c>
      <c r="J539" s="14">
        <f>VLOOKUP(Table24[[#This Row],[Salary]],'Tax rates'!A$2:C$8, 2) + VLOOKUP(Table24[[#This Row],[Salary]],'Tax rates'!A$2:C$8, 3) * (Table24[[#This Row],[Salary]] - VLOOKUP(Table24[[#This Row],[Salary]],'Tax rates'!A$2:C$8,1))</f>
        <v>10149.299999999999</v>
      </c>
      <c r="K539" s="35">
        <f>Table24[[#This Row],[Salary]]-Table24[[#This Row],[Taxes]]</f>
        <v>54440.7</v>
      </c>
    </row>
    <row r="540" spans="1:11" x14ac:dyDescent="0.25">
      <c r="A540" s="5" t="s">
        <v>732</v>
      </c>
      <c r="B540" s="5" t="s">
        <v>27</v>
      </c>
      <c r="C540" s="5" t="s">
        <v>2</v>
      </c>
      <c r="D540" s="5" t="s">
        <v>16</v>
      </c>
      <c r="E540" s="6">
        <v>37082</v>
      </c>
      <c r="F540" s="7"/>
      <c r="G540" s="10">
        <v>46780</v>
      </c>
      <c r="H540" s="7">
        <v>2</v>
      </c>
      <c r="I540" s="12">
        <f>IF(OR(Table24[[#This Row],[Rating]]=4,Table24[[#This Row],[Rating]]=5), 0.05*Table24[[#This Row],[Salary]],0)</f>
        <v>0</v>
      </c>
      <c r="J540" s="14">
        <f>VLOOKUP(Table24[[#This Row],[Salary]],'Tax rates'!A$2:C$8, 2) + VLOOKUP(Table24[[#This Row],[Salary]],'Tax rates'!A$2:C$8, 3) * (Table24[[#This Row],[Salary]] - VLOOKUP(Table24[[#This Row],[Salary]],'Tax rates'!A$2:C$8,1))</f>
        <v>6231.1</v>
      </c>
      <c r="K540" s="35">
        <f>Table24[[#This Row],[Salary]]-Table24[[#This Row],[Taxes]]</f>
        <v>40548.9</v>
      </c>
    </row>
    <row r="541" spans="1:11" x14ac:dyDescent="0.25">
      <c r="A541" s="5" t="s">
        <v>152</v>
      </c>
      <c r="B541" s="5" t="s">
        <v>27</v>
      </c>
      <c r="C541" s="5" t="s">
        <v>2</v>
      </c>
      <c r="D541" s="5" t="s">
        <v>3</v>
      </c>
      <c r="E541" s="6">
        <v>39134</v>
      </c>
      <c r="F541" s="5" t="s">
        <v>11</v>
      </c>
      <c r="G541" s="10">
        <v>45110</v>
      </c>
      <c r="H541" s="7">
        <v>2</v>
      </c>
      <c r="I541" s="12">
        <f>IF(OR(Table24[[#This Row],[Rating]]=4,Table24[[#This Row],[Rating]]=5), 0.05*Table24[[#This Row],[Salary]],0)</f>
        <v>0</v>
      </c>
      <c r="J541" s="14">
        <f>VLOOKUP(Table24[[#This Row],[Salary]],'Tax rates'!A$2:C$8, 2) + VLOOKUP(Table24[[#This Row],[Salary]],'Tax rates'!A$2:C$8, 3) * (Table24[[#This Row],[Salary]] - VLOOKUP(Table24[[#This Row],[Salary]],'Tax rates'!A$2:C$8,1))</f>
        <v>5863.7</v>
      </c>
      <c r="K541" s="35">
        <f>Table24[[#This Row],[Salary]]-Table24[[#This Row],[Taxes]]</f>
        <v>39246.300000000003</v>
      </c>
    </row>
    <row r="542" spans="1:11" x14ac:dyDescent="0.25">
      <c r="A542" s="5" t="s">
        <v>558</v>
      </c>
      <c r="B542" s="5" t="s">
        <v>27</v>
      </c>
      <c r="C542" s="5" t="s">
        <v>35</v>
      </c>
      <c r="D542" s="5" t="s">
        <v>3</v>
      </c>
      <c r="E542" s="6">
        <v>37009</v>
      </c>
      <c r="F542" s="5" t="s">
        <v>11</v>
      </c>
      <c r="G542" s="10">
        <v>78710</v>
      </c>
      <c r="H542" s="7">
        <v>2</v>
      </c>
      <c r="I542" s="12">
        <f>IF(OR(Table24[[#This Row],[Rating]]=4,Table24[[#This Row],[Rating]]=5), 0.05*Table24[[#This Row],[Salary]],0)</f>
        <v>0</v>
      </c>
      <c r="J542" s="14">
        <f>VLOOKUP(Table24[[#This Row],[Salary]],'Tax rates'!A$2:C$8, 2) + VLOOKUP(Table24[[#This Row],[Salary]],'Tax rates'!A$2:C$8, 3) * (Table24[[#This Row],[Salary]] - VLOOKUP(Table24[[#This Row],[Salary]],'Tax rates'!A$2:C$8,1))</f>
        <v>13255.7</v>
      </c>
      <c r="K542" s="35">
        <f>Table24[[#This Row],[Salary]]-Table24[[#This Row],[Taxes]]</f>
        <v>65454.3</v>
      </c>
    </row>
    <row r="543" spans="1:11" x14ac:dyDescent="0.25">
      <c r="A543" s="5" t="s">
        <v>507</v>
      </c>
      <c r="B543" s="5" t="s">
        <v>27</v>
      </c>
      <c r="C543" s="5" t="s">
        <v>35</v>
      </c>
      <c r="D543" s="5" t="s">
        <v>3</v>
      </c>
      <c r="E543" s="6">
        <v>37495</v>
      </c>
      <c r="F543" s="5" t="s">
        <v>9</v>
      </c>
      <c r="G543" s="10">
        <v>60300</v>
      </c>
      <c r="H543" s="7">
        <v>2</v>
      </c>
      <c r="I543" s="12">
        <f>IF(OR(Table24[[#This Row],[Rating]]=4,Table24[[#This Row],[Rating]]=5), 0.05*Table24[[#This Row],[Salary]],0)</f>
        <v>0</v>
      </c>
      <c r="J543" s="14">
        <f>VLOOKUP(Table24[[#This Row],[Salary]],'Tax rates'!A$2:C$8, 2) + VLOOKUP(Table24[[#This Row],[Salary]],'Tax rates'!A$2:C$8, 3) * (Table24[[#This Row],[Salary]] - VLOOKUP(Table24[[#This Row],[Salary]],'Tax rates'!A$2:C$8,1))</f>
        <v>9205.5</v>
      </c>
      <c r="K543" s="35">
        <f>Table24[[#This Row],[Salary]]-Table24[[#This Row],[Taxes]]</f>
        <v>51094.5</v>
      </c>
    </row>
    <row r="544" spans="1:11" x14ac:dyDescent="0.25">
      <c r="A544" s="5" t="s">
        <v>696</v>
      </c>
      <c r="B544" s="5" t="s">
        <v>27</v>
      </c>
      <c r="C544" s="5" t="s">
        <v>35</v>
      </c>
      <c r="D544" s="5" t="s">
        <v>3</v>
      </c>
      <c r="E544" s="6">
        <v>36080</v>
      </c>
      <c r="F544" s="5" t="s">
        <v>11</v>
      </c>
      <c r="G544" s="10">
        <v>48410</v>
      </c>
      <c r="H544" s="7">
        <v>5</v>
      </c>
      <c r="I544" s="12">
        <f>IF(OR(Table24[[#This Row],[Rating]]=4,Table24[[#This Row],[Rating]]=5), 0.05*Table24[[#This Row],[Salary]],0)</f>
        <v>2420.5</v>
      </c>
      <c r="J544" s="14">
        <f>VLOOKUP(Table24[[#This Row],[Salary]],'Tax rates'!A$2:C$8, 2) + VLOOKUP(Table24[[#This Row],[Salary]],'Tax rates'!A$2:C$8, 3) * (Table24[[#This Row],[Salary]] - VLOOKUP(Table24[[#This Row],[Salary]],'Tax rates'!A$2:C$8,1))</f>
        <v>6589.7</v>
      </c>
      <c r="K544" s="35">
        <f>Table24[[#This Row],[Salary]]-Table24[[#This Row],[Taxes]]</f>
        <v>41820.300000000003</v>
      </c>
    </row>
    <row r="545" spans="1:11" x14ac:dyDescent="0.25">
      <c r="A545" s="5" t="s">
        <v>284</v>
      </c>
      <c r="B545" s="5" t="s">
        <v>27</v>
      </c>
      <c r="C545" s="5" t="s">
        <v>35</v>
      </c>
      <c r="D545" s="5" t="s">
        <v>3</v>
      </c>
      <c r="E545" s="6">
        <v>36843</v>
      </c>
      <c r="F545" s="5" t="s">
        <v>11</v>
      </c>
      <c r="G545" s="10">
        <v>47630</v>
      </c>
      <c r="H545" s="7">
        <v>3</v>
      </c>
      <c r="I545" s="12">
        <f>IF(OR(Table24[[#This Row],[Rating]]=4,Table24[[#This Row],[Rating]]=5), 0.05*Table24[[#This Row],[Salary]],0)</f>
        <v>0</v>
      </c>
      <c r="J545" s="14">
        <f>VLOOKUP(Table24[[#This Row],[Salary]],'Tax rates'!A$2:C$8, 2) + VLOOKUP(Table24[[#This Row],[Salary]],'Tax rates'!A$2:C$8, 3) * (Table24[[#This Row],[Salary]] - VLOOKUP(Table24[[#This Row],[Salary]],'Tax rates'!A$2:C$8,1))</f>
        <v>6418.1</v>
      </c>
      <c r="K545" s="35">
        <f>Table24[[#This Row],[Salary]]-Table24[[#This Row],[Taxes]]</f>
        <v>41211.9</v>
      </c>
    </row>
    <row r="546" spans="1:11" x14ac:dyDescent="0.25">
      <c r="A546" s="5" t="s">
        <v>291</v>
      </c>
      <c r="B546" s="5" t="s">
        <v>27</v>
      </c>
      <c r="C546" s="5" t="s">
        <v>35</v>
      </c>
      <c r="D546" s="5" t="s">
        <v>3</v>
      </c>
      <c r="E546" s="6">
        <v>39722</v>
      </c>
      <c r="F546" s="5" t="s">
        <v>4</v>
      </c>
      <c r="G546" s="10">
        <v>44530</v>
      </c>
      <c r="H546" s="7">
        <v>2</v>
      </c>
      <c r="I546" s="12">
        <f>IF(OR(Table24[[#This Row],[Rating]]=4,Table24[[#This Row],[Rating]]=5), 0.05*Table24[[#This Row],[Salary]],0)</f>
        <v>0</v>
      </c>
      <c r="J546" s="14">
        <f>VLOOKUP(Table24[[#This Row],[Salary]],'Tax rates'!A$2:C$8, 2) + VLOOKUP(Table24[[#This Row],[Salary]],'Tax rates'!A$2:C$8, 3) * (Table24[[#This Row],[Salary]] - VLOOKUP(Table24[[#This Row],[Salary]],'Tax rates'!A$2:C$8,1))</f>
        <v>5736.1</v>
      </c>
      <c r="K546" s="35">
        <f>Table24[[#This Row],[Salary]]-Table24[[#This Row],[Taxes]]</f>
        <v>38793.9</v>
      </c>
    </row>
    <row r="547" spans="1:11" x14ac:dyDescent="0.25">
      <c r="A547" s="5" t="s">
        <v>145</v>
      </c>
      <c r="B547" s="5" t="s">
        <v>27</v>
      </c>
      <c r="C547" s="5" t="s">
        <v>35</v>
      </c>
      <c r="D547" s="5" t="s">
        <v>16</v>
      </c>
      <c r="E547" s="6">
        <v>40638</v>
      </c>
      <c r="F547" s="7"/>
      <c r="G547" s="10">
        <v>42990</v>
      </c>
      <c r="H547" s="7">
        <v>4</v>
      </c>
      <c r="I547" s="12">
        <f>IF(OR(Table24[[#This Row],[Rating]]=4,Table24[[#This Row],[Rating]]=5), 0.05*Table24[[#This Row],[Salary]],0)</f>
        <v>2149.5</v>
      </c>
      <c r="J547" s="14">
        <f>VLOOKUP(Table24[[#This Row],[Salary]],'Tax rates'!A$2:C$8, 2) + VLOOKUP(Table24[[#This Row],[Salary]],'Tax rates'!A$2:C$8, 3) * (Table24[[#This Row],[Salary]] - VLOOKUP(Table24[[#This Row],[Salary]],'Tax rates'!A$2:C$8,1))</f>
        <v>5397.3</v>
      </c>
      <c r="K547" s="35">
        <f>Table24[[#This Row],[Salary]]-Table24[[#This Row],[Taxes]]</f>
        <v>37592.699999999997</v>
      </c>
    </row>
    <row r="548" spans="1:11" x14ac:dyDescent="0.25">
      <c r="A548" s="5" t="s">
        <v>761</v>
      </c>
      <c r="B548" s="5" t="s">
        <v>27</v>
      </c>
      <c r="C548" s="5" t="s">
        <v>35</v>
      </c>
      <c r="D548" s="5" t="s">
        <v>3</v>
      </c>
      <c r="E548" s="6">
        <v>40420</v>
      </c>
      <c r="F548" s="5" t="s">
        <v>4</v>
      </c>
      <c r="G548" s="10">
        <v>31690</v>
      </c>
      <c r="H548" s="7">
        <v>4</v>
      </c>
      <c r="I548" s="12">
        <f>IF(OR(Table24[[#This Row],[Rating]]=4,Table24[[#This Row],[Rating]]=5), 0.05*Table24[[#This Row],[Salary]],0)</f>
        <v>1584.5</v>
      </c>
      <c r="J548" s="14">
        <f>VLOOKUP(Table24[[#This Row],[Salary]],'Tax rates'!A$2:C$8, 2) + VLOOKUP(Table24[[#This Row],[Salary]],'Tax rates'!A$2:C$8, 3) * (Table24[[#This Row],[Salary]] - VLOOKUP(Table24[[#This Row],[Salary]],'Tax rates'!A$2:C$8,1))</f>
        <v>3612.2999999999997</v>
      </c>
      <c r="K548" s="35">
        <f>Table24[[#This Row],[Salary]]-Table24[[#This Row],[Taxes]]</f>
        <v>28077.7</v>
      </c>
    </row>
    <row r="549" spans="1:11" x14ac:dyDescent="0.25">
      <c r="A549" s="5" t="s">
        <v>547</v>
      </c>
      <c r="B549" s="5" t="s">
        <v>27</v>
      </c>
      <c r="C549" s="5" t="s">
        <v>35</v>
      </c>
      <c r="D549" s="5" t="s">
        <v>24</v>
      </c>
      <c r="E549" s="6">
        <v>36365</v>
      </c>
      <c r="F549" s="5" t="s">
        <v>21</v>
      </c>
      <c r="G549" s="10">
        <v>19825</v>
      </c>
      <c r="H549" s="7">
        <v>2</v>
      </c>
      <c r="I549" s="12">
        <f>IF(OR(Table24[[#This Row],[Rating]]=4,Table24[[#This Row],[Rating]]=5), 0.05*Table24[[#This Row],[Salary]],0)</f>
        <v>0</v>
      </c>
      <c r="J549" s="14">
        <f>VLOOKUP(Table24[[#This Row],[Salary]],'Tax rates'!A$2:C$8, 2) + VLOOKUP(Table24[[#This Row],[Salary]],'Tax rates'!A$2:C$8, 3) * (Table24[[#This Row],[Salary]] - VLOOKUP(Table24[[#This Row],[Salary]],'Tax rates'!A$2:C$8,1))</f>
        <v>2188.5</v>
      </c>
      <c r="K549" s="35">
        <f>Table24[[#This Row],[Salary]]-Table24[[#This Row],[Taxes]]</f>
        <v>17636.5</v>
      </c>
    </row>
    <row r="550" spans="1:11" x14ac:dyDescent="0.25">
      <c r="A550" s="5" t="s">
        <v>601</v>
      </c>
      <c r="B550" s="5" t="s">
        <v>27</v>
      </c>
      <c r="C550" s="5" t="s">
        <v>102</v>
      </c>
      <c r="D550" s="5" t="s">
        <v>3</v>
      </c>
      <c r="E550" s="6">
        <v>40384</v>
      </c>
      <c r="F550" s="5" t="s">
        <v>4</v>
      </c>
      <c r="G550" s="10">
        <v>46680</v>
      </c>
      <c r="H550" s="7">
        <v>1</v>
      </c>
      <c r="I550" s="12">
        <f>IF(OR(Table24[[#This Row],[Rating]]=4,Table24[[#This Row],[Rating]]=5), 0.05*Table24[[#This Row],[Salary]],0)</f>
        <v>0</v>
      </c>
      <c r="J550" s="14">
        <f>VLOOKUP(Table24[[#This Row],[Salary]],'Tax rates'!A$2:C$8, 2) + VLOOKUP(Table24[[#This Row],[Salary]],'Tax rates'!A$2:C$8, 3) * (Table24[[#This Row],[Salary]] - VLOOKUP(Table24[[#This Row],[Salary]],'Tax rates'!A$2:C$8,1))</f>
        <v>6209.1</v>
      </c>
      <c r="K550" s="35">
        <f>Table24[[#This Row],[Salary]]-Table24[[#This Row],[Taxes]]</f>
        <v>40470.9</v>
      </c>
    </row>
    <row r="551" spans="1:11" x14ac:dyDescent="0.25">
      <c r="A551" s="5" t="s">
        <v>120</v>
      </c>
      <c r="B551" s="5" t="s">
        <v>27</v>
      </c>
      <c r="C551" s="5" t="s">
        <v>37</v>
      </c>
      <c r="D551" s="5" t="s">
        <v>16</v>
      </c>
      <c r="E551" s="6">
        <v>39011</v>
      </c>
      <c r="F551" s="7"/>
      <c r="G551" s="10">
        <v>86470</v>
      </c>
      <c r="H551" s="7">
        <v>4</v>
      </c>
      <c r="I551" s="12">
        <f>IF(OR(Table24[[#This Row],[Rating]]=4,Table24[[#This Row],[Rating]]=5), 0.05*Table24[[#This Row],[Salary]],0)</f>
        <v>4323.5</v>
      </c>
      <c r="J551" s="14">
        <f>VLOOKUP(Table24[[#This Row],[Salary]],'Tax rates'!A$2:C$8, 2) + VLOOKUP(Table24[[#This Row],[Salary]],'Tax rates'!A$2:C$8, 3) * (Table24[[#This Row],[Salary]] - VLOOKUP(Table24[[#This Row],[Salary]],'Tax rates'!A$2:C$8,1))</f>
        <v>15042.3</v>
      </c>
      <c r="K551" s="35">
        <f>Table24[[#This Row],[Salary]]-Table24[[#This Row],[Taxes]]</f>
        <v>71427.7</v>
      </c>
    </row>
    <row r="552" spans="1:11" x14ac:dyDescent="0.25">
      <c r="A552" s="5" t="s">
        <v>424</v>
      </c>
      <c r="B552" s="5" t="s">
        <v>27</v>
      </c>
      <c r="C552" s="5" t="s">
        <v>37</v>
      </c>
      <c r="D552" s="5" t="s">
        <v>16</v>
      </c>
      <c r="E552" s="6">
        <v>40333</v>
      </c>
      <c r="F552" s="7"/>
      <c r="G552" s="10">
        <v>74020</v>
      </c>
      <c r="H552" s="7">
        <v>2</v>
      </c>
      <c r="I552" s="12">
        <f>IF(OR(Table24[[#This Row],[Rating]]=4,Table24[[#This Row],[Rating]]=5), 0.05*Table24[[#This Row],[Salary]],0)</f>
        <v>0</v>
      </c>
      <c r="J552" s="14">
        <f>VLOOKUP(Table24[[#This Row],[Salary]],'Tax rates'!A$2:C$8, 2) + VLOOKUP(Table24[[#This Row],[Salary]],'Tax rates'!A$2:C$8, 3) * (Table24[[#This Row],[Salary]] - VLOOKUP(Table24[[#This Row],[Salary]],'Tax rates'!A$2:C$8,1))</f>
        <v>12223.9</v>
      </c>
      <c r="K552" s="35">
        <f>Table24[[#This Row],[Salary]]-Table24[[#This Row],[Taxes]]</f>
        <v>61796.1</v>
      </c>
    </row>
    <row r="553" spans="1:11" x14ac:dyDescent="0.25">
      <c r="A553" s="5" t="s">
        <v>765</v>
      </c>
      <c r="B553" s="5" t="s">
        <v>27</v>
      </c>
      <c r="C553" s="5" t="s">
        <v>106</v>
      </c>
      <c r="D553" s="5" t="s">
        <v>3</v>
      </c>
      <c r="E553" s="6">
        <v>36143</v>
      </c>
      <c r="F553" s="5" t="s">
        <v>11</v>
      </c>
      <c r="G553" s="10">
        <v>72090</v>
      </c>
      <c r="H553" s="7">
        <v>5</v>
      </c>
      <c r="I553" s="12">
        <f>IF(OR(Table24[[#This Row],[Rating]]=4,Table24[[#This Row],[Rating]]=5), 0.05*Table24[[#This Row],[Salary]],0)</f>
        <v>3604.5</v>
      </c>
      <c r="J553" s="14">
        <f>VLOOKUP(Table24[[#This Row],[Salary]],'Tax rates'!A$2:C$8, 2) + VLOOKUP(Table24[[#This Row],[Salary]],'Tax rates'!A$2:C$8, 3) * (Table24[[#This Row],[Salary]] - VLOOKUP(Table24[[#This Row],[Salary]],'Tax rates'!A$2:C$8,1))</f>
        <v>11799.3</v>
      </c>
      <c r="K553" s="35">
        <f>Table24[[#This Row],[Salary]]-Table24[[#This Row],[Taxes]]</f>
        <v>60290.7</v>
      </c>
    </row>
    <row r="554" spans="1:11" x14ac:dyDescent="0.25">
      <c r="A554" s="5" t="s">
        <v>692</v>
      </c>
      <c r="B554" s="5" t="s">
        <v>27</v>
      </c>
      <c r="C554" s="5" t="s">
        <v>106</v>
      </c>
      <c r="D554" s="5" t="s">
        <v>3</v>
      </c>
      <c r="E554" s="6">
        <v>37404</v>
      </c>
      <c r="F554" s="5" t="s">
        <v>4</v>
      </c>
      <c r="G554" s="10">
        <v>30780</v>
      </c>
      <c r="H554" s="7">
        <v>4</v>
      </c>
      <c r="I554" s="12">
        <f>IF(OR(Table24[[#This Row],[Rating]]=4,Table24[[#This Row],[Rating]]=5), 0.05*Table24[[#This Row],[Salary]],0)</f>
        <v>1539</v>
      </c>
      <c r="J554" s="14">
        <f>VLOOKUP(Table24[[#This Row],[Salary]],'Tax rates'!A$2:C$8, 2) + VLOOKUP(Table24[[#This Row],[Salary]],'Tax rates'!A$2:C$8, 3) * (Table24[[#This Row],[Salary]] - VLOOKUP(Table24[[#This Row],[Salary]],'Tax rates'!A$2:C$8,1))</f>
        <v>3503.1</v>
      </c>
      <c r="K554" s="35">
        <f>Table24[[#This Row],[Salary]]-Table24[[#This Row],[Taxes]]</f>
        <v>27276.9</v>
      </c>
    </row>
    <row r="555" spans="1:11" x14ac:dyDescent="0.25">
      <c r="A555" s="5" t="s">
        <v>529</v>
      </c>
      <c r="B555" s="5" t="s">
        <v>27</v>
      </c>
      <c r="C555" s="5" t="s">
        <v>106</v>
      </c>
      <c r="D555" s="5" t="s">
        <v>24</v>
      </c>
      <c r="E555" s="6">
        <v>36217</v>
      </c>
      <c r="F555" s="5" t="s">
        <v>4</v>
      </c>
      <c r="G555" s="10">
        <v>15240</v>
      </c>
      <c r="H555" s="7">
        <v>1</v>
      </c>
      <c r="I555" s="12">
        <f>IF(OR(Table24[[#This Row],[Rating]]=4,Table24[[#This Row],[Rating]]=5), 0.05*Table24[[#This Row],[Salary]],0)</f>
        <v>0</v>
      </c>
      <c r="J555" s="14">
        <f>VLOOKUP(Table24[[#This Row],[Salary]],'Tax rates'!A$2:C$8, 2) + VLOOKUP(Table24[[#This Row],[Salary]],'Tax rates'!A$2:C$8, 3) * (Table24[[#This Row],[Salary]] - VLOOKUP(Table24[[#This Row],[Salary]],'Tax rates'!A$2:C$8,1))</f>
        <v>1638.3</v>
      </c>
      <c r="K555" s="35">
        <f>Table24[[#This Row],[Salary]]-Table24[[#This Row],[Taxes]]</f>
        <v>13601.7</v>
      </c>
    </row>
    <row r="556" spans="1:11" x14ac:dyDescent="0.25">
      <c r="A556" s="5" t="s">
        <v>652</v>
      </c>
      <c r="B556" s="5" t="s">
        <v>29</v>
      </c>
      <c r="C556" s="5" t="s">
        <v>30</v>
      </c>
      <c r="D556" s="5" t="s">
        <v>3</v>
      </c>
      <c r="E556" s="6">
        <v>39217</v>
      </c>
      <c r="F556" s="5" t="s">
        <v>4</v>
      </c>
      <c r="G556" s="10">
        <v>73830</v>
      </c>
      <c r="H556" s="7">
        <v>2</v>
      </c>
      <c r="I556" s="12">
        <f>IF(OR(Table24[[#This Row],[Rating]]=4,Table24[[#This Row],[Rating]]=5), 0.05*Table24[[#This Row],[Salary]],0)</f>
        <v>0</v>
      </c>
      <c r="J556" s="14">
        <f>VLOOKUP(Table24[[#This Row],[Salary]],'Tax rates'!A$2:C$8, 2) + VLOOKUP(Table24[[#This Row],[Salary]],'Tax rates'!A$2:C$8, 3) * (Table24[[#This Row],[Salary]] - VLOOKUP(Table24[[#This Row],[Salary]],'Tax rates'!A$2:C$8,1))</f>
        <v>12182.1</v>
      </c>
      <c r="K556" s="35">
        <f>Table24[[#This Row],[Salary]]-Table24[[#This Row],[Taxes]]</f>
        <v>61647.9</v>
      </c>
    </row>
    <row r="557" spans="1:11" x14ac:dyDescent="0.25">
      <c r="A557" s="5" t="s">
        <v>28</v>
      </c>
      <c r="B557" s="5" t="s">
        <v>29</v>
      </c>
      <c r="C557" s="5" t="s">
        <v>30</v>
      </c>
      <c r="D557" s="5" t="s">
        <v>16</v>
      </c>
      <c r="E557" s="6">
        <v>36375</v>
      </c>
      <c r="F557" s="7"/>
      <c r="G557" s="10">
        <v>71300</v>
      </c>
      <c r="H557" s="7">
        <v>5</v>
      </c>
      <c r="I557" s="12">
        <f>IF(OR(Table24[[#This Row],[Rating]]=4,Table24[[#This Row],[Rating]]=5), 0.05*Table24[[#This Row],[Salary]],0)</f>
        <v>3565</v>
      </c>
      <c r="J557" s="14">
        <f>VLOOKUP(Table24[[#This Row],[Salary]],'Tax rates'!A$2:C$8, 2) + VLOOKUP(Table24[[#This Row],[Salary]],'Tax rates'!A$2:C$8, 3) * (Table24[[#This Row],[Salary]] - VLOOKUP(Table24[[#This Row],[Salary]],'Tax rates'!A$2:C$8,1))</f>
        <v>11625.5</v>
      </c>
      <c r="K557" s="35">
        <f>Table24[[#This Row],[Salary]]-Table24[[#This Row],[Taxes]]</f>
        <v>59674.5</v>
      </c>
    </row>
    <row r="558" spans="1:11" x14ac:dyDescent="0.25">
      <c r="A558" s="5" t="s">
        <v>274</v>
      </c>
      <c r="B558" s="5" t="s">
        <v>29</v>
      </c>
      <c r="C558" s="5" t="s">
        <v>30</v>
      </c>
      <c r="D558" s="5" t="s">
        <v>3</v>
      </c>
      <c r="E558" s="6">
        <v>38790</v>
      </c>
      <c r="F558" s="5" t="s">
        <v>25</v>
      </c>
      <c r="G558" s="10">
        <v>62688</v>
      </c>
      <c r="H558" s="7">
        <v>3</v>
      </c>
      <c r="I558" s="12">
        <f>IF(OR(Table24[[#This Row],[Rating]]=4,Table24[[#This Row],[Rating]]=5), 0.05*Table24[[#This Row],[Salary]],0)</f>
        <v>0</v>
      </c>
      <c r="J558" s="14">
        <f>VLOOKUP(Table24[[#This Row],[Salary]],'Tax rates'!A$2:C$8, 2) + VLOOKUP(Table24[[#This Row],[Salary]],'Tax rates'!A$2:C$8, 3) * (Table24[[#This Row],[Salary]] - VLOOKUP(Table24[[#This Row],[Salary]],'Tax rates'!A$2:C$8,1))</f>
        <v>9730.86</v>
      </c>
      <c r="K558" s="35">
        <f>Table24[[#This Row],[Salary]]-Table24[[#This Row],[Taxes]]</f>
        <v>52957.14</v>
      </c>
    </row>
    <row r="559" spans="1:11" x14ac:dyDescent="0.25">
      <c r="A559" s="5" t="s">
        <v>736</v>
      </c>
      <c r="B559" s="5" t="s">
        <v>29</v>
      </c>
      <c r="C559" s="5" t="s">
        <v>30</v>
      </c>
      <c r="D559" s="5" t="s">
        <v>3</v>
      </c>
      <c r="E559" s="6">
        <v>39519</v>
      </c>
      <c r="F559" s="5" t="s">
        <v>9</v>
      </c>
      <c r="G559" s="10">
        <v>61330</v>
      </c>
      <c r="H559" s="7">
        <v>2</v>
      </c>
      <c r="I559" s="12">
        <f>IF(OR(Table24[[#This Row],[Rating]]=4,Table24[[#This Row],[Rating]]=5), 0.05*Table24[[#This Row],[Salary]],0)</f>
        <v>0</v>
      </c>
      <c r="J559" s="14">
        <f>VLOOKUP(Table24[[#This Row],[Salary]],'Tax rates'!A$2:C$8, 2) + VLOOKUP(Table24[[#This Row],[Salary]],'Tax rates'!A$2:C$8, 3) * (Table24[[#This Row],[Salary]] - VLOOKUP(Table24[[#This Row],[Salary]],'Tax rates'!A$2:C$8,1))</f>
        <v>9432.1</v>
      </c>
      <c r="K559" s="35">
        <f>Table24[[#This Row],[Salary]]-Table24[[#This Row],[Taxes]]</f>
        <v>51897.9</v>
      </c>
    </row>
    <row r="560" spans="1:11" x14ac:dyDescent="0.25">
      <c r="A560" s="5" t="s">
        <v>220</v>
      </c>
      <c r="B560" s="5" t="s">
        <v>29</v>
      </c>
      <c r="C560" s="5" t="s">
        <v>30</v>
      </c>
      <c r="D560" s="5" t="s">
        <v>24</v>
      </c>
      <c r="E560" s="6">
        <v>40293</v>
      </c>
      <c r="F560" s="5" t="s">
        <v>4</v>
      </c>
      <c r="G560" s="10">
        <v>11810</v>
      </c>
      <c r="H560" s="7">
        <v>1</v>
      </c>
      <c r="I560" s="12">
        <f>IF(OR(Table24[[#This Row],[Rating]]=4,Table24[[#This Row],[Rating]]=5), 0.05*Table24[[#This Row],[Salary]],0)</f>
        <v>0</v>
      </c>
      <c r="J560" s="14">
        <f>VLOOKUP(Table24[[#This Row],[Salary]],'Tax rates'!A$2:C$8, 2) + VLOOKUP(Table24[[#This Row],[Salary]],'Tax rates'!A$2:C$8, 3) * (Table24[[#This Row],[Salary]] - VLOOKUP(Table24[[#This Row],[Salary]],'Tax rates'!A$2:C$8,1))</f>
        <v>1226.7</v>
      </c>
      <c r="K560" s="35">
        <f>Table24[[#This Row],[Salary]]-Table24[[#This Row],[Taxes]]</f>
        <v>10583.3</v>
      </c>
    </row>
    <row r="561" spans="1:11" x14ac:dyDescent="0.25">
      <c r="A561" s="5" t="s">
        <v>355</v>
      </c>
      <c r="B561" s="5" t="s">
        <v>29</v>
      </c>
      <c r="C561" s="5" t="s">
        <v>30</v>
      </c>
      <c r="D561" s="5" t="s">
        <v>24</v>
      </c>
      <c r="E561" s="6">
        <v>38723</v>
      </c>
      <c r="F561" s="5" t="s">
        <v>11</v>
      </c>
      <c r="G561" s="10">
        <v>10630</v>
      </c>
      <c r="H561" s="7">
        <v>3</v>
      </c>
      <c r="I561" s="12">
        <f>IF(OR(Table24[[#This Row],[Rating]]=4,Table24[[#This Row],[Rating]]=5), 0.05*Table24[[#This Row],[Salary]],0)</f>
        <v>0</v>
      </c>
      <c r="J561" s="14">
        <f>VLOOKUP(Table24[[#This Row],[Salary]],'Tax rates'!A$2:C$8, 2) + VLOOKUP(Table24[[#This Row],[Salary]],'Tax rates'!A$2:C$8, 3) * (Table24[[#This Row],[Salary]] - VLOOKUP(Table24[[#This Row],[Salary]],'Tax rates'!A$2:C$8,1))</f>
        <v>1085.0999999999999</v>
      </c>
      <c r="K561" s="35">
        <f>Table24[[#This Row],[Salary]]-Table24[[#This Row],[Taxes]]</f>
        <v>9544.9</v>
      </c>
    </row>
    <row r="562" spans="1:11" x14ac:dyDescent="0.25">
      <c r="A562" s="5" t="s">
        <v>741</v>
      </c>
      <c r="B562" s="5" t="s">
        <v>29</v>
      </c>
      <c r="C562" s="5" t="s">
        <v>197</v>
      </c>
      <c r="D562" s="5" t="s">
        <v>3</v>
      </c>
      <c r="E562" s="6">
        <v>39447</v>
      </c>
      <c r="F562" s="5" t="s">
        <v>21</v>
      </c>
      <c r="G562" s="10">
        <v>72830</v>
      </c>
      <c r="H562" s="7">
        <v>2</v>
      </c>
      <c r="I562" s="12">
        <f>IF(OR(Table24[[#This Row],[Rating]]=4,Table24[[#This Row],[Rating]]=5), 0.05*Table24[[#This Row],[Salary]],0)</f>
        <v>0</v>
      </c>
      <c r="J562" s="14">
        <f>VLOOKUP(Table24[[#This Row],[Salary]],'Tax rates'!A$2:C$8, 2) + VLOOKUP(Table24[[#This Row],[Salary]],'Tax rates'!A$2:C$8, 3) * (Table24[[#This Row],[Salary]] - VLOOKUP(Table24[[#This Row],[Salary]],'Tax rates'!A$2:C$8,1))</f>
        <v>11962.1</v>
      </c>
      <c r="K562" s="35">
        <f>Table24[[#This Row],[Salary]]-Table24[[#This Row],[Taxes]]</f>
        <v>60867.9</v>
      </c>
    </row>
    <row r="563" spans="1:11" x14ac:dyDescent="0.25">
      <c r="A563" s="5" t="s">
        <v>179</v>
      </c>
      <c r="B563" s="5" t="s">
        <v>29</v>
      </c>
      <c r="C563" s="5" t="s">
        <v>20</v>
      </c>
      <c r="D563" s="5" t="s">
        <v>16</v>
      </c>
      <c r="E563" s="6">
        <v>36342</v>
      </c>
      <c r="F563" s="7"/>
      <c r="G563" s="10">
        <v>86970</v>
      </c>
      <c r="H563" s="7">
        <v>4</v>
      </c>
      <c r="I563" s="12">
        <f>IF(OR(Table24[[#This Row],[Rating]]=4,Table24[[#This Row],[Rating]]=5), 0.05*Table24[[#This Row],[Salary]],0)</f>
        <v>4348.5</v>
      </c>
      <c r="J563" s="14">
        <f>VLOOKUP(Table24[[#This Row],[Salary]],'Tax rates'!A$2:C$8, 2) + VLOOKUP(Table24[[#This Row],[Salary]],'Tax rates'!A$2:C$8, 3) * (Table24[[#This Row],[Salary]] - VLOOKUP(Table24[[#This Row],[Salary]],'Tax rates'!A$2:C$8,1))</f>
        <v>15162.3</v>
      </c>
      <c r="K563" s="35">
        <f>Table24[[#This Row],[Salary]]-Table24[[#This Row],[Taxes]]</f>
        <v>71807.7</v>
      </c>
    </row>
    <row r="564" spans="1:11" x14ac:dyDescent="0.25">
      <c r="A564" s="5" t="s">
        <v>265</v>
      </c>
      <c r="B564" s="5" t="s">
        <v>29</v>
      </c>
      <c r="C564" s="5" t="s">
        <v>20</v>
      </c>
      <c r="D564" s="5" t="s">
        <v>3</v>
      </c>
      <c r="E564" s="6">
        <v>38774</v>
      </c>
      <c r="F564" s="5" t="s">
        <v>4</v>
      </c>
      <c r="G564" s="10">
        <v>80120</v>
      </c>
      <c r="H564" s="7">
        <v>4</v>
      </c>
      <c r="I564" s="12">
        <f>IF(OR(Table24[[#This Row],[Rating]]=4,Table24[[#This Row],[Rating]]=5), 0.05*Table24[[#This Row],[Salary]],0)</f>
        <v>4006</v>
      </c>
      <c r="J564" s="14">
        <f>VLOOKUP(Table24[[#This Row],[Salary]],'Tax rates'!A$2:C$8, 2) + VLOOKUP(Table24[[#This Row],[Salary]],'Tax rates'!A$2:C$8, 3) * (Table24[[#This Row],[Salary]] - VLOOKUP(Table24[[#This Row],[Salary]],'Tax rates'!A$2:C$8,1))</f>
        <v>13565.9</v>
      </c>
      <c r="K564" s="35">
        <f>Table24[[#This Row],[Salary]]-Table24[[#This Row],[Taxes]]</f>
        <v>66554.100000000006</v>
      </c>
    </row>
    <row r="565" spans="1:11" x14ac:dyDescent="0.25">
      <c r="A565" s="5" t="s">
        <v>371</v>
      </c>
      <c r="B565" s="5" t="s">
        <v>29</v>
      </c>
      <c r="C565" s="5" t="s">
        <v>20</v>
      </c>
      <c r="D565" s="5" t="s">
        <v>3</v>
      </c>
      <c r="E565" s="6">
        <v>37612</v>
      </c>
      <c r="F565" s="5" t="s">
        <v>21</v>
      </c>
      <c r="G565" s="10">
        <v>39740</v>
      </c>
      <c r="H565" s="7">
        <v>1</v>
      </c>
      <c r="I565" s="12">
        <f>IF(OR(Table24[[#This Row],[Rating]]=4,Table24[[#This Row],[Rating]]=5), 0.05*Table24[[#This Row],[Salary]],0)</f>
        <v>0</v>
      </c>
      <c r="J565" s="14">
        <f>VLOOKUP(Table24[[#This Row],[Salary]],'Tax rates'!A$2:C$8, 2) + VLOOKUP(Table24[[#This Row],[Salary]],'Tax rates'!A$2:C$8, 3) * (Table24[[#This Row],[Salary]] - VLOOKUP(Table24[[#This Row],[Salary]],'Tax rates'!A$2:C$8,1))</f>
        <v>4682.3</v>
      </c>
      <c r="K565" s="35">
        <f>Table24[[#This Row],[Salary]]-Table24[[#This Row],[Taxes]]</f>
        <v>35057.699999999997</v>
      </c>
    </row>
    <row r="566" spans="1:11" x14ac:dyDescent="0.25">
      <c r="A566" s="5" t="s">
        <v>396</v>
      </c>
      <c r="B566" s="5" t="s">
        <v>29</v>
      </c>
      <c r="C566" s="5" t="s">
        <v>138</v>
      </c>
      <c r="D566" s="5" t="s">
        <v>3</v>
      </c>
      <c r="E566" s="6">
        <v>38801</v>
      </c>
      <c r="F566" s="5" t="s">
        <v>21</v>
      </c>
      <c r="G566" s="10">
        <v>26510</v>
      </c>
      <c r="H566" s="7">
        <v>1</v>
      </c>
      <c r="I566" s="12">
        <f>IF(OR(Table24[[#This Row],[Rating]]=4,Table24[[#This Row],[Rating]]=5), 0.05*Table24[[#This Row],[Salary]],0)</f>
        <v>0</v>
      </c>
      <c r="J566" s="14">
        <f>VLOOKUP(Table24[[#This Row],[Salary]],'Tax rates'!A$2:C$8, 2) + VLOOKUP(Table24[[#This Row],[Salary]],'Tax rates'!A$2:C$8, 3) * (Table24[[#This Row],[Salary]] - VLOOKUP(Table24[[#This Row],[Salary]],'Tax rates'!A$2:C$8,1))</f>
        <v>2990.7</v>
      </c>
      <c r="K566" s="35">
        <f>Table24[[#This Row],[Salary]]-Table24[[#This Row],[Taxes]]</f>
        <v>23519.3</v>
      </c>
    </row>
    <row r="567" spans="1:11" x14ac:dyDescent="0.25">
      <c r="A567" s="5" t="s">
        <v>724</v>
      </c>
      <c r="B567" s="5" t="s">
        <v>29</v>
      </c>
      <c r="C567" s="5" t="s">
        <v>75</v>
      </c>
      <c r="D567" s="5" t="s">
        <v>16</v>
      </c>
      <c r="E567" s="6">
        <v>35940</v>
      </c>
      <c r="F567" s="7"/>
      <c r="G567" s="10">
        <v>88000</v>
      </c>
      <c r="H567" s="7">
        <v>5</v>
      </c>
      <c r="I567" s="12">
        <f>IF(OR(Table24[[#This Row],[Rating]]=4,Table24[[#This Row],[Rating]]=5), 0.05*Table24[[#This Row],[Salary]],0)</f>
        <v>4400</v>
      </c>
      <c r="J567" s="14">
        <f>VLOOKUP(Table24[[#This Row],[Salary]],'Tax rates'!A$2:C$8, 2) + VLOOKUP(Table24[[#This Row],[Salary]],'Tax rates'!A$2:C$8, 3) * (Table24[[#This Row],[Salary]] - VLOOKUP(Table24[[#This Row],[Salary]],'Tax rates'!A$2:C$8,1))</f>
        <v>15409.5</v>
      </c>
      <c r="K567" s="35">
        <f>Table24[[#This Row],[Salary]]-Table24[[#This Row],[Taxes]]</f>
        <v>72590.5</v>
      </c>
    </row>
    <row r="568" spans="1:11" x14ac:dyDescent="0.25">
      <c r="A568" s="5" t="s">
        <v>232</v>
      </c>
      <c r="B568" s="5" t="s">
        <v>29</v>
      </c>
      <c r="C568" s="5" t="s">
        <v>75</v>
      </c>
      <c r="D568" s="5" t="s">
        <v>3</v>
      </c>
      <c r="E568" s="6">
        <v>39379</v>
      </c>
      <c r="F568" s="5" t="s">
        <v>4</v>
      </c>
      <c r="G568" s="10">
        <v>67890</v>
      </c>
      <c r="H568" s="7">
        <v>5</v>
      </c>
      <c r="I568" s="12">
        <f>IF(OR(Table24[[#This Row],[Rating]]=4,Table24[[#This Row],[Rating]]=5), 0.05*Table24[[#This Row],[Salary]],0)</f>
        <v>3394.5</v>
      </c>
      <c r="J568" s="14">
        <f>VLOOKUP(Table24[[#This Row],[Salary]],'Tax rates'!A$2:C$8, 2) + VLOOKUP(Table24[[#This Row],[Salary]],'Tax rates'!A$2:C$8, 3) * (Table24[[#This Row],[Salary]] - VLOOKUP(Table24[[#This Row],[Salary]],'Tax rates'!A$2:C$8,1))</f>
        <v>10875.3</v>
      </c>
      <c r="K568" s="35">
        <f>Table24[[#This Row],[Salary]]-Table24[[#This Row],[Taxes]]</f>
        <v>57014.7</v>
      </c>
    </row>
    <row r="569" spans="1:11" x14ac:dyDescent="0.25">
      <c r="A569" s="5" t="s">
        <v>660</v>
      </c>
      <c r="B569" s="5" t="s">
        <v>29</v>
      </c>
      <c r="C569" s="5" t="s">
        <v>75</v>
      </c>
      <c r="D569" s="5" t="s">
        <v>24</v>
      </c>
      <c r="E569" s="6">
        <v>36896</v>
      </c>
      <c r="F569" s="5" t="s">
        <v>4</v>
      </c>
      <c r="G569" s="10">
        <v>35280</v>
      </c>
      <c r="H569" s="7">
        <v>3</v>
      </c>
      <c r="I569" s="12">
        <f>IF(OR(Table24[[#This Row],[Rating]]=4,Table24[[#This Row],[Rating]]=5), 0.05*Table24[[#This Row],[Salary]],0)</f>
        <v>0</v>
      </c>
      <c r="J569" s="14">
        <f>VLOOKUP(Table24[[#This Row],[Salary]],'Tax rates'!A$2:C$8, 2) + VLOOKUP(Table24[[#This Row],[Salary]],'Tax rates'!A$2:C$8, 3) * (Table24[[#This Row],[Salary]] - VLOOKUP(Table24[[#This Row],[Salary]],'Tax rates'!A$2:C$8,1))</f>
        <v>4043.1</v>
      </c>
      <c r="K569" s="35">
        <f>Table24[[#This Row],[Salary]]-Table24[[#This Row],[Taxes]]</f>
        <v>31236.9</v>
      </c>
    </row>
    <row r="570" spans="1:11" x14ac:dyDescent="0.25">
      <c r="A570" s="5" t="s">
        <v>697</v>
      </c>
      <c r="B570" s="5" t="s">
        <v>29</v>
      </c>
      <c r="C570" s="5" t="s">
        <v>75</v>
      </c>
      <c r="D570" s="5" t="s">
        <v>24</v>
      </c>
      <c r="E570" s="6">
        <v>39802</v>
      </c>
      <c r="F570" s="5" t="s">
        <v>9</v>
      </c>
      <c r="G570" s="10">
        <v>22535</v>
      </c>
      <c r="H570" s="7">
        <v>3</v>
      </c>
      <c r="I570" s="12">
        <f>IF(OR(Table24[[#This Row],[Rating]]=4,Table24[[#This Row],[Rating]]=5), 0.05*Table24[[#This Row],[Salary]],0)</f>
        <v>0</v>
      </c>
      <c r="J570" s="14">
        <f>VLOOKUP(Table24[[#This Row],[Salary]],'Tax rates'!A$2:C$8, 2) + VLOOKUP(Table24[[#This Row],[Salary]],'Tax rates'!A$2:C$8, 3) * (Table24[[#This Row],[Salary]] - VLOOKUP(Table24[[#This Row],[Salary]],'Tax rates'!A$2:C$8,1))</f>
        <v>2513.6999999999998</v>
      </c>
      <c r="K570" s="35">
        <f>Table24[[#This Row],[Salary]]-Table24[[#This Row],[Taxes]]</f>
        <v>20021.3</v>
      </c>
    </row>
    <row r="571" spans="1:11" x14ac:dyDescent="0.25">
      <c r="A571" s="5" t="s">
        <v>511</v>
      </c>
      <c r="B571" s="5" t="s">
        <v>29</v>
      </c>
      <c r="C571" s="5" t="s">
        <v>23</v>
      </c>
      <c r="D571" s="5" t="s">
        <v>3</v>
      </c>
      <c r="E571" s="6">
        <v>39678</v>
      </c>
      <c r="F571" s="5" t="s">
        <v>11</v>
      </c>
      <c r="G571" s="10">
        <v>80090</v>
      </c>
      <c r="H571" s="7">
        <v>2</v>
      </c>
      <c r="I571" s="12">
        <f>IF(OR(Table24[[#This Row],[Rating]]=4,Table24[[#This Row],[Rating]]=5), 0.05*Table24[[#This Row],[Salary]],0)</f>
        <v>0</v>
      </c>
      <c r="J571" s="14">
        <f>VLOOKUP(Table24[[#This Row],[Salary]],'Tax rates'!A$2:C$8, 2) + VLOOKUP(Table24[[#This Row],[Salary]],'Tax rates'!A$2:C$8, 3) * (Table24[[#This Row],[Salary]] - VLOOKUP(Table24[[#This Row],[Salary]],'Tax rates'!A$2:C$8,1))</f>
        <v>13559.3</v>
      </c>
      <c r="K571" s="35">
        <f>Table24[[#This Row],[Salary]]-Table24[[#This Row],[Taxes]]</f>
        <v>66530.7</v>
      </c>
    </row>
    <row r="572" spans="1:11" x14ac:dyDescent="0.25">
      <c r="A572" s="5" t="s">
        <v>449</v>
      </c>
      <c r="B572" s="5" t="s">
        <v>29</v>
      </c>
      <c r="C572" s="5" t="s">
        <v>23</v>
      </c>
      <c r="D572" s="5" t="s">
        <v>3</v>
      </c>
      <c r="E572" s="6">
        <v>39123</v>
      </c>
      <c r="F572" s="5" t="s">
        <v>21</v>
      </c>
      <c r="G572" s="10">
        <v>77840</v>
      </c>
      <c r="H572" s="7">
        <v>2</v>
      </c>
      <c r="I572" s="12">
        <f>IF(OR(Table24[[#This Row],[Rating]]=4,Table24[[#This Row],[Rating]]=5), 0.05*Table24[[#This Row],[Salary]],0)</f>
        <v>0</v>
      </c>
      <c r="J572" s="14">
        <f>VLOOKUP(Table24[[#This Row],[Salary]],'Tax rates'!A$2:C$8, 2) + VLOOKUP(Table24[[#This Row],[Salary]],'Tax rates'!A$2:C$8, 3) * (Table24[[#This Row],[Salary]] - VLOOKUP(Table24[[#This Row],[Salary]],'Tax rates'!A$2:C$8,1))</f>
        <v>13064.3</v>
      </c>
      <c r="K572" s="35">
        <f>Table24[[#This Row],[Salary]]-Table24[[#This Row],[Taxes]]</f>
        <v>64775.7</v>
      </c>
    </row>
    <row r="573" spans="1:11" x14ac:dyDescent="0.25">
      <c r="A573" s="5" t="s">
        <v>33</v>
      </c>
      <c r="B573" s="5" t="s">
        <v>29</v>
      </c>
      <c r="C573" s="5" t="s">
        <v>23</v>
      </c>
      <c r="D573" s="5" t="s">
        <v>24</v>
      </c>
      <c r="E573" s="6">
        <v>40393</v>
      </c>
      <c r="F573" s="5" t="s">
        <v>4</v>
      </c>
      <c r="G573" s="10">
        <v>16925</v>
      </c>
      <c r="H573" s="7">
        <v>1</v>
      </c>
      <c r="I573" s="12">
        <f>IF(OR(Table24[[#This Row],[Rating]]=4,Table24[[#This Row],[Rating]]=5), 0.05*Table24[[#This Row],[Salary]],0)</f>
        <v>0</v>
      </c>
      <c r="J573" s="14">
        <f>VLOOKUP(Table24[[#This Row],[Salary]],'Tax rates'!A$2:C$8, 2) + VLOOKUP(Table24[[#This Row],[Salary]],'Tax rates'!A$2:C$8, 3) * (Table24[[#This Row],[Salary]] - VLOOKUP(Table24[[#This Row],[Salary]],'Tax rates'!A$2:C$8,1))</f>
        <v>1840.5</v>
      </c>
      <c r="K573" s="35">
        <f>Table24[[#This Row],[Salary]]-Table24[[#This Row],[Taxes]]</f>
        <v>15084.5</v>
      </c>
    </row>
    <row r="574" spans="1:11" x14ac:dyDescent="0.25">
      <c r="A574" s="5" t="s">
        <v>132</v>
      </c>
      <c r="B574" s="5" t="s">
        <v>29</v>
      </c>
      <c r="C574" s="5" t="s">
        <v>18</v>
      </c>
      <c r="D574" s="5" t="s">
        <v>16</v>
      </c>
      <c r="E574" s="6">
        <v>39785</v>
      </c>
      <c r="F574" s="7"/>
      <c r="G574" s="10">
        <v>80690</v>
      </c>
      <c r="H574" s="7">
        <v>3</v>
      </c>
      <c r="I574" s="12">
        <f>IF(OR(Table24[[#This Row],[Rating]]=4,Table24[[#This Row],[Rating]]=5), 0.05*Table24[[#This Row],[Salary]],0)</f>
        <v>0</v>
      </c>
      <c r="J574" s="14">
        <f>VLOOKUP(Table24[[#This Row],[Salary]],'Tax rates'!A$2:C$8, 2) + VLOOKUP(Table24[[#This Row],[Salary]],'Tax rates'!A$2:C$8, 3) * (Table24[[#This Row],[Salary]] - VLOOKUP(Table24[[#This Row],[Salary]],'Tax rates'!A$2:C$8,1))</f>
        <v>13691.3</v>
      </c>
      <c r="K574" s="35">
        <f>Table24[[#This Row],[Salary]]-Table24[[#This Row],[Taxes]]</f>
        <v>66998.7</v>
      </c>
    </row>
    <row r="575" spans="1:11" x14ac:dyDescent="0.25">
      <c r="A575" s="5" t="s">
        <v>160</v>
      </c>
      <c r="B575" s="5" t="s">
        <v>29</v>
      </c>
      <c r="C575" s="5" t="s">
        <v>18</v>
      </c>
      <c r="D575" s="5" t="s">
        <v>16</v>
      </c>
      <c r="E575" s="6">
        <v>37820</v>
      </c>
      <c r="F575" s="7"/>
      <c r="G575" s="10">
        <v>75420</v>
      </c>
      <c r="H575" s="7">
        <v>1</v>
      </c>
      <c r="I575" s="12">
        <f>IF(OR(Table24[[#This Row],[Rating]]=4,Table24[[#This Row],[Rating]]=5), 0.05*Table24[[#This Row],[Salary]],0)</f>
        <v>0</v>
      </c>
      <c r="J575" s="14">
        <f>VLOOKUP(Table24[[#This Row],[Salary]],'Tax rates'!A$2:C$8, 2) + VLOOKUP(Table24[[#This Row],[Salary]],'Tax rates'!A$2:C$8, 3) * (Table24[[#This Row],[Salary]] - VLOOKUP(Table24[[#This Row],[Salary]],'Tax rates'!A$2:C$8,1))</f>
        <v>12531.9</v>
      </c>
      <c r="K575" s="35">
        <f>Table24[[#This Row],[Salary]]-Table24[[#This Row],[Taxes]]</f>
        <v>62888.1</v>
      </c>
    </row>
    <row r="576" spans="1:11" x14ac:dyDescent="0.25">
      <c r="A576" s="5" t="s">
        <v>392</v>
      </c>
      <c r="B576" s="5" t="s">
        <v>29</v>
      </c>
      <c r="C576" s="5" t="s">
        <v>18</v>
      </c>
      <c r="D576" s="5" t="s">
        <v>3</v>
      </c>
      <c r="E576" s="6">
        <v>39312</v>
      </c>
      <c r="F576" s="5" t="s">
        <v>25</v>
      </c>
      <c r="G576" s="10">
        <v>71030</v>
      </c>
      <c r="H576" s="7">
        <v>3</v>
      </c>
      <c r="I576" s="12">
        <f>IF(OR(Table24[[#This Row],[Rating]]=4,Table24[[#This Row],[Rating]]=5), 0.05*Table24[[#This Row],[Salary]],0)</f>
        <v>0</v>
      </c>
      <c r="J576" s="14">
        <f>VLOOKUP(Table24[[#This Row],[Salary]],'Tax rates'!A$2:C$8, 2) + VLOOKUP(Table24[[#This Row],[Salary]],'Tax rates'!A$2:C$8, 3) * (Table24[[#This Row],[Salary]] - VLOOKUP(Table24[[#This Row],[Salary]],'Tax rates'!A$2:C$8,1))</f>
        <v>11566.1</v>
      </c>
      <c r="K576" s="35">
        <f>Table24[[#This Row],[Salary]]-Table24[[#This Row],[Taxes]]</f>
        <v>59463.9</v>
      </c>
    </row>
    <row r="577" spans="1:11" x14ac:dyDescent="0.25">
      <c r="A577" s="5" t="s">
        <v>243</v>
      </c>
      <c r="B577" s="5" t="s">
        <v>29</v>
      </c>
      <c r="C577" s="5" t="s">
        <v>18</v>
      </c>
      <c r="D577" s="5" t="s">
        <v>3</v>
      </c>
      <c r="E577" s="6">
        <v>38321</v>
      </c>
      <c r="F577" s="5" t="s">
        <v>25</v>
      </c>
      <c r="G577" s="10">
        <v>70760</v>
      </c>
      <c r="H577" s="7">
        <v>1</v>
      </c>
      <c r="I577" s="12">
        <f>IF(OR(Table24[[#This Row],[Rating]]=4,Table24[[#This Row],[Rating]]=5), 0.05*Table24[[#This Row],[Salary]],0)</f>
        <v>0</v>
      </c>
      <c r="J577" s="14">
        <f>VLOOKUP(Table24[[#This Row],[Salary]],'Tax rates'!A$2:C$8, 2) + VLOOKUP(Table24[[#This Row],[Salary]],'Tax rates'!A$2:C$8, 3) * (Table24[[#This Row],[Salary]] - VLOOKUP(Table24[[#This Row],[Salary]],'Tax rates'!A$2:C$8,1))</f>
        <v>11506.7</v>
      </c>
      <c r="K577" s="35">
        <f>Table24[[#This Row],[Salary]]-Table24[[#This Row],[Taxes]]</f>
        <v>59253.3</v>
      </c>
    </row>
    <row r="578" spans="1:11" x14ac:dyDescent="0.25">
      <c r="A578" s="5" t="s">
        <v>194</v>
      </c>
      <c r="B578" s="5" t="s">
        <v>29</v>
      </c>
      <c r="C578" s="5" t="s">
        <v>18</v>
      </c>
      <c r="D578" s="5" t="s">
        <v>16</v>
      </c>
      <c r="E578" s="6">
        <v>37899</v>
      </c>
      <c r="F578" s="7"/>
      <c r="G578" s="10">
        <v>64220</v>
      </c>
      <c r="H578" s="7">
        <v>5</v>
      </c>
      <c r="I578" s="12">
        <f>IF(OR(Table24[[#This Row],[Rating]]=4,Table24[[#This Row],[Rating]]=5), 0.05*Table24[[#This Row],[Salary]],0)</f>
        <v>3211</v>
      </c>
      <c r="J578" s="14">
        <f>VLOOKUP(Table24[[#This Row],[Salary]],'Tax rates'!A$2:C$8, 2) + VLOOKUP(Table24[[#This Row],[Salary]],'Tax rates'!A$2:C$8, 3) * (Table24[[#This Row],[Salary]] - VLOOKUP(Table24[[#This Row],[Salary]],'Tax rates'!A$2:C$8,1))</f>
        <v>10067.9</v>
      </c>
      <c r="K578" s="35">
        <f>Table24[[#This Row],[Salary]]-Table24[[#This Row],[Taxes]]</f>
        <v>54152.1</v>
      </c>
    </row>
    <row r="579" spans="1:11" x14ac:dyDescent="0.25">
      <c r="A579" s="5" t="s">
        <v>181</v>
      </c>
      <c r="B579" s="5" t="s">
        <v>29</v>
      </c>
      <c r="C579" s="5" t="s">
        <v>18</v>
      </c>
      <c r="D579" s="5" t="s">
        <v>3</v>
      </c>
      <c r="E579" s="6">
        <v>39455</v>
      </c>
      <c r="F579" s="5" t="s">
        <v>11</v>
      </c>
      <c r="G579" s="10">
        <v>59420</v>
      </c>
      <c r="H579" s="7">
        <v>4</v>
      </c>
      <c r="I579" s="12">
        <f>IF(OR(Table24[[#This Row],[Rating]]=4,Table24[[#This Row],[Rating]]=5), 0.05*Table24[[#This Row],[Salary]],0)</f>
        <v>2971</v>
      </c>
      <c r="J579" s="14">
        <f>VLOOKUP(Table24[[#This Row],[Salary]],'Tax rates'!A$2:C$8, 2) + VLOOKUP(Table24[[#This Row],[Salary]],'Tax rates'!A$2:C$8, 3) * (Table24[[#This Row],[Salary]] - VLOOKUP(Table24[[#This Row],[Salary]],'Tax rates'!A$2:C$8,1))</f>
        <v>9011.9</v>
      </c>
      <c r="K579" s="35">
        <f>Table24[[#This Row],[Salary]]-Table24[[#This Row],[Taxes]]</f>
        <v>50408.1</v>
      </c>
    </row>
    <row r="580" spans="1:11" x14ac:dyDescent="0.25">
      <c r="A580" s="5" t="s">
        <v>468</v>
      </c>
      <c r="B580" s="5" t="s">
        <v>29</v>
      </c>
      <c r="C580" s="5" t="s">
        <v>18</v>
      </c>
      <c r="D580" s="5" t="s">
        <v>3</v>
      </c>
      <c r="E580" s="6">
        <v>40474</v>
      </c>
      <c r="F580" s="5" t="s">
        <v>4</v>
      </c>
      <c r="G580" s="10">
        <v>59320</v>
      </c>
      <c r="H580" s="7">
        <v>4</v>
      </c>
      <c r="I580" s="12">
        <f>IF(OR(Table24[[#This Row],[Rating]]=4,Table24[[#This Row],[Rating]]=5), 0.05*Table24[[#This Row],[Salary]],0)</f>
        <v>2966</v>
      </c>
      <c r="J580" s="14">
        <f>VLOOKUP(Table24[[#This Row],[Salary]],'Tax rates'!A$2:C$8, 2) + VLOOKUP(Table24[[#This Row],[Salary]],'Tax rates'!A$2:C$8, 3) * (Table24[[#This Row],[Salary]] - VLOOKUP(Table24[[#This Row],[Salary]],'Tax rates'!A$2:C$8,1))</f>
        <v>8989.9</v>
      </c>
      <c r="K580" s="35">
        <f>Table24[[#This Row],[Salary]]-Table24[[#This Row],[Taxes]]</f>
        <v>50330.1</v>
      </c>
    </row>
    <row r="581" spans="1:11" x14ac:dyDescent="0.25">
      <c r="A581" s="5" t="s">
        <v>722</v>
      </c>
      <c r="B581" s="5" t="s">
        <v>29</v>
      </c>
      <c r="C581" s="5" t="s">
        <v>18</v>
      </c>
      <c r="D581" s="5" t="s">
        <v>3</v>
      </c>
      <c r="E581" s="6">
        <v>35830</v>
      </c>
      <c r="F581" s="5" t="s">
        <v>21</v>
      </c>
      <c r="G581" s="10">
        <v>35460</v>
      </c>
      <c r="H581" s="7">
        <v>5</v>
      </c>
      <c r="I581" s="12">
        <f>IF(OR(Table24[[#This Row],[Rating]]=4,Table24[[#This Row],[Rating]]=5), 0.05*Table24[[#This Row],[Salary]],0)</f>
        <v>1773</v>
      </c>
      <c r="J581" s="14">
        <f>VLOOKUP(Table24[[#This Row],[Salary]],'Tax rates'!A$2:C$8, 2) + VLOOKUP(Table24[[#This Row],[Salary]],'Tax rates'!A$2:C$8, 3) * (Table24[[#This Row],[Salary]] - VLOOKUP(Table24[[#This Row],[Salary]],'Tax rates'!A$2:C$8,1))</f>
        <v>4064.7</v>
      </c>
      <c r="K581" s="35">
        <f>Table24[[#This Row],[Salary]]-Table24[[#This Row],[Taxes]]</f>
        <v>31395.3</v>
      </c>
    </row>
    <row r="582" spans="1:11" x14ac:dyDescent="0.25">
      <c r="A582" s="5" t="s">
        <v>595</v>
      </c>
      <c r="B582" s="5" t="s">
        <v>29</v>
      </c>
      <c r="C582" s="5" t="s">
        <v>18</v>
      </c>
      <c r="D582" s="5" t="s">
        <v>3</v>
      </c>
      <c r="E582" s="6">
        <v>40175</v>
      </c>
      <c r="F582" s="5" t="s">
        <v>21</v>
      </c>
      <c r="G582" s="10">
        <v>34690</v>
      </c>
      <c r="H582" s="7">
        <v>2</v>
      </c>
      <c r="I582" s="12">
        <f>IF(OR(Table24[[#This Row],[Rating]]=4,Table24[[#This Row],[Rating]]=5), 0.05*Table24[[#This Row],[Salary]],0)</f>
        <v>0</v>
      </c>
      <c r="J582" s="14">
        <f>VLOOKUP(Table24[[#This Row],[Salary]],'Tax rates'!A$2:C$8, 2) + VLOOKUP(Table24[[#This Row],[Salary]],'Tax rates'!A$2:C$8, 3) * (Table24[[#This Row],[Salary]] - VLOOKUP(Table24[[#This Row],[Salary]],'Tax rates'!A$2:C$8,1))</f>
        <v>3972.2999999999997</v>
      </c>
      <c r="K582" s="35">
        <f>Table24[[#This Row],[Salary]]-Table24[[#This Row],[Taxes]]</f>
        <v>30717.7</v>
      </c>
    </row>
    <row r="583" spans="1:11" x14ac:dyDescent="0.25">
      <c r="A583" s="5" t="s">
        <v>328</v>
      </c>
      <c r="B583" s="5" t="s">
        <v>29</v>
      </c>
      <c r="C583" s="5" t="s">
        <v>18</v>
      </c>
      <c r="D583" s="5" t="s">
        <v>3</v>
      </c>
      <c r="E583" s="6">
        <v>37936</v>
      </c>
      <c r="F583" s="5" t="s">
        <v>11</v>
      </c>
      <c r="G583" s="10">
        <v>30920</v>
      </c>
      <c r="H583" s="7">
        <v>5</v>
      </c>
      <c r="I583" s="12">
        <f>IF(OR(Table24[[#This Row],[Rating]]=4,Table24[[#This Row],[Rating]]=5), 0.05*Table24[[#This Row],[Salary]],0)</f>
        <v>1546</v>
      </c>
      <c r="J583" s="14">
        <f>VLOOKUP(Table24[[#This Row],[Salary]],'Tax rates'!A$2:C$8, 2) + VLOOKUP(Table24[[#This Row],[Salary]],'Tax rates'!A$2:C$8, 3) * (Table24[[#This Row],[Salary]] - VLOOKUP(Table24[[#This Row],[Salary]],'Tax rates'!A$2:C$8,1))</f>
        <v>3519.9</v>
      </c>
      <c r="K583" s="35">
        <f>Table24[[#This Row],[Salary]]-Table24[[#This Row],[Taxes]]</f>
        <v>27400.1</v>
      </c>
    </row>
    <row r="584" spans="1:11" x14ac:dyDescent="0.25">
      <c r="A584" s="5" t="s">
        <v>78</v>
      </c>
      <c r="B584" s="5" t="s">
        <v>29</v>
      </c>
      <c r="C584" s="5" t="s">
        <v>18</v>
      </c>
      <c r="D584" s="5" t="s">
        <v>16</v>
      </c>
      <c r="E584" s="6">
        <v>40473</v>
      </c>
      <c r="F584" s="7"/>
      <c r="G584" s="10">
        <v>28260</v>
      </c>
      <c r="H584" s="7">
        <v>5</v>
      </c>
      <c r="I584" s="12">
        <f>IF(OR(Table24[[#This Row],[Rating]]=4,Table24[[#This Row],[Rating]]=5), 0.05*Table24[[#This Row],[Salary]],0)</f>
        <v>1413</v>
      </c>
      <c r="J584" s="14">
        <f>VLOOKUP(Table24[[#This Row],[Salary]],'Tax rates'!A$2:C$8, 2) + VLOOKUP(Table24[[#This Row],[Salary]],'Tax rates'!A$2:C$8, 3) * (Table24[[#This Row],[Salary]] - VLOOKUP(Table24[[#This Row],[Salary]],'Tax rates'!A$2:C$8,1))</f>
        <v>3200.7</v>
      </c>
      <c r="K584" s="35">
        <f>Table24[[#This Row],[Salary]]-Table24[[#This Row],[Taxes]]</f>
        <v>25059.3</v>
      </c>
    </row>
    <row r="585" spans="1:11" x14ac:dyDescent="0.25">
      <c r="A585" s="5" t="s">
        <v>556</v>
      </c>
      <c r="B585" s="5" t="s">
        <v>29</v>
      </c>
      <c r="C585" s="5" t="s">
        <v>18</v>
      </c>
      <c r="D585" s="5" t="s">
        <v>16</v>
      </c>
      <c r="E585" s="6">
        <v>36350</v>
      </c>
      <c r="F585" s="7"/>
      <c r="G585" s="10">
        <v>27380</v>
      </c>
      <c r="H585" s="7">
        <v>3</v>
      </c>
      <c r="I585" s="12">
        <f>IF(OR(Table24[[#This Row],[Rating]]=4,Table24[[#This Row],[Rating]]=5), 0.05*Table24[[#This Row],[Salary]],0)</f>
        <v>0</v>
      </c>
      <c r="J585" s="14">
        <f>VLOOKUP(Table24[[#This Row],[Salary]],'Tax rates'!A$2:C$8, 2) + VLOOKUP(Table24[[#This Row],[Salary]],'Tax rates'!A$2:C$8, 3) * (Table24[[#This Row],[Salary]] - VLOOKUP(Table24[[#This Row],[Salary]],'Tax rates'!A$2:C$8,1))</f>
        <v>3095.1</v>
      </c>
      <c r="K585" s="35">
        <f>Table24[[#This Row],[Salary]]-Table24[[#This Row],[Taxes]]</f>
        <v>24284.9</v>
      </c>
    </row>
    <row r="586" spans="1:11" x14ac:dyDescent="0.25">
      <c r="A586" s="5" t="s">
        <v>320</v>
      </c>
      <c r="B586" s="5" t="s">
        <v>29</v>
      </c>
      <c r="C586" s="5" t="s">
        <v>18</v>
      </c>
      <c r="D586" s="5" t="s">
        <v>32</v>
      </c>
      <c r="E586" s="6">
        <v>39747</v>
      </c>
      <c r="F586" s="7"/>
      <c r="G586" s="10">
        <v>10572</v>
      </c>
      <c r="H586" s="7">
        <v>4</v>
      </c>
      <c r="I586" s="12">
        <f>IF(OR(Table24[[#This Row],[Rating]]=4,Table24[[#This Row],[Rating]]=5), 0.05*Table24[[#This Row],[Salary]],0)</f>
        <v>528.6</v>
      </c>
      <c r="J586" s="14">
        <f>VLOOKUP(Table24[[#This Row],[Salary]],'Tax rates'!A$2:C$8, 2) + VLOOKUP(Table24[[#This Row],[Salary]],'Tax rates'!A$2:C$8, 3) * (Table24[[#This Row],[Salary]] - VLOOKUP(Table24[[#This Row],[Salary]],'Tax rates'!A$2:C$8,1))</f>
        <v>1078.1400000000001</v>
      </c>
      <c r="K586" s="35">
        <f>Table24[[#This Row],[Salary]]-Table24[[#This Row],[Taxes]]</f>
        <v>9493.86</v>
      </c>
    </row>
    <row r="587" spans="1:11" x14ac:dyDescent="0.25">
      <c r="A587" s="5" t="s">
        <v>311</v>
      </c>
      <c r="B587" s="5" t="s">
        <v>29</v>
      </c>
      <c r="C587" s="5" t="s">
        <v>15</v>
      </c>
      <c r="D587" s="5" t="s">
        <v>16</v>
      </c>
      <c r="E587" s="6">
        <v>40292</v>
      </c>
      <c r="F587" s="7"/>
      <c r="G587" s="10">
        <v>61890</v>
      </c>
      <c r="H587" s="7">
        <v>2</v>
      </c>
      <c r="I587" s="12">
        <f>IF(OR(Table24[[#This Row],[Rating]]=4,Table24[[#This Row],[Rating]]=5), 0.05*Table24[[#This Row],[Salary]],0)</f>
        <v>0</v>
      </c>
      <c r="J587" s="14">
        <f>VLOOKUP(Table24[[#This Row],[Salary]],'Tax rates'!A$2:C$8, 2) + VLOOKUP(Table24[[#This Row],[Salary]],'Tax rates'!A$2:C$8, 3) * (Table24[[#This Row],[Salary]] - VLOOKUP(Table24[[#This Row],[Salary]],'Tax rates'!A$2:C$8,1))</f>
        <v>9555.2999999999993</v>
      </c>
      <c r="K587" s="35">
        <f>Table24[[#This Row],[Salary]]-Table24[[#This Row],[Taxes]]</f>
        <v>52334.7</v>
      </c>
    </row>
    <row r="588" spans="1:11" x14ac:dyDescent="0.25">
      <c r="A588" s="5" t="s">
        <v>636</v>
      </c>
      <c r="B588" s="5" t="s">
        <v>29</v>
      </c>
      <c r="C588" s="5" t="s">
        <v>15</v>
      </c>
      <c r="D588" s="5" t="s">
        <v>3</v>
      </c>
      <c r="E588" s="6">
        <v>40313</v>
      </c>
      <c r="F588" s="5" t="s">
        <v>11</v>
      </c>
      <c r="G588" s="10">
        <v>27250</v>
      </c>
      <c r="H588" s="7">
        <v>5</v>
      </c>
      <c r="I588" s="12">
        <f>IF(OR(Table24[[#This Row],[Rating]]=4,Table24[[#This Row],[Rating]]=5), 0.05*Table24[[#This Row],[Salary]],0)</f>
        <v>1362.5</v>
      </c>
      <c r="J588" s="14">
        <f>VLOOKUP(Table24[[#This Row],[Salary]],'Tax rates'!A$2:C$8, 2) + VLOOKUP(Table24[[#This Row],[Salary]],'Tax rates'!A$2:C$8, 3) * (Table24[[#This Row],[Salary]] - VLOOKUP(Table24[[#This Row],[Salary]],'Tax rates'!A$2:C$8,1))</f>
        <v>3079.5</v>
      </c>
      <c r="K588" s="35">
        <f>Table24[[#This Row],[Salary]]-Table24[[#This Row],[Taxes]]</f>
        <v>24170.5</v>
      </c>
    </row>
    <row r="589" spans="1:11" x14ac:dyDescent="0.25">
      <c r="A589" s="5" t="s">
        <v>678</v>
      </c>
      <c r="B589" s="5" t="s">
        <v>29</v>
      </c>
      <c r="C589" s="5" t="s">
        <v>59</v>
      </c>
      <c r="D589" s="5" t="s">
        <v>16</v>
      </c>
      <c r="E589" s="6">
        <v>38805</v>
      </c>
      <c r="F589" s="7"/>
      <c r="G589" s="10">
        <v>53870</v>
      </c>
      <c r="H589" s="7">
        <v>2</v>
      </c>
      <c r="I589" s="12">
        <f>IF(OR(Table24[[#This Row],[Rating]]=4,Table24[[#This Row],[Rating]]=5), 0.05*Table24[[#This Row],[Salary]],0)</f>
        <v>0</v>
      </c>
      <c r="J589" s="14">
        <f>VLOOKUP(Table24[[#This Row],[Salary]],'Tax rates'!A$2:C$8, 2) + VLOOKUP(Table24[[#This Row],[Salary]],'Tax rates'!A$2:C$8, 3) * (Table24[[#This Row],[Salary]] - VLOOKUP(Table24[[#This Row],[Salary]],'Tax rates'!A$2:C$8,1))</f>
        <v>7790.9</v>
      </c>
      <c r="K589" s="35">
        <f>Table24[[#This Row],[Salary]]-Table24[[#This Row],[Taxes]]</f>
        <v>46079.1</v>
      </c>
    </row>
    <row r="590" spans="1:11" x14ac:dyDescent="0.25">
      <c r="A590" s="5" t="s">
        <v>429</v>
      </c>
      <c r="B590" s="5" t="s">
        <v>29</v>
      </c>
      <c r="C590" s="5" t="s">
        <v>59</v>
      </c>
      <c r="D590" s="5" t="s">
        <v>3</v>
      </c>
      <c r="E590" s="6">
        <v>36297</v>
      </c>
      <c r="F590" s="5" t="s">
        <v>4</v>
      </c>
      <c r="G590" s="10">
        <v>46030</v>
      </c>
      <c r="H590" s="7">
        <v>2</v>
      </c>
      <c r="I590" s="12">
        <f>IF(OR(Table24[[#This Row],[Rating]]=4,Table24[[#This Row],[Rating]]=5), 0.05*Table24[[#This Row],[Salary]],0)</f>
        <v>0</v>
      </c>
      <c r="J590" s="14">
        <f>VLOOKUP(Table24[[#This Row],[Salary]],'Tax rates'!A$2:C$8, 2) + VLOOKUP(Table24[[#This Row],[Salary]],'Tax rates'!A$2:C$8, 3) * (Table24[[#This Row],[Salary]] - VLOOKUP(Table24[[#This Row],[Salary]],'Tax rates'!A$2:C$8,1))</f>
        <v>6066.1</v>
      </c>
      <c r="K590" s="35">
        <f>Table24[[#This Row],[Salary]]-Table24[[#This Row],[Taxes]]</f>
        <v>39963.9</v>
      </c>
    </row>
    <row r="591" spans="1:11" x14ac:dyDescent="0.25">
      <c r="A591" s="5" t="s">
        <v>381</v>
      </c>
      <c r="B591" s="5" t="s">
        <v>29</v>
      </c>
      <c r="C591" s="5" t="s">
        <v>59</v>
      </c>
      <c r="D591" s="5" t="s">
        <v>3</v>
      </c>
      <c r="E591" s="6">
        <v>40083</v>
      </c>
      <c r="F591" s="5" t="s">
        <v>11</v>
      </c>
      <c r="G591" s="10">
        <v>44150</v>
      </c>
      <c r="H591" s="7">
        <v>4</v>
      </c>
      <c r="I591" s="12">
        <f>IF(OR(Table24[[#This Row],[Rating]]=4,Table24[[#This Row],[Rating]]=5), 0.05*Table24[[#This Row],[Salary]],0)</f>
        <v>2207.5</v>
      </c>
      <c r="J591" s="14">
        <f>VLOOKUP(Table24[[#This Row],[Salary]],'Tax rates'!A$2:C$8, 2) + VLOOKUP(Table24[[#This Row],[Salary]],'Tax rates'!A$2:C$8, 3) * (Table24[[#This Row],[Salary]] - VLOOKUP(Table24[[#This Row],[Salary]],'Tax rates'!A$2:C$8,1))</f>
        <v>5652.5</v>
      </c>
      <c r="K591" s="35">
        <f>Table24[[#This Row],[Salary]]-Table24[[#This Row],[Taxes]]</f>
        <v>38497.5</v>
      </c>
    </row>
    <row r="592" spans="1:11" x14ac:dyDescent="0.25">
      <c r="A592" s="5" t="s">
        <v>403</v>
      </c>
      <c r="B592" s="5" t="s">
        <v>29</v>
      </c>
      <c r="C592" s="5" t="s">
        <v>59</v>
      </c>
      <c r="D592" s="5" t="s">
        <v>16</v>
      </c>
      <c r="E592" s="6">
        <v>39167</v>
      </c>
      <c r="F592" s="7"/>
      <c r="G592" s="10">
        <v>29000</v>
      </c>
      <c r="H592" s="7">
        <v>5</v>
      </c>
      <c r="I592" s="12">
        <f>IF(OR(Table24[[#This Row],[Rating]]=4,Table24[[#This Row],[Rating]]=5), 0.05*Table24[[#This Row],[Salary]],0)</f>
        <v>1450</v>
      </c>
      <c r="J592" s="14">
        <f>VLOOKUP(Table24[[#This Row],[Salary]],'Tax rates'!A$2:C$8, 2) + VLOOKUP(Table24[[#This Row],[Salary]],'Tax rates'!A$2:C$8, 3) * (Table24[[#This Row],[Salary]] - VLOOKUP(Table24[[#This Row],[Salary]],'Tax rates'!A$2:C$8,1))</f>
        <v>3289.5</v>
      </c>
      <c r="K592" s="35">
        <f>Table24[[#This Row],[Salary]]-Table24[[#This Row],[Taxes]]</f>
        <v>25710.5</v>
      </c>
    </row>
    <row r="593" spans="1:11" x14ac:dyDescent="0.25">
      <c r="A593" s="5" t="s">
        <v>269</v>
      </c>
      <c r="B593" s="5" t="s">
        <v>29</v>
      </c>
      <c r="C593" s="5" t="s">
        <v>8</v>
      </c>
      <c r="D593" s="5" t="s">
        <v>16</v>
      </c>
      <c r="E593" s="6">
        <v>40259</v>
      </c>
      <c r="F593" s="7"/>
      <c r="G593" s="10">
        <v>45710</v>
      </c>
      <c r="H593" s="7">
        <v>3</v>
      </c>
      <c r="I593" s="12">
        <f>IF(OR(Table24[[#This Row],[Rating]]=4,Table24[[#This Row],[Rating]]=5), 0.05*Table24[[#This Row],[Salary]],0)</f>
        <v>0</v>
      </c>
      <c r="J593" s="14">
        <f>VLOOKUP(Table24[[#This Row],[Salary]],'Tax rates'!A$2:C$8, 2) + VLOOKUP(Table24[[#This Row],[Salary]],'Tax rates'!A$2:C$8, 3) * (Table24[[#This Row],[Salary]] - VLOOKUP(Table24[[#This Row],[Salary]],'Tax rates'!A$2:C$8,1))</f>
        <v>5995.7</v>
      </c>
      <c r="K593" s="35">
        <f>Table24[[#This Row],[Salary]]-Table24[[#This Row],[Taxes]]</f>
        <v>39714.300000000003</v>
      </c>
    </row>
    <row r="594" spans="1:11" x14ac:dyDescent="0.25">
      <c r="A594" s="5" t="s">
        <v>62</v>
      </c>
      <c r="B594" s="5" t="s">
        <v>29</v>
      </c>
      <c r="C594" s="5" t="s">
        <v>63</v>
      </c>
      <c r="D594" s="5" t="s">
        <v>3</v>
      </c>
      <c r="E594" s="6">
        <v>40818</v>
      </c>
      <c r="F594" s="5" t="s">
        <v>21</v>
      </c>
      <c r="G594" s="10">
        <v>44560</v>
      </c>
      <c r="H594" s="7">
        <v>2</v>
      </c>
      <c r="I594" s="12">
        <f>IF(OR(Table24[[#This Row],[Rating]]=4,Table24[[#This Row],[Rating]]=5), 0.05*Table24[[#This Row],[Salary]],0)</f>
        <v>0</v>
      </c>
      <c r="J594" s="14">
        <f>VLOOKUP(Table24[[#This Row],[Salary]],'Tax rates'!A$2:C$8, 2) + VLOOKUP(Table24[[#This Row],[Salary]],'Tax rates'!A$2:C$8, 3) * (Table24[[#This Row],[Salary]] - VLOOKUP(Table24[[#This Row],[Salary]],'Tax rates'!A$2:C$8,1))</f>
        <v>5742.7</v>
      </c>
      <c r="K594" s="35">
        <f>Table24[[#This Row],[Salary]]-Table24[[#This Row],[Taxes]]</f>
        <v>38817.300000000003</v>
      </c>
    </row>
    <row r="595" spans="1:11" x14ac:dyDescent="0.25">
      <c r="A595" s="5" t="s">
        <v>437</v>
      </c>
      <c r="B595" s="5" t="s">
        <v>29</v>
      </c>
      <c r="C595" s="5" t="s">
        <v>63</v>
      </c>
      <c r="D595" s="5" t="s">
        <v>3</v>
      </c>
      <c r="E595" s="6">
        <v>39754</v>
      </c>
      <c r="F595" s="5" t="s">
        <v>11</v>
      </c>
      <c r="G595" s="10">
        <v>43110</v>
      </c>
      <c r="H595" s="7">
        <v>2</v>
      </c>
      <c r="I595" s="12">
        <f>IF(OR(Table24[[#This Row],[Rating]]=4,Table24[[#This Row],[Rating]]=5), 0.05*Table24[[#This Row],[Salary]],0)</f>
        <v>0</v>
      </c>
      <c r="J595" s="14">
        <f>VLOOKUP(Table24[[#This Row],[Salary]],'Tax rates'!A$2:C$8, 2) + VLOOKUP(Table24[[#This Row],[Salary]],'Tax rates'!A$2:C$8, 3) * (Table24[[#This Row],[Salary]] - VLOOKUP(Table24[[#This Row],[Salary]],'Tax rates'!A$2:C$8,1))</f>
        <v>5423.7</v>
      </c>
      <c r="K595" s="35">
        <f>Table24[[#This Row],[Salary]]-Table24[[#This Row],[Taxes]]</f>
        <v>37686.300000000003</v>
      </c>
    </row>
    <row r="596" spans="1:11" x14ac:dyDescent="0.25">
      <c r="A596" s="5" t="s">
        <v>82</v>
      </c>
      <c r="B596" s="5" t="s">
        <v>29</v>
      </c>
      <c r="C596" s="5" t="s">
        <v>2</v>
      </c>
      <c r="D596" s="5" t="s">
        <v>3</v>
      </c>
      <c r="E596" s="6">
        <v>37625</v>
      </c>
      <c r="F596" s="5" t="s">
        <v>11</v>
      </c>
      <c r="G596" s="10">
        <v>82490</v>
      </c>
      <c r="H596" s="7">
        <v>5</v>
      </c>
      <c r="I596" s="12">
        <f>IF(OR(Table24[[#This Row],[Rating]]=4,Table24[[#This Row],[Rating]]=5), 0.05*Table24[[#This Row],[Salary]],0)</f>
        <v>4124.5</v>
      </c>
      <c r="J596" s="14">
        <f>VLOOKUP(Table24[[#This Row],[Salary]],'Tax rates'!A$2:C$8, 2) + VLOOKUP(Table24[[#This Row],[Salary]],'Tax rates'!A$2:C$8, 3) * (Table24[[#This Row],[Salary]] - VLOOKUP(Table24[[#This Row],[Salary]],'Tax rates'!A$2:C$8,1))</f>
        <v>14087.3</v>
      </c>
      <c r="K596" s="35">
        <f>Table24[[#This Row],[Salary]]-Table24[[#This Row],[Taxes]]</f>
        <v>68402.7</v>
      </c>
    </row>
    <row r="597" spans="1:11" x14ac:dyDescent="0.25">
      <c r="A597" s="5" t="s">
        <v>490</v>
      </c>
      <c r="B597" s="5" t="s">
        <v>29</v>
      </c>
      <c r="C597" s="5" t="s">
        <v>2</v>
      </c>
      <c r="D597" s="5" t="s">
        <v>3</v>
      </c>
      <c r="E597" s="6">
        <v>40853</v>
      </c>
      <c r="F597" s="5" t="s">
        <v>11</v>
      </c>
      <c r="G597" s="10">
        <v>63050</v>
      </c>
      <c r="H597" s="7">
        <v>3</v>
      </c>
      <c r="I597" s="12">
        <f>IF(OR(Table24[[#This Row],[Rating]]=4,Table24[[#This Row],[Rating]]=5), 0.05*Table24[[#This Row],[Salary]],0)</f>
        <v>0</v>
      </c>
      <c r="J597" s="14">
        <f>VLOOKUP(Table24[[#This Row],[Salary]],'Tax rates'!A$2:C$8, 2) + VLOOKUP(Table24[[#This Row],[Salary]],'Tax rates'!A$2:C$8, 3) * (Table24[[#This Row],[Salary]] - VLOOKUP(Table24[[#This Row],[Salary]],'Tax rates'!A$2:C$8,1))</f>
        <v>9810.5</v>
      </c>
      <c r="K597" s="35">
        <f>Table24[[#This Row],[Salary]]-Table24[[#This Row],[Taxes]]</f>
        <v>53239.5</v>
      </c>
    </row>
    <row r="598" spans="1:11" x14ac:dyDescent="0.25">
      <c r="A598" s="5" t="s">
        <v>48</v>
      </c>
      <c r="B598" s="5" t="s">
        <v>29</v>
      </c>
      <c r="C598" s="5" t="s">
        <v>2</v>
      </c>
      <c r="D598" s="5" t="s">
        <v>3</v>
      </c>
      <c r="E598" s="6">
        <v>36514</v>
      </c>
      <c r="F598" s="5" t="s">
        <v>11</v>
      </c>
      <c r="G598" s="10">
        <v>48250</v>
      </c>
      <c r="H598" s="7">
        <v>3</v>
      </c>
      <c r="I598" s="12">
        <f>IF(OR(Table24[[#This Row],[Rating]]=4,Table24[[#This Row],[Rating]]=5), 0.05*Table24[[#This Row],[Salary]],0)</f>
        <v>0</v>
      </c>
      <c r="J598" s="14">
        <f>VLOOKUP(Table24[[#This Row],[Salary]],'Tax rates'!A$2:C$8, 2) + VLOOKUP(Table24[[#This Row],[Salary]],'Tax rates'!A$2:C$8, 3) * (Table24[[#This Row],[Salary]] - VLOOKUP(Table24[[#This Row],[Salary]],'Tax rates'!A$2:C$8,1))</f>
        <v>6554.5</v>
      </c>
      <c r="K598" s="35">
        <f>Table24[[#This Row],[Salary]]-Table24[[#This Row],[Taxes]]</f>
        <v>41695.5</v>
      </c>
    </row>
    <row r="599" spans="1:11" x14ac:dyDescent="0.25">
      <c r="A599" s="5" t="s">
        <v>318</v>
      </c>
      <c r="B599" s="5" t="s">
        <v>29</v>
      </c>
      <c r="C599" s="5" t="s">
        <v>2</v>
      </c>
      <c r="D599" s="5" t="s">
        <v>24</v>
      </c>
      <c r="E599" s="6">
        <v>41195</v>
      </c>
      <c r="F599" s="5" t="s">
        <v>11</v>
      </c>
      <c r="G599" s="10">
        <v>25885</v>
      </c>
      <c r="H599" s="7">
        <v>5</v>
      </c>
      <c r="I599" s="12">
        <f>IF(OR(Table24[[#This Row],[Rating]]=4,Table24[[#This Row],[Rating]]=5), 0.05*Table24[[#This Row],[Salary]],0)</f>
        <v>1294.25</v>
      </c>
      <c r="J599" s="14">
        <f>VLOOKUP(Table24[[#This Row],[Salary]],'Tax rates'!A$2:C$8, 2) + VLOOKUP(Table24[[#This Row],[Salary]],'Tax rates'!A$2:C$8, 3) * (Table24[[#This Row],[Salary]] - VLOOKUP(Table24[[#This Row],[Salary]],'Tax rates'!A$2:C$8,1))</f>
        <v>2915.7</v>
      </c>
      <c r="K599" s="35">
        <f>Table24[[#This Row],[Salary]]-Table24[[#This Row],[Taxes]]</f>
        <v>22969.3</v>
      </c>
    </row>
    <row r="600" spans="1:11" x14ac:dyDescent="0.25">
      <c r="A600" s="5" t="s">
        <v>344</v>
      </c>
      <c r="B600" s="5" t="s">
        <v>29</v>
      </c>
      <c r="C600" s="5" t="s">
        <v>2</v>
      </c>
      <c r="D600" s="5" t="s">
        <v>32</v>
      </c>
      <c r="E600" s="6">
        <v>39417</v>
      </c>
      <c r="F600" s="7"/>
      <c r="G600" s="10">
        <v>23692</v>
      </c>
      <c r="H600" s="7">
        <v>4</v>
      </c>
      <c r="I600" s="12">
        <f>IF(OR(Table24[[#This Row],[Rating]]=4,Table24[[#This Row],[Rating]]=5), 0.05*Table24[[#This Row],[Salary]],0)</f>
        <v>1184.6000000000001</v>
      </c>
      <c r="J600" s="14">
        <f>VLOOKUP(Table24[[#This Row],[Salary]],'Tax rates'!A$2:C$8, 2) + VLOOKUP(Table24[[#This Row],[Salary]],'Tax rates'!A$2:C$8, 3) * (Table24[[#This Row],[Salary]] - VLOOKUP(Table24[[#This Row],[Salary]],'Tax rates'!A$2:C$8,1))</f>
        <v>2652.54</v>
      </c>
      <c r="K600" s="35">
        <f>Table24[[#This Row],[Salary]]-Table24[[#This Row],[Taxes]]</f>
        <v>21039.46</v>
      </c>
    </row>
    <row r="601" spans="1:11" x14ac:dyDescent="0.25">
      <c r="A601" s="5" t="s">
        <v>139</v>
      </c>
      <c r="B601" s="5" t="s">
        <v>29</v>
      </c>
      <c r="C601" s="5" t="s">
        <v>2</v>
      </c>
      <c r="D601" s="5" t="s">
        <v>32</v>
      </c>
      <c r="E601" s="6">
        <v>36557</v>
      </c>
      <c r="F601" s="7"/>
      <c r="G601" s="10">
        <v>15552</v>
      </c>
      <c r="H601" s="7">
        <v>4</v>
      </c>
      <c r="I601" s="12">
        <f>IF(OR(Table24[[#This Row],[Rating]]=4,Table24[[#This Row],[Rating]]=5), 0.05*Table24[[#This Row],[Salary]],0)</f>
        <v>777.6</v>
      </c>
      <c r="J601" s="14">
        <f>VLOOKUP(Table24[[#This Row],[Salary]],'Tax rates'!A$2:C$8, 2) + VLOOKUP(Table24[[#This Row],[Salary]],'Tax rates'!A$2:C$8, 3) * (Table24[[#This Row],[Salary]] - VLOOKUP(Table24[[#This Row],[Salary]],'Tax rates'!A$2:C$8,1))</f>
        <v>1675.74</v>
      </c>
      <c r="K601" s="35">
        <f>Table24[[#This Row],[Salary]]-Table24[[#This Row],[Taxes]]</f>
        <v>13876.26</v>
      </c>
    </row>
    <row r="602" spans="1:11" x14ac:dyDescent="0.25">
      <c r="A602" s="5" t="s">
        <v>321</v>
      </c>
      <c r="B602" s="5" t="s">
        <v>29</v>
      </c>
      <c r="C602" s="5" t="s">
        <v>35</v>
      </c>
      <c r="D602" s="5" t="s">
        <v>3</v>
      </c>
      <c r="E602" s="6">
        <v>39063</v>
      </c>
      <c r="F602" s="5" t="s">
        <v>4</v>
      </c>
      <c r="G602" s="10">
        <v>86320</v>
      </c>
      <c r="H602" s="7">
        <v>4</v>
      </c>
      <c r="I602" s="12">
        <f>IF(OR(Table24[[#This Row],[Rating]]=4,Table24[[#This Row],[Rating]]=5), 0.05*Table24[[#This Row],[Salary]],0)</f>
        <v>4316</v>
      </c>
      <c r="J602" s="14">
        <f>VLOOKUP(Table24[[#This Row],[Salary]],'Tax rates'!A$2:C$8, 2) + VLOOKUP(Table24[[#This Row],[Salary]],'Tax rates'!A$2:C$8, 3) * (Table24[[#This Row],[Salary]] - VLOOKUP(Table24[[#This Row],[Salary]],'Tax rates'!A$2:C$8,1))</f>
        <v>15006.3</v>
      </c>
      <c r="K602" s="35">
        <f>Table24[[#This Row],[Salary]]-Table24[[#This Row],[Taxes]]</f>
        <v>71313.7</v>
      </c>
    </row>
    <row r="603" spans="1:11" x14ac:dyDescent="0.25">
      <c r="A603" s="5" t="s">
        <v>388</v>
      </c>
      <c r="B603" s="5" t="s">
        <v>29</v>
      </c>
      <c r="C603" s="5" t="s">
        <v>35</v>
      </c>
      <c r="D603" s="5" t="s">
        <v>16</v>
      </c>
      <c r="E603" s="6">
        <v>37065</v>
      </c>
      <c r="F603" s="7"/>
      <c r="G603" s="10">
        <v>77136</v>
      </c>
      <c r="H603" s="7">
        <v>5</v>
      </c>
      <c r="I603" s="12">
        <f>IF(OR(Table24[[#This Row],[Rating]]=4,Table24[[#This Row],[Rating]]=5), 0.05*Table24[[#This Row],[Salary]],0)</f>
        <v>3856.8</v>
      </c>
      <c r="J603" s="14">
        <f>VLOOKUP(Table24[[#This Row],[Salary]],'Tax rates'!A$2:C$8, 2) + VLOOKUP(Table24[[#This Row],[Salary]],'Tax rates'!A$2:C$8, 3) * (Table24[[#This Row],[Salary]] - VLOOKUP(Table24[[#This Row],[Salary]],'Tax rates'!A$2:C$8,1))</f>
        <v>12909.42</v>
      </c>
      <c r="K603" s="35">
        <f>Table24[[#This Row],[Salary]]-Table24[[#This Row],[Taxes]]</f>
        <v>64226.58</v>
      </c>
    </row>
    <row r="604" spans="1:11" x14ac:dyDescent="0.25">
      <c r="A604" s="5" t="s">
        <v>742</v>
      </c>
      <c r="B604" s="5" t="s">
        <v>29</v>
      </c>
      <c r="C604" s="5" t="s">
        <v>35</v>
      </c>
      <c r="D604" s="5" t="s">
        <v>3</v>
      </c>
      <c r="E604" s="6">
        <v>40536</v>
      </c>
      <c r="F604" s="5" t="s">
        <v>11</v>
      </c>
      <c r="G604" s="10">
        <v>70730</v>
      </c>
      <c r="H604" s="7">
        <v>1</v>
      </c>
      <c r="I604" s="12">
        <f>IF(OR(Table24[[#This Row],[Rating]]=4,Table24[[#This Row],[Rating]]=5), 0.05*Table24[[#This Row],[Salary]],0)</f>
        <v>0</v>
      </c>
      <c r="J604" s="14">
        <f>VLOOKUP(Table24[[#This Row],[Salary]],'Tax rates'!A$2:C$8, 2) + VLOOKUP(Table24[[#This Row],[Salary]],'Tax rates'!A$2:C$8, 3) * (Table24[[#This Row],[Salary]] - VLOOKUP(Table24[[#This Row],[Salary]],'Tax rates'!A$2:C$8,1))</f>
        <v>11500.1</v>
      </c>
      <c r="K604" s="35">
        <f>Table24[[#This Row],[Salary]]-Table24[[#This Row],[Taxes]]</f>
        <v>59229.9</v>
      </c>
    </row>
    <row r="605" spans="1:11" x14ac:dyDescent="0.25">
      <c r="A605" s="5" t="s">
        <v>628</v>
      </c>
      <c r="B605" s="5" t="s">
        <v>29</v>
      </c>
      <c r="C605" s="5" t="s">
        <v>35</v>
      </c>
      <c r="D605" s="5" t="s">
        <v>16</v>
      </c>
      <c r="E605" s="6">
        <v>37453</v>
      </c>
      <c r="F605" s="7"/>
      <c r="G605" s="10">
        <v>49090</v>
      </c>
      <c r="H605" s="7">
        <v>4</v>
      </c>
      <c r="I605" s="12">
        <f>IF(OR(Table24[[#This Row],[Rating]]=4,Table24[[#This Row],[Rating]]=5), 0.05*Table24[[#This Row],[Salary]],0)</f>
        <v>2454.5</v>
      </c>
      <c r="J605" s="14">
        <f>VLOOKUP(Table24[[#This Row],[Salary]],'Tax rates'!A$2:C$8, 2) + VLOOKUP(Table24[[#This Row],[Salary]],'Tax rates'!A$2:C$8, 3) * (Table24[[#This Row],[Salary]] - VLOOKUP(Table24[[#This Row],[Salary]],'Tax rates'!A$2:C$8,1))</f>
        <v>6739.3</v>
      </c>
      <c r="K605" s="35">
        <f>Table24[[#This Row],[Salary]]-Table24[[#This Row],[Taxes]]</f>
        <v>42350.7</v>
      </c>
    </row>
    <row r="606" spans="1:11" x14ac:dyDescent="0.25">
      <c r="A606" s="5" t="s">
        <v>177</v>
      </c>
      <c r="B606" s="5" t="s">
        <v>29</v>
      </c>
      <c r="C606" s="5" t="s">
        <v>35</v>
      </c>
      <c r="D606" s="5" t="s">
        <v>16</v>
      </c>
      <c r="E606" s="6">
        <v>40334</v>
      </c>
      <c r="F606" s="7"/>
      <c r="G606" s="10">
        <v>47280</v>
      </c>
      <c r="H606" s="7">
        <v>1</v>
      </c>
      <c r="I606" s="12">
        <f>IF(OR(Table24[[#This Row],[Rating]]=4,Table24[[#This Row],[Rating]]=5), 0.05*Table24[[#This Row],[Salary]],0)</f>
        <v>0</v>
      </c>
      <c r="J606" s="14">
        <f>VLOOKUP(Table24[[#This Row],[Salary]],'Tax rates'!A$2:C$8, 2) + VLOOKUP(Table24[[#This Row],[Salary]],'Tax rates'!A$2:C$8, 3) * (Table24[[#This Row],[Salary]] - VLOOKUP(Table24[[#This Row],[Salary]],'Tax rates'!A$2:C$8,1))</f>
        <v>6341.1</v>
      </c>
      <c r="K606" s="35">
        <f>Table24[[#This Row],[Salary]]-Table24[[#This Row],[Taxes]]</f>
        <v>40938.9</v>
      </c>
    </row>
    <row r="607" spans="1:11" x14ac:dyDescent="0.25">
      <c r="A607" s="5" t="s">
        <v>70</v>
      </c>
      <c r="B607" s="5" t="s">
        <v>29</v>
      </c>
      <c r="C607" s="5" t="s">
        <v>35</v>
      </c>
      <c r="D607" s="5" t="s">
        <v>24</v>
      </c>
      <c r="E607" s="6">
        <v>40410</v>
      </c>
      <c r="F607" s="5" t="s">
        <v>11</v>
      </c>
      <c r="G607" s="10">
        <v>38105</v>
      </c>
      <c r="H607" s="7">
        <v>2</v>
      </c>
      <c r="I607" s="12">
        <f>IF(OR(Table24[[#This Row],[Rating]]=4,Table24[[#This Row],[Rating]]=5), 0.05*Table24[[#This Row],[Salary]],0)</f>
        <v>0</v>
      </c>
      <c r="J607" s="14">
        <f>VLOOKUP(Table24[[#This Row],[Salary]],'Tax rates'!A$2:C$8, 2) + VLOOKUP(Table24[[#This Row],[Salary]],'Tax rates'!A$2:C$8, 3) * (Table24[[#This Row],[Salary]] - VLOOKUP(Table24[[#This Row],[Salary]],'Tax rates'!A$2:C$8,1))</f>
        <v>4382.1000000000004</v>
      </c>
      <c r="K607" s="35">
        <f>Table24[[#This Row],[Salary]]-Table24[[#This Row],[Taxes]]</f>
        <v>33722.9</v>
      </c>
    </row>
    <row r="608" spans="1:11" x14ac:dyDescent="0.25">
      <c r="A608" s="5" t="s">
        <v>411</v>
      </c>
      <c r="B608" s="5" t="s">
        <v>29</v>
      </c>
      <c r="C608" s="5" t="s">
        <v>35</v>
      </c>
      <c r="D608" s="5" t="s">
        <v>32</v>
      </c>
      <c r="E608" s="6">
        <v>36458</v>
      </c>
      <c r="F608" s="7"/>
      <c r="G608" s="10">
        <v>32536</v>
      </c>
      <c r="H608" s="7">
        <v>2</v>
      </c>
      <c r="I608" s="12">
        <f>IF(OR(Table24[[#This Row],[Rating]]=4,Table24[[#This Row],[Rating]]=5), 0.05*Table24[[#This Row],[Salary]],0)</f>
        <v>0</v>
      </c>
      <c r="J608" s="14">
        <f>VLOOKUP(Table24[[#This Row],[Salary]],'Tax rates'!A$2:C$8, 2) + VLOOKUP(Table24[[#This Row],[Salary]],'Tax rates'!A$2:C$8, 3) * (Table24[[#This Row],[Salary]] - VLOOKUP(Table24[[#This Row],[Salary]],'Tax rates'!A$2:C$8,1))</f>
        <v>3713.8199999999997</v>
      </c>
      <c r="K608" s="35">
        <f>Table24[[#This Row],[Salary]]-Table24[[#This Row],[Taxes]]</f>
        <v>28822.18</v>
      </c>
    </row>
    <row r="609" spans="1:11" x14ac:dyDescent="0.25">
      <c r="A609" s="5" t="s">
        <v>619</v>
      </c>
      <c r="B609" s="5" t="s">
        <v>29</v>
      </c>
      <c r="C609" s="5" t="s">
        <v>35</v>
      </c>
      <c r="D609" s="5" t="s">
        <v>3</v>
      </c>
      <c r="E609" s="6">
        <v>41226</v>
      </c>
      <c r="F609" s="5" t="s">
        <v>21</v>
      </c>
      <c r="G609" s="10">
        <v>32160</v>
      </c>
      <c r="H609" s="7">
        <v>3</v>
      </c>
      <c r="I609" s="12">
        <f>IF(OR(Table24[[#This Row],[Rating]]=4,Table24[[#This Row],[Rating]]=5), 0.05*Table24[[#This Row],[Salary]],0)</f>
        <v>0</v>
      </c>
      <c r="J609" s="14">
        <f>VLOOKUP(Table24[[#This Row],[Salary]],'Tax rates'!A$2:C$8, 2) + VLOOKUP(Table24[[#This Row],[Salary]],'Tax rates'!A$2:C$8, 3) * (Table24[[#This Row],[Salary]] - VLOOKUP(Table24[[#This Row],[Salary]],'Tax rates'!A$2:C$8,1))</f>
        <v>3668.7</v>
      </c>
      <c r="K609" s="35">
        <f>Table24[[#This Row],[Salary]]-Table24[[#This Row],[Taxes]]</f>
        <v>28491.3</v>
      </c>
    </row>
    <row r="610" spans="1:11" x14ac:dyDescent="0.25">
      <c r="A610" s="5" t="s">
        <v>380</v>
      </c>
      <c r="B610" s="5" t="s">
        <v>29</v>
      </c>
      <c r="C610" s="5" t="s">
        <v>35</v>
      </c>
      <c r="D610" s="5" t="s">
        <v>16</v>
      </c>
      <c r="E610" s="6">
        <v>37141</v>
      </c>
      <c r="F610" s="7"/>
      <c r="G610" s="10">
        <v>25530</v>
      </c>
      <c r="H610" s="7">
        <v>3</v>
      </c>
      <c r="I610" s="12">
        <f>IF(OR(Table24[[#This Row],[Rating]]=4,Table24[[#This Row],[Rating]]=5), 0.05*Table24[[#This Row],[Salary]],0)</f>
        <v>0</v>
      </c>
      <c r="J610" s="14">
        <f>VLOOKUP(Table24[[#This Row],[Salary]],'Tax rates'!A$2:C$8, 2) + VLOOKUP(Table24[[#This Row],[Salary]],'Tax rates'!A$2:C$8, 3) * (Table24[[#This Row],[Salary]] - VLOOKUP(Table24[[#This Row],[Salary]],'Tax rates'!A$2:C$8,1))</f>
        <v>2873.1</v>
      </c>
      <c r="K610" s="35">
        <f>Table24[[#This Row],[Salary]]-Table24[[#This Row],[Taxes]]</f>
        <v>22656.9</v>
      </c>
    </row>
    <row r="611" spans="1:11" x14ac:dyDescent="0.25">
      <c r="A611" s="5" t="s">
        <v>45</v>
      </c>
      <c r="B611" s="5" t="s">
        <v>29</v>
      </c>
      <c r="C611" s="5" t="s">
        <v>46</v>
      </c>
      <c r="D611" s="5" t="s">
        <v>3</v>
      </c>
      <c r="E611" s="6">
        <v>37684</v>
      </c>
      <c r="F611" s="5" t="s">
        <v>11</v>
      </c>
      <c r="G611" s="10">
        <v>42800</v>
      </c>
      <c r="H611" s="7">
        <v>5</v>
      </c>
      <c r="I611" s="12">
        <f>IF(OR(Table24[[#This Row],[Rating]]=4,Table24[[#This Row],[Rating]]=5), 0.05*Table24[[#This Row],[Salary]],0)</f>
        <v>2140</v>
      </c>
      <c r="J611" s="14">
        <f>VLOOKUP(Table24[[#This Row],[Salary]],'Tax rates'!A$2:C$8, 2) + VLOOKUP(Table24[[#This Row],[Salary]],'Tax rates'!A$2:C$8, 3) * (Table24[[#This Row],[Salary]] - VLOOKUP(Table24[[#This Row],[Salary]],'Tax rates'!A$2:C$8,1))</f>
        <v>5355.5</v>
      </c>
      <c r="K611" s="35">
        <f>Table24[[#This Row],[Salary]]-Table24[[#This Row],[Taxes]]</f>
        <v>37444.5</v>
      </c>
    </row>
    <row r="612" spans="1:11" x14ac:dyDescent="0.25">
      <c r="A612" s="5" t="s">
        <v>292</v>
      </c>
      <c r="B612" s="5" t="s">
        <v>29</v>
      </c>
      <c r="C612" s="5" t="s">
        <v>102</v>
      </c>
      <c r="D612" s="5" t="s">
        <v>24</v>
      </c>
      <c r="E612" s="6">
        <v>36557</v>
      </c>
      <c r="F612" s="5" t="s">
        <v>4</v>
      </c>
      <c r="G612" s="10">
        <v>31250</v>
      </c>
      <c r="H612" s="7">
        <v>2</v>
      </c>
      <c r="I612" s="12">
        <f>IF(OR(Table24[[#This Row],[Rating]]=4,Table24[[#This Row],[Rating]]=5), 0.05*Table24[[#This Row],[Salary]],0)</f>
        <v>0</v>
      </c>
      <c r="J612" s="14">
        <f>VLOOKUP(Table24[[#This Row],[Salary]],'Tax rates'!A$2:C$8, 2) + VLOOKUP(Table24[[#This Row],[Salary]],'Tax rates'!A$2:C$8, 3) * (Table24[[#This Row],[Salary]] - VLOOKUP(Table24[[#This Row],[Salary]],'Tax rates'!A$2:C$8,1))</f>
        <v>3559.5</v>
      </c>
      <c r="K612" s="35">
        <f>Table24[[#This Row],[Salary]]-Table24[[#This Row],[Taxes]]</f>
        <v>27690.5</v>
      </c>
    </row>
    <row r="613" spans="1:11" x14ac:dyDescent="0.25">
      <c r="A613" s="5" t="s">
        <v>246</v>
      </c>
      <c r="B613" s="5" t="s">
        <v>29</v>
      </c>
      <c r="C613" s="5" t="s">
        <v>102</v>
      </c>
      <c r="D613" s="5" t="s">
        <v>32</v>
      </c>
      <c r="E613" s="6">
        <v>40543</v>
      </c>
      <c r="F613" s="7"/>
      <c r="G613" s="10">
        <v>19044</v>
      </c>
      <c r="H613" s="7">
        <v>1</v>
      </c>
      <c r="I613" s="12">
        <f>IF(OR(Table24[[#This Row],[Rating]]=4,Table24[[#This Row],[Rating]]=5), 0.05*Table24[[#This Row],[Salary]],0)</f>
        <v>0</v>
      </c>
      <c r="J613" s="14">
        <f>VLOOKUP(Table24[[#This Row],[Salary]],'Tax rates'!A$2:C$8, 2) + VLOOKUP(Table24[[#This Row],[Salary]],'Tax rates'!A$2:C$8, 3) * (Table24[[#This Row],[Salary]] - VLOOKUP(Table24[[#This Row],[Salary]],'Tax rates'!A$2:C$8,1))</f>
        <v>2094.7799999999997</v>
      </c>
      <c r="K613" s="35">
        <f>Table24[[#This Row],[Salary]]-Table24[[#This Row],[Taxes]]</f>
        <v>16949.22</v>
      </c>
    </row>
    <row r="614" spans="1:11" x14ac:dyDescent="0.25">
      <c r="A614" s="5" t="s">
        <v>254</v>
      </c>
      <c r="B614" s="5" t="s">
        <v>29</v>
      </c>
      <c r="C614" s="5" t="s">
        <v>37</v>
      </c>
      <c r="D614" s="5" t="s">
        <v>3</v>
      </c>
      <c r="E614" s="6">
        <v>36466</v>
      </c>
      <c r="F614" s="5" t="s">
        <v>11</v>
      </c>
      <c r="G614" s="10">
        <v>68410</v>
      </c>
      <c r="H614" s="7">
        <v>5</v>
      </c>
      <c r="I614" s="12">
        <f>IF(OR(Table24[[#This Row],[Rating]]=4,Table24[[#This Row],[Rating]]=5), 0.05*Table24[[#This Row],[Salary]],0)</f>
        <v>3420.5</v>
      </c>
      <c r="J614" s="14">
        <f>VLOOKUP(Table24[[#This Row],[Salary]],'Tax rates'!A$2:C$8, 2) + VLOOKUP(Table24[[#This Row],[Salary]],'Tax rates'!A$2:C$8, 3) * (Table24[[#This Row],[Salary]] - VLOOKUP(Table24[[#This Row],[Salary]],'Tax rates'!A$2:C$8,1))</f>
        <v>10989.7</v>
      </c>
      <c r="K614" s="35">
        <f>Table24[[#This Row],[Salary]]-Table24[[#This Row],[Taxes]]</f>
        <v>57420.3</v>
      </c>
    </row>
    <row r="615" spans="1:11" x14ac:dyDescent="0.25">
      <c r="A615" s="5" t="s">
        <v>126</v>
      </c>
      <c r="B615" s="5" t="s">
        <v>29</v>
      </c>
      <c r="C615" s="5" t="s">
        <v>37</v>
      </c>
      <c r="D615" s="5" t="s">
        <v>32</v>
      </c>
      <c r="E615" s="6">
        <v>37827</v>
      </c>
      <c r="F615" s="7"/>
      <c r="G615" s="10">
        <v>11044</v>
      </c>
      <c r="H615" s="7">
        <v>2</v>
      </c>
      <c r="I615" s="12">
        <f>IF(OR(Table24[[#This Row],[Rating]]=4,Table24[[#This Row],[Rating]]=5), 0.05*Table24[[#This Row],[Salary]],0)</f>
        <v>0</v>
      </c>
      <c r="J615" s="14">
        <f>VLOOKUP(Table24[[#This Row],[Salary]],'Tax rates'!A$2:C$8, 2) + VLOOKUP(Table24[[#This Row],[Salary]],'Tax rates'!A$2:C$8, 3) * (Table24[[#This Row],[Salary]] - VLOOKUP(Table24[[#This Row],[Salary]],'Tax rates'!A$2:C$8,1))</f>
        <v>1134.78</v>
      </c>
      <c r="K615" s="35">
        <f>Table24[[#This Row],[Salary]]-Table24[[#This Row],[Taxes]]</f>
        <v>9909.2199999999993</v>
      </c>
    </row>
    <row r="616" spans="1:11" x14ac:dyDescent="0.25">
      <c r="A616" s="5" t="s">
        <v>750</v>
      </c>
      <c r="B616" s="5" t="s">
        <v>29</v>
      </c>
      <c r="C616" s="5" t="s">
        <v>106</v>
      </c>
      <c r="D616" s="5" t="s">
        <v>3</v>
      </c>
      <c r="E616" s="6">
        <v>36764</v>
      </c>
      <c r="F616" s="5" t="s">
        <v>9</v>
      </c>
      <c r="G616" s="10">
        <v>74840</v>
      </c>
      <c r="H616" s="7">
        <v>4</v>
      </c>
      <c r="I616" s="12">
        <f>IF(OR(Table24[[#This Row],[Rating]]=4,Table24[[#This Row],[Rating]]=5), 0.05*Table24[[#This Row],[Salary]],0)</f>
        <v>3742</v>
      </c>
      <c r="J616" s="14">
        <f>VLOOKUP(Table24[[#This Row],[Salary]],'Tax rates'!A$2:C$8, 2) + VLOOKUP(Table24[[#This Row],[Salary]],'Tax rates'!A$2:C$8, 3) * (Table24[[#This Row],[Salary]] - VLOOKUP(Table24[[#This Row],[Salary]],'Tax rates'!A$2:C$8,1))</f>
        <v>12404.3</v>
      </c>
      <c r="K616" s="35">
        <f>Table24[[#This Row],[Salary]]-Table24[[#This Row],[Taxes]]</f>
        <v>62435.7</v>
      </c>
    </row>
    <row r="617" spans="1:11" x14ac:dyDescent="0.25">
      <c r="A617" s="5" t="s">
        <v>699</v>
      </c>
      <c r="B617" s="5" t="s">
        <v>29</v>
      </c>
      <c r="C617" s="5" t="s">
        <v>106</v>
      </c>
      <c r="D617" s="5" t="s">
        <v>3</v>
      </c>
      <c r="E617" s="6">
        <v>39069</v>
      </c>
      <c r="F617" s="5" t="s">
        <v>21</v>
      </c>
      <c r="G617" s="10">
        <v>37670</v>
      </c>
      <c r="H617" s="7">
        <v>3</v>
      </c>
      <c r="I617" s="12">
        <f>IF(OR(Table24[[#This Row],[Rating]]=4,Table24[[#This Row],[Rating]]=5), 0.05*Table24[[#This Row],[Salary]],0)</f>
        <v>0</v>
      </c>
      <c r="J617" s="14">
        <f>VLOOKUP(Table24[[#This Row],[Salary]],'Tax rates'!A$2:C$8, 2) + VLOOKUP(Table24[[#This Row],[Salary]],'Tax rates'!A$2:C$8, 3) * (Table24[[#This Row],[Salary]] - VLOOKUP(Table24[[#This Row],[Salary]],'Tax rates'!A$2:C$8,1))</f>
        <v>4329.8999999999996</v>
      </c>
      <c r="K617" s="35">
        <f>Table24[[#This Row],[Salary]]-Table24[[#This Row],[Taxes]]</f>
        <v>33340.1</v>
      </c>
    </row>
    <row r="618" spans="1:11" x14ac:dyDescent="0.25">
      <c r="A618" s="5" t="s">
        <v>585</v>
      </c>
      <c r="B618" s="5" t="s">
        <v>13</v>
      </c>
      <c r="C618" s="5" t="s">
        <v>30</v>
      </c>
      <c r="D618" s="5" t="s">
        <v>3</v>
      </c>
      <c r="E618" s="6">
        <v>40399</v>
      </c>
      <c r="F618" s="5" t="s">
        <v>25</v>
      </c>
      <c r="G618" s="10">
        <v>72700</v>
      </c>
      <c r="H618" s="7">
        <v>5</v>
      </c>
      <c r="I618" s="12">
        <f>IF(OR(Table24[[#This Row],[Rating]]=4,Table24[[#This Row],[Rating]]=5), 0.05*Table24[[#This Row],[Salary]],0)</f>
        <v>3635</v>
      </c>
      <c r="J618" s="14">
        <f>VLOOKUP(Table24[[#This Row],[Salary]],'Tax rates'!A$2:C$8, 2) + VLOOKUP(Table24[[#This Row],[Salary]],'Tax rates'!A$2:C$8, 3) * (Table24[[#This Row],[Salary]] - VLOOKUP(Table24[[#This Row],[Salary]],'Tax rates'!A$2:C$8,1))</f>
        <v>11933.5</v>
      </c>
      <c r="K618" s="35">
        <f>Table24[[#This Row],[Salary]]-Table24[[#This Row],[Taxes]]</f>
        <v>60766.5</v>
      </c>
    </row>
    <row r="619" spans="1:11" x14ac:dyDescent="0.25">
      <c r="A619" s="5" t="s">
        <v>747</v>
      </c>
      <c r="B619" s="5" t="s">
        <v>13</v>
      </c>
      <c r="C619" s="5" t="s">
        <v>30</v>
      </c>
      <c r="D619" s="5" t="s">
        <v>3</v>
      </c>
      <c r="E619" s="6">
        <v>40208</v>
      </c>
      <c r="F619" s="5" t="s">
        <v>25</v>
      </c>
      <c r="G619" s="10">
        <v>61148</v>
      </c>
      <c r="H619" s="7">
        <v>2</v>
      </c>
      <c r="I619" s="12">
        <f>IF(OR(Table24[[#This Row],[Rating]]=4,Table24[[#This Row],[Rating]]=5), 0.05*Table24[[#This Row],[Salary]],0)</f>
        <v>0</v>
      </c>
      <c r="J619" s="14">
        <f>VLOOKUP(Table24[[#This Row],[Salary]],'Tax rates'!A$2:C$8, 2) + VLOOKUP(Table24[[#This Row],[Salary]],'Tax rates'!A$2:C$8, 3) * (Table24[[#This Row],[Salary]] - VLOOKUP(Table24[[#This Row],[Salary]],'Tax rates'!A$2:C$8,1))</f>
        <v>9392.0600000000013</v>
      </c>
      <c r="K619" s="35">
        <f>Table24[[#This Row],[Salary]]-Table24[[#This Row],[Taxes]]</f>
        <v>51755.94</v>
      </c>
    </row>
    <row r="620" spans="1:11" x14ac:dyDescent="0.25">
      <c r="A620" s="5" t="s">
        <v>240</v>
      </c>
      <c r="B620" s="5" t="s">
        <v>13</v>
      </c>
      <c r="C620" s="5" t="s">
        <v>30</v>
      </c>
      <c r="D620" s="5" t="s">
        <v>16</v>
      </c>
      <c r="E620" s="6">
        <v>40963</v>
      </c>
      <c r="F620" s="7"/>
      <c r="G620" s="10">
        <v>60550</v>
      </c>
      <c r="H620" s="7">
        <v>2</v>
      </c>
      <c r="I620" s="12">
        <f>IF(OR(Table24[[#This Row],[Rating]]=4,Table24[[#This Row],[Rating]]=5), 0.05*Table24[[#This Row],[Salary]],0)</f>
        <v>0</v>
      </c>
      <c r="J620" s="14">
        <f>VLOOKUP(Table24[[#This Row],[Salary]],'Tax rates'!A$2:C$8, 2) + VLOOKUP(Table24[[#This Row],[Salary]],'Tax rates'!A$2:C$8, 3) * (Table24[[#This Row],[Salary]] - VLOOKUP(Table24[[#This Row],[Salary]],'Tax rates'!A$2:C$8,1))</f>
        <v>9260.5</v>
      </c>
      <c r="K620" s="35">
        <f>Table24[[#This Row],[Salary]]-Table24[[#This Row],[Taxes]]</f>
        <v>51289.5</v>
      </c>
    </row>
    <row r="621" spans="1:11" x14ac:dyDescent="0.25">
      <c r="A621" s="5" t="s">
        <v>136</v>
      </c>
      <c r="B621" s="5" t="s">
        <v>13</v>
      </c>
      <c r="C621" s="5" t="s">
        <v>30</v>
      </c>
      <c r="D621" s="5" t="s">
        <v>16</v>
      </c>
      <c r="E621" s="6">
        <v>40410</v>
      </c>
      <c r="F621" s="7"/>
      <c r="G621" s="10">
        <v>57680</v>
      </c>
      <c r="H621" s="7">
        <v>4</v>
      </c>
      <c r="I621" s="12">
        <f>IF(OR(Table24[[#This Row],[Rating]]=4,Table24[[#This Row],[Rating]]=5), 0.05*Table24[[#This Row],[Salary]],0)</f>
        <v>2884</v>
      </c>
      <c r="J621" s="14">
        <f>VLOOKUP(Table24[[#This Row],[Salary]],'Tax rates'!A$2:C$8, 2) + VLOOKUP(Table24[[#This Row],[Salary]],'Tax rates'!A$2:C$8, 3) * (Table24[[#This Row],[Salary]] - VLOOKUP(Table24[[#This Row],[Salary]],'Tax rates'!A$2:C$8,1))</f>
        <v>8629.1</v>
      </c>
      <c r="K621" s="35">
        <f>Table24[[#This Row],[Salary]]-Table24[[#This Row],[Taxes]]</f>
        <v>49050.9</v>
      </c>
    </row>
    <row r="622" spans="1:11" x14ac:dyDescent="0.25">
      <c r="A622" s="5" t="s">
        <v>248</v>
      </c>
      <c r="B622" s="5" t="s">
        <v>13</v>
      </c>
      <c r="C622" s="5" t="s">
        <v>30</v>
      </c>
      <c r="D622" s="5" t="s">
        <v>16</v>
      </c>
      <c r="E622" s="6">
        <v>40883</v>
      </c>
      <c r="F622" s="7"/>
      <c r="G622" s="10">
        <v>50840</v>
      </c>
      <c r="H622" s="7">
        <v>4</v>
      </c>
      <c r="I622" s="12">
        <f>IF(OR(Table24[[#This Row],[Rating]]=4,Table24[[#This Row],[Rating]]=5), 0.05*Table24[[#This Row],[Salary]],0)</f>
        <v>2542</v>
      </c>
      <c r="J622" s="14">
        <f>VLOOKUP(Table24[[#This Row],[Salary]],'Tax rates'!A$2:C$8, 2) + VLOOKUP(Table24[[#This Row],[Salary]],'Tax rates'!A$2:C$8, 3) * (Table24[[#This Row],[Salary]] - VLOOKUP(Table24[[#This Row],[Salary]],'Tax rates'!A$2:C$8,1))</f>
        <v>7124.3</v>
      </c>
      <c r="K622" s="35">
        <f>Table24[[#This Row],[Salary]]-Table24[[#This Row],[Taxes]]</f>
        <v>43715.7</v>
      </c>
    </row>
    <row r="623" spans="1:11" x14ac:dyDescent="0.25">
      <c r="A623" s="5" t="s">
        <v>369</v>
      </c>
      <c r="B623" s="5" t="s">
        <v>13</v>
      </c>
      <c r="C623" s="5" t="s">
        <v>30</v>
      </c>
      <c r="D623" s="5" t="s">
        <v>3</v>
      </c>
      <c r="E623" s="6">
        <v>39372</v>
      </c>
      <c r="F623" s="5" t="s">
        <v>4</v>
      </c>
      <c r="G623" s="10">
        <v>50570</v>
      </c>
      <c r="H623" s="7">
        <v>4</v>
      </c>
      <c r="I623" s="12">
        <f>IF(OR(Table24[[#This Row],[Rating]]=4,Table24[[#This Row],[Rating]]=5), 0.05*Table24[[#This Row],[Salary]],0)</f>
        <v>2528.5</v>
      </c>
      <c r="J623" s="14">
        <f>VLOOKUP(Table24[[#This Row],[Salary]],'Tax rates'!A$2:C$8, 2) + VLOOKUP(Table24[[#This Row],[Salary]],'Tax rates'!A$2:C$8, 3) * (Table24[[#This Row],[Salary]] - VLOOKUP(Table24[[#This Row],[Salary]],'Tax rates'!A$2:C$8,1))</f>
        <v>7064.9</v>
      </c>
      <c r="K623" s="35">
        <f>Table24[[#This Row],[Salary]]-Table24[[#This Row],[Taxes]]</f>
        <v>43505.1</v>
      </c>
    </row>
    <row r="624" spans="1:11" x14ac:dyDescent="0.25">
      <c r="A624" s="5" t="s">
        <v>257</v>
      </c>
      <c r="B624" s="5" t="s">
        <v>13</v>
      </c>
      <c r="C624" s="5" t="s">
        <v>30</v>
      </c>
      <c r="D624" s="5" t="s">
        <v>16</v>
      </c>
      <c r="E624" s="6">
        <v>38828</v>
      </c>
      <c r="F624" s="7"/>
      <c r="G624" s="10">
        <v>49530</v>
      </c>
      <c r="H624" s="7">
        <v>4</v>
      </c>
      <c r="I624" s="12">
        <f>IF(OR(Table24[[#This Row],[Rating]]=4,Table24[[#This Row],[Rating]]=5), 0.05*Table24[[#This Row],[Salary]],0)</f>
        <v>2476.5</v>
      </c>
      <c r="J624" s="14">
        <f>VLOOKUP(Table24[[#This Row],[Salary]],'Tax rates'!A$2:C$8, 2) + VLOOKUP(Table24[[#This Row],[Salary]],'Tax rates'!A$2:C$8, 3) * (Table24[[#This Row],[Salary]] - VLOOKUP(Table24[[#This Row],[Salary]],'Tax rates'!A$2:C$8,1))</f>
        <v>6836.1</v>
      </c>
      <c r="K624" s="35">
        <f>Table24[[#This Row],[Salary]]-Table24[[#This Row],[Taxes]]</f>
        <v>42693.9</v>
      </c>
    </row>
    <row r="625" spans="1:11" x14ac:dyDescent="0.25">
      <c r="A625" s="5" t="s">
        <v>728</v>
      </c>
      <c r="B625" s="5" t="s">
        <v>13</v>
      </c>
      <c r="C625" s="5" t="s">
        <v>30</v>
      </c>
      <c r="D625" s="5" t="s">
        <v>24</v>
      </c>
      <c r="E625" s="6">
        <v>40421</v>
      </c>
      <c r="F625" s="5" t="s">
        <v>25</v>
      </c>
      <c r="G625" s="10">
        <v>49355</v>
      </c>
      <c r="H625" s="7">
        <v>5</v>
      </c>
      <c r="I625" s="12">
        <f>IF(OR(Table24[[#This Row],[Rating]]=4,Table24[[#This Row],[Rating]]=5), 0.05*Table24[[#This Row],[Salary]],0)</f>
        <v>2467.75</v>
      </c>
      <c r="J625" s="14">
        <f>VLOOKUP(Table24[[#This Row],[Salary]],'Tax rates'!A$2:C$8, 2) + VLOOKUP(Table24[[#This Row],[Salary]],'Tax rates'!A$2:C$8, 3) * (Table24[[#This Row],[Salary]] - VLOOKUP(Table24[[#This Row],[Salary]],'Tax rates'!A$2:C$8,1))</f>
        <v>6797.6</v>
      </c>
      <c r="K625" s="35">
        <f>Table24[[#This Row],[Salary]]-Table24[[#This Row],[Taxes]]</f>
        <v>42557.4</v>
      </c>
    </row>
    <row r="626" spans="1:11" x14ac:dyDescent="0.25">
      <c r="A626" s="5" t="s">
        <v>258</v>
      </c>
      <c r="B626" s="5" t="s">
        <v>13</v>
      </c>
      <c r="C626" s="5" t="s">
        <v>30</v>
      </c>
      <c r="D626" s="5" t="s">
        <v>16</v>
      </c>
      <c r="E626" s="6">
        <v>40943</v>
      </c>
      <c r="F626" s="7"/>
      <c r="G626" s="10">
        <v>47590</v>
      </c>
      <c r="H626" s="7">
        <v>3</v>
      </c>
      <c r="I626" s="12">
        <f>IF(OR(Table24[[#This Row],[Rating]]=4,Table24[[#This Row],[Rating]]=5), 0.05*Table24[[#This Row],[Salary]],0)</f>
        <v>0</v>
      </c>
      <c r="J626" s="14">
        <f>VLOOKUP(Table24[[#This Row],[Salary]],'Tax rates'!A$2:C$8, 2) + VLOOKUP(Table24[[#This Row],[Salary]],'Tax rates'!A$2:C$8, 3) * (Table24[[#This Row],[Salary]] - VLOOKUP(Table24[[#This Row],[Salary]],'Tax rates'!A$2:C$8,1))</f>
        <v>6409.3</v>
      </c>
      <c r="K626" s="35">
        <f>Table24[[#This Row],[Salary]]-Table24[[#This Row],[Taxes]]</f>
        <v>41180.699999999997</v>
      </c>
    </row>
    <row r="627" spans="1:11" x14ac:dyDescent="0.25">
      <c r="A627" s="5" t="s">
        <v>96</v>
      </c>
      <c r="B627" s="5" t="s">
        <v>13</v>
      </c>
      <c r="C627" s="5" t="s">
        <v>30</v>
      </c>
      <c r="D627" s="5" t="s">
        <v>16</v>
      </c>
      <c r="E627" s="6">
        <v>36086</v>
      </c>
      <c r="F627" s="7"/>
      <c r="G627" s="10">
        <v>47520</v>
      </c>
      <c r="H627" s="7">
        <v>1</v>
      </c>
      <c r="I627" s="12">
        <f>IF(OR(Table24[[#This Row],[Rating]]=4,Table24[[#This Row],[Rating]]=5), 0.05*Table24[[#This Row],[Salary]],0)</f>
        <v>0</v>
      </c>
      <c r="J627" s="14">
        <f>VLOOKUP(Table24[[#This Row],[Salary]],'Tax rates'!A$2:C$8, 2) + VLOOKUP(Table24[[#This Row],[Salary]],'Tax rates'!A$2:C$8, 3) * (Table24[[#This Row],[Salary]] - VLOOKUP(Table24[[#This Row],[Salary]],'Tax rates'!A$2:C$8,1))</f>
        <v>6393.9</v>
      </c>
      <c r="K627" s="35">
        <f>Table24[[#This Row],[Salary]]-Table24[[#This Row],[Taxes]]</f>
        <v>41126.1</v>
      </c>
    </row>
    <row r="628" spans="1:11" x14ac:dyDescent="0.25">
      <c r="A628" s="5" t="s">
        <v>340</v>
      </c>
      <c r="B628" s="5" t="s">
        <v>13</v>
      </c>
      <c r="C628" s="5" t="s">
        <v>30</v>
      </c>
      <c r="D628" s="5" t="s">
        <v>24</v>
      </c>
      <c r="E628" s="6">
        <v>40976</v>
      </c>
      <c r="F628" s="5" t="s">
        <v>4</v>
      </c>
      <c r="G628" s="10">
        <v>46380</v>
      </c>
      <c r="H628" s="7">
        <v>3</v>
      </c>
      <c r="I628" s="12">
        <f>IF(OR(Table24[[#This Row],[Rating]]=4,Table24[[#This Row],[Rating]]=5), 0.05*Table24[[#This Row],[Salary]],0)</f>
        <v>0</v>
      </c>
      <c r="J628" s="14">
        <f>VLOOKUP(Table24[[#This Row],[Salary]],'Tax rates'!A$2:C$8, 2) + VLOOKUP(Table24[[#This Row],[Salary]],'Tax rates'!A$2:C$8, 3) * (Table24[[#This Row],[Salary]] - VLOOKUP(Table24[[#This Row],[Salary]],'Tax rates'!A$2:C$8,1))</f>
        <v>6143.1</v>
      </c>
      <c r="K628" s="35">
        <f>Table24[[#This Row],[Salary]]-Table24[[#This Row],[Taxes]]</f>
        <v>40236.9</v>
      </c>
    </row>
    <row r="629" spans="1:11" x14ac:dyDescent="0.25">
      <c r="A629" s="5" t="s">
        <v>54</v>
      </c>
      <c r="B629" s="5" t="s">
        <v>13</v>
      </c>
      <c r="C629" s="5" t="s">
        <v>30</v>
      </c>
      <c r="D629" s="5" t="s">
        <v>3</v>
      </c>
      <c r="E629" s="6">
        <v>40264</v>
      </c>
      <c r="F629" s="5" t="s">
        <v>9</v>
      </c>
      <c r="G629" s="10">
        <v>29760</v>
      </c>
      <c r="H629" s="7">
        <v>2</v>
      </c>
      <c r="I629" s="12">
        <f>IF(OR(Table24[[#This Row],[Rating]]=4,Table24[[#This Row],[Rating]]=5), 0.05*Table24[[#This Row],[Salary]],0)</f>
        <v>0</v>
      </c>
      <c r="J629" s="14">
        <f>VLOOKUP(Table24[[#This Row],[Salary]],'Tax rates'!A$2:C$8, 2) + VLOOKUP(Table24[[#This Row],[Salary]],'Tax rates'!A$2:C$8, 3) * (Table24[[#This Row],[Salary]] - VLOOKUP(Table24[[#This Row],[Salary]],'Tax rates'!A$2:C$8,1))</f>
        <v>3380.7</v>
      </c>
      <c r="K629" s="35">
        <f>Table24[[#This Row],[Salary]]-Table24[[#This Row],[Taxes]]</f>
        <v>26379.3</v>
      </c>
    </row>
    <row r="630" spans="1:11" x14ac:dyDescent="0.25">
      <c r="A630" s="5" t="s">
        <v>157</v>
      </c>
      <c r="B630" s="5" t="s">
        <v>13</v>
      </c>
      <c r="C630" s="5" t="s">
        <v>30</v>
      </c>
      <c r="D630" s="5" t="s">
        <v>3</v>
      </c>
      <c r="E630" s="6">
        <v>39899</v>
      </c>
      <c r="F630" s="5" t="s">
        <v>4</v>
      </c>
      <c r="G630" s="10">
        <v>24790</v>
      </c>
      <c r="H630" s="7">
        <v>3</v>
      </c>
      <c r="I630" s="12">
        <f>IF(OR(Table24[[#This Row],[Rating]]=4,Table24[[#This Row],[Rating]]=5), 0.05*Table24[[#This Row],[Salary]],0)</f>
        <v>0</v>
      </c>
      <c r="J630" s="14">
        <f>VLOOKUP(Table24[[#This Row],[Salary]],'Tax rates'!A$2:C$8, 2) + VLOOKUP(Table24[[#This Row],[Salary]],'Tax rates'!A$2:C$8, 3) * (Table24[[#This Row],[Salary]] - VLOOKUP(Table24[[#This Row],[Salary]],'Tax rates'!A$2:C$8,1))</f>
        <v>2784.3</v>
      </c>
      <c r="K630" s="35">
        <f>Table24[[#This Row],[Salary]]-Table24[[#This Row],[Taxes]]</f>
        <v>22005.7</v>
      </c>
    </row>
    <row r="631" spans="1:11" x14ac:dyDescent="0.25">
      <c r="A631" s="5" t="s">
        <v>725</v>
      </c>
      <c r="B631" s="5" t="s">
        <v>13</v>
      </c>
      <c r="C631" s="5" t="s">
        <v>30</v>
      </c>
      <c r="D631" s="5" t="s">
        <v>16</v>
      </c>
      <c r="E631" s="6">
        <v>39742</v>
      </c>
      <c r="F631" s="7"/>
      <c r="G631" s="10">
        <v>23020</v>
      </c>
      <c r="H631" s="7">
        <v>4</v>
      </c>
      <c r="I631" s="12">
        <f>IF(OR(Table24[[#This Row],[Rating]]=4,Table24[[#This Row],[Rating]]=5), 0.05*Table24[[#This Row],[Salary]],0)</f>
        <v>1151</v>
      </c>
      <c r="J631" s="14">
        <f>VLOOKUP(Table24[[#This Row],[Salary]],'Tax rates'!A$2:C$8, 2) + VLOOKUP(Table24[[#This Row],[Salary]],'Tax rates'!A$2:C$8, 3) * (Table24[[#This Row],[Salary]] - VLOOKUP(Table24[[#This Row],[Salary]],'Tax rates'!A$2:C$8,1))</f>
        <v>2571.8999999999996</v>
      </c>
      <c r="K631" s="35">
        <f>Table24[[#This Row],[Salary]]-Table24[[#This Row],[Taxes]]</f>
        <v>20448.099999999999</v>
      </c>
    </row>
    <row r="632" spans="1:11" x14ac:dyDescent="0.25">
      <c r="A632" s="5" t="s">
        <v>231</v>
      </c>
      <c r="B632" s="5" t="s">
        <v>13</v>
      </c>
      <c r="C632" s="5" t="s">
        <v>30</v>
      </c>
      <c r="D632" s="5" t="s">
        <v>3</v>
      </c>
      <c r="E632" s="6">
        <v>35821</v>
      </c>
      <c r="F632" s="5" t="s">
        <v>21</v>
      </c>
      <c r="G632" s="10">
        <v>22870</v>
      </c>
      <c r="H632" s="7">
        <v>3</v>
      </c>
      <c r="I632" s="12">
        <f>IF(OR(Table24[[#This Row],[Rating]]=4,Table24[[#This Row],[Rating]]=5), 0.05*Table24[[#This Row],[Salary]],0)</f>
        <v>0</v>
      </c>
      <c r="J632" s="14">
        <f>VLOOKUP(Table24[[#This Row],[Salary]],'Tax rates'!A$2:C$8, 2) + VLOOKUP(Table24[[#This Row],[Salary]],'Tax rates'!A$2:C$8, 3) * (Table24[[#This Row],[Salary]] - VLOOKUP(Table24[[#This Row],[Salary]],'Tax rates'!A$2:C$8,1))</f>
        <v>2553.8999999999996</v>
      </c>
      <c r="K632" s="35">
        <f>Table24[[#This Row],[Salary]]-Table24[[#This Row],[Taxes]]</f>
        <v>20316.099999999999</v>
      </c>
    </row>
    <row r="633" spans="1:11" x14ac:dyDescent="0.25">
      <c r="A633" s="5" t="s">
        <v>93</v>
      </c>
      <c r="B633" s="5" t="s">
        <v>13</v>
      </c>
      <c r="C633" s="5" t="s">
        <v>30</v>
      </c>
      <c r="D633" s="5" t="s">
        <v>32</v>
      </c>
      <c r="E633" s="6">
        <v>35946</v>
      </c>
      <c r="F633" s="7"/>
      <c r="G633" s="10">
        <v>14332</v>
      </c>
      <c r="H633" s="7">
        <v>5</v>
      </c>
      <c r="I633" s="12">
        <f>IF(OR(Table24[[#This Row],[Rating]]=4,Table24[[#This Row],[Rating]]=5), 0.05*Table24[[#This Row],[Salary]],0)</f>
        <v>716.6</v>
      </c>
      <c r="J633" s="14">
        <f>VLOOKUP(Table24[[#This Row],[Salary]],'Tax rates'!A$2:C$8, 2) + VLOOKUP(Table24[[#This Row],[Salary]],'Tax rates'!A$2:C$8, 3) * (Table24[[#This Row],[Salary]] - VLOOKUP(Table24[[#This Row],[Salary]],'Tax rates'!A$2:C$8,1))</f>
        <v>1529.3400000000001</v>
      </c>
      <c r="K633" s="35">
        <f>Table24[[#This Row],[Salary]]-Table24[[#This Row],[Taxes]]</f>
        <v>12802.66</v>
      </c>
    </row>
    <row r="634" spans="1:11" x14ac:dyDescent="0.25">
      <c r="A634" s="5" t="s">
        <v>605</v>
      </c>
      <c r="B634" s="5" t="s">
        <v>13</v>
      </c>
      <c r="C634" s="5" t="s">
        <v>30</v>
      </c>
      <c r="D634" s="5" t="s">
        <v>24</v>
      </c>
      <c r="E634" s="6">
        <v>39176</v>
      </c>
      <c r="F634" s="5" t="s">
        <v>11</v>
      </c>
      <c r="G634" s="10">
        <v>10700</v>
      </c>
      <c r="H634" s="7">
        <v>4</v>
      </c>
      <c r="I634" s="12">
        <f>IF(OR(Table24[[#This Row],[Rating]]=4,Table24[[#This Row],[Rating]]=5), 0.05*Table24[[#This Row],[Salary]],0)</f>
        <v>535</v>
      </c>
      <c r="J634" s="14">
        <f>VLOOKUP(Table24[[#This Row],[Salary]],'Tax rates'!A$2:C$8, 2) + VLOOKUP(Table24[[#This Row],[Salary]],'Tax rates'!A$2:C$8, 3) * (Table24[[#This Row],[Salary]] - VLOOKUP(Table24[[#This Row],[Salary]],'Tax rates'!A$2:C$8,1))</f>
        <v>1093.5</v>
      </c>
      <c r="K634" s="35">
        <f>Table24[[#This Row],[Salary]]-Table24[[#This Row],[Taxes]]</f>
        <v>9606.5</v>
      </c>
    </row>
    <row r="635" spans="1:11" x14ac:dyDescent="0.25">
      <c r="A635" s="5" t="s">
        <v>543</v>
      </c>
      <c r="B635" s="5" t="s">
        <v>13</v>
      </c>
      <c r="C635" s="5" t="s">
        <v>197</v>
      </c>
      <c r="D635" s="5" t="s">
        <v>3</v>
      </c>
      <c r="E635" s="6">
        <v>36171</v>
      </c>
      <c r="F635" s="5" t="s">
        <v>4</v>
      </c>
      <c r="G635" s="10">
        <v>54550</v>
      </c>
      <c r="H635" s="7">
        <v>1</v>
      </c>
      <c r="I635" s="12">
        <f>IF(OR(Table24[[#This Row],[Rating]]=4,Table24[[#This Row],[Rating]]=5), 0.05*Table24[[#This Row],[Salary]],0)</f>
        <v>0</v>
      </c>
      <c r="J635" s="14">
        <f>VLOOKUP(Table24[[#This Row],[Salary]],'Tax rates'!A$2:C$8, 2) + VLOOKUP(Table24[[#This Row],[Salary]],'Tax rates'!A$2:C$8, 3) * (Table24[[#This Row],[Salary]] - VLOOKUP(Table24[[#This Row],[Salary]],'Tax rates'!A$2:C$8,1))</f>
        <v>7940.5</v>
      </c>
      <c r="K635" s="35">
        <f>Table24[[#This Row],[Salary]]-Table24[[#This Row],[Taxes]]</f>
        <v>46609.5</v>
      </c>
    </row>
    <row r="636" spans="1:11" x14ac:dyDescent="0.25">
      <c r="A636" s="5" t="s">
        <v>196</v>
      </c>
      <c r="B636" s="5" t="s">
        <v>13</v>
      </c>
      <c r="C636" s="5" t="s">
        <v>197</v>
      </c>
      <c r="D636" s="5" t="s">
        <v>16</v>
      </c>
      <c r="E636" s="6">
        <v>39147</v>
      </c>
      <c r="F636" s="7"/>
      <c r="G636" s="10">
        <v>42540</v>
      </c>
      <c r="H636" s="7">
        <v>5</v>
      </c>
      <c r="I636" s="12">
        <f>IF(OR(Table24[[#This Row],[Rating]]=4,Table24[[#This Row],[Rating]]=5), 0.05*Table24[[#This Row],[Salary]],0)</f>
        <v>2127</v>
      </c>
      <c r="J636" s="14">
        <f>VLOOKUP(Table24[[#This Row],[Salary]],'Tax rates'!A$2:C$8, 2) + VLOOKUP(Table24[[#This Row],[Salary]],'Tax rates'!A$2:C$8, 3) * (Table24[[#This Row],[Salary]] - VLOOKUP(Table24[[#This Row],[Salary]],'Tax rates'!A$2:C$8,1))</f>
        <v>5298.3</v>
      </c>
      <c r="K636" s="35">
        <f>Table24[[#This Row],[Salary]]-Table24[[#This Row],[Taxes]]</f>
        <v>37241.699999999997</v>
      </c>
    </row>
    <row r="637" spans="1:11" x14ac:dyDescent="0.25">
      <c r="A637" s="5" t="s">
        <v>694</v>
      </c>
      <c r="B637" s="5" t="s">
        <v>13</v>
      </c>
      <c r="C637" s="5" t="s">
        <v>197</v>
      </c>
      <c r="D637" s="5" t="s">
        <v>24</v>
      </c>
      <c r="E637" s="6">
        <v>40595</v>
      </c>
      <c r="F637" s="5" t="s">
        <v>25</v>
      </c>
      <c r="G637" s="10">
        <v>26795</v>
      </c>
      <c r="H637" s="7">
        <v>4</v>
      </c>
      <c r="I637" s="12">
        <f>IF(OR(Table24[[#This Row],[Rating]]=4,Table24[[#This Row],[Rating]]=5), 0.05*Table24[[#This Row],[Salary]],0)</f>
        <v>1339.75</v>
      </c>
      <c r="J637" s="14">
        <f>VLOOKUP(Table24[[#This Row],[Salary]],'Tax rates'!A$2:C$8, 2) + VLOOKUP(Table24[[#This Row],[Salary]],'Tax rates'!A$2:C$8, 3) * (Table24[[#This Row],[Salary]] - VLOOKUP(Table24[[#This Row],[Salary]],'Tax rates'!A$2:C$8,1))</f>
        <v>3024.9</v>
      </c>
      <c r="K637" s="35">
        <f>Table24[[#This Row],[Salary]]-Table24[[#This Row],[Taxes]]</f>
        <v>23770.1</v>
      </c>
    </row>
    <row r="638" spans="1:11" x14ac:dyDescent="0.25">
      <c r="A638" s="5" t="s">
        <v>560</v>
      </c>
      <c r="B638" s="5" t="s">
        <v>13</v>
      </c>
      <c r="C638" s="5" t="s">
        <v>20</v>
      </c>
      <c r="D638" s="5" t="s">
        <v>3</v>
      </c>
      <c r="E638" s="6">
        <v>40752</v>
      </c>
      <c r="F638" s="5" t="s">
        <v>11</v>
      </c>
      <c r="G638" s="10">
        <v>37620</v>
      </c>
      <c r="H638" s="7">
        <v>5</v>
      </c>
      <c r="I638" s="12">
        <f>IF(OR(Table24[[#This Row],[Rating]]=4,Table24[[#This Row],[Rating]]=5), 0.05*Table24[[#This Row],[Salary]],0)</f>
        <v>1881</v>
      </c>
      <c r="J638" s="14">
        <f>VLOOKUP(Table24[[#This Row],[Salary]],'Tax rates'!A$2:C$8, 2) + VLOOKUP(Table24[[#This Row],[Salary]],'Tax rates'!A$2:C$8, 3) * (Table24[[#This Row],[Salary]] - VLOOKUP(Table24[[#This Row],[Salary]],'Tax rates'!A$2:C$8,1))</f>
        <v>4323.8999999999996</v>
      </c>
      <c r="K638" s="35">
        <f>Table24[[#This Row],[Salary]]-Table24[[#This Row],[Taxes]]</f>
        <v>33296.1</v>
      </c>
    </row>
    <row r="639" spans="1:11" x14ac:dyDescent="0.25">
      <c r="A639" s="5" t="s">
        <v>588</v>
      </c>
      <c r="B639" s="5" t="s">
        <v>13</v>
      </c>
      <c r="C639" s="5" t="s">
        <v>20</v>
      </c>
      <c r="D639" s="5" t="s">
        <v>16</v>
      </c>
      <c r="E639" s="6">
        <v>40263</v>
      </c>
      <c r="F639" s="7"/>
      <c r="G639" s="10">
        <v>35260</v>
      </c>
      <c r="H639" s="7">
        <v>2</v>
      </c>
      <c r="I639" s="12">
        <f>IF(OR(Table24[[#This Row],[Rating]]=4,Table24[[#This Row],[Rating]]=5), 0.05*Table24[[#This Row],[Salary]],0)</f>
        <v>0</v>
      </c>
      <c r="J639" s="14">
        <f>VLOOKUP(Table24[[#This Row],[Salary]],'Tax rates'!A$2:C$8, 2) + VLOOKUP(Table24[[#This Row],[Salary]],'Tax rates'!A$2:C$8, 3) * (Table24[[#This Row],[Salary]] - VLOOKUP(Table24[[#This Row],[Salary]],'Tax rates'!A$2:C$8,1))</f>
        <v>4040.7</v>
      </c>
      <c r="K639" s="35">
        <f>Table24[[#This Row],[Salary]]-Table24[[#This Row],[Taxes]]</f>
        <v>31219.3</v>
      </c>
    </row>
    <row r="640" spans="1:11" x14ac:dyDescent="0.25">
      <c r="A640" s="5" t="s">
        <v>142</v>
      </c>
      <c r="B640" s="5" t="s">
        <v>13</v>
      </c>
      <c r="C640" s="5" t="s">
        <v>73</v>
      </c>
      <c r="D640" s="5" t="s">
        <v>3</v>
      </c>
      <c r="E640" s="6">
        <v>36619</v>
      </c>
      <c r="F640" s="5" t="s">
        <v>21</v>
      </c>
      <c r="G640" s="10">
        <v>56440</v>
      </c>
      <c r="H640" s="7">
        <v>1</v>
      </c>
      <c r="I640" s="12">
        <f>IF(OR(Table24[[#This Row],[Rating]]=4,Table24[[#This Row],[Rating]]=5), 0.05*Table24[[#This Row],[Salary]],0)</f>
        <v>0</v>
      </c>
      <c r="J640" s="14">
        <f>VLOOKUP(Table24[[#This Row],[Salary]],'Tax rates'!A$2:C$8, 2) + VLOOKUP(Table24[[#This Row],[Salary]],'Tax rates'!A$2:C$8, 3) * (Table24[[#This Row],[Salary]] - VLOOKUP(Table24[[#This Row],[Salary]],'Tax rates'!A$2:C$8,1))</f>
        <v>8356.2999999999993</v>
      </c>
      <c r="K640" s="35">
        <f>Table24[[#This Row],[Salary]]-Table24[[#This Row],[Taxes]]</f>
        <v>48083.7</v>
      </c>
    </row>
    <row r="641" spans="1:11" x14ac:dyDescent="0.25">
      <c r="A641" s="5" t="s">
        <v>85</v>
      </c>
      <c r="B641" s="5" t="s">
        <v>13</v>
      </c>
      <c r="C641" s="5" t="s">
        <v>73</v>
      </c>
      <c r="D641" s="5" t="s">
        <v>3</v>
      </c>
      <c r="E641" s="6">
        <v>40106</v>
      </c>
      <c r="F641" s="5" t="s">
        <v>25</v>
      </c>
      <c r="G641" s="10">
        <v>51180</v>
      </c>
      <c r="H641" s="7">
        <v>3</v>
      </c>
      <c r="I641" s="12">
        <f>IF(OR(Table24[[#This Row],[Rating]]=4,Table24[[#This Row],[Rating]]=5), 0.05*Table24[[#This Row],[Salary]],0)</f>
        <v>0</v>
      </c>
      <c r="J641" s="14">
        <f>VLOOKUP(Table24[[#This Row],[Salary]],'Tax rates'!A$2:C$8, 2) + VLOOKUP(Table24[[#This Row],[Salary]],'Tax rates'!A$2:C$8, 3) * (Table24[[#This Row],[Salary]] - VLOOKUP(Table24[[#This Row],[Salary]],'Tax rates'!A$2:C$8,1))</f>
        <v>7199.1</v>
      </c>
      <c r="K641" s="35">
        <f>Table24[[#This Row],[Salary]]-Table24[[#This Row],[Taxes]]</f>
        <v>43980.9</v>
      </c>
    </row>
    <row r="642" spans="1:11" x14ac:dyDescent="0.25">
      <c r="A642" s="5" t="s">
        <v>773</v>
      </c>
      <c r="B642" s="5" t="s">
        <v>13</v>
      </c>
      <c r="C642" s="5" t="s">
        <v>73</v>
      </c>
      <c r="D642" s="5" t="s">
        <v>3</v>
      </c>
      <c r="E642" s="6">
        <v>40856</v>
      </c>
      <c r="F642" s="5" t="s">
        <v>25</v>
      </c>
      <c r="G642" s="10">
        <v>41350</v>
      </c>
      <c r="H642" s="7">
        <v>2</v>
      </c>
      <c r="I642" s="12">
        <f>IF(OR(Table24[[#This Row],[Rating]]=4,Table24[[#This Row],[Rating]]=5), 0.05*Table24[[#This Row],[Salary]],0)</f>
        <v>0</v>
      </c>
      <c r="J642" s="14">
        <f>VLOOKUP(Table24[[#This Row],[Salary]],'Tax rates'!A$2:C$8, 2) + VLOOKUP(Table24[[#This Row],[Salary]],'Tax rates'!A$2:C$8, 3) * (Table24[[#This Row],[Salary]] - VLOOKUP(Table24[[#This Row],[Salary]],'Tax rates'!A$2:C$8,1))</f>
        <v>5036.5</v>
      </c>
      <c r="K642" s="35">
        <f>Table24[[#This Row],[Salary]]-Table24[[#This Row],[Taxes]]</f>
        <v>36313.5</v>
      </c>
    </row>
    <row r="643" spans="1:11" x14ac:dyDescent="0.25">
      <c r="A643" s="5" t="s">
        <v>698</v>
      </c>
      <c r="B643" s="5" t="s">
        <v>13</v>
      </c>
      <c r="C643" s="5" t="s">
        <v>73</v>
      </c>
      <c r="D643" s="5" t="s">
        <v>3</v>
      </c>
      <c r="E643" s="6">
        <v>36893</v>
      </c>
      <c r="F643" s="5" t="s">
        <v>11</v>
      </c>
      <c r="G643" s="10">
        <v>33640</v>
      </c>
      <c r="H643" s="7">
        <v>3</v>
      </c>
      <c r="I643" s="12">
        <f>IF(OR(Table24[[#This Row],[Rating]]=4,Table24[[#This Row],[Rating]]=5), 0.05*Table24[[#This Row],[Salary]],0)</f>
        <v>0</v>
      </c>
      <c r="J643" s="14">
        <f>VLOOKUP(Table24[[#This Row],[Salary]],'Tax rates'!A$2:C$8, 2) + VLOOKUP(Table24[[#This Row],[Salary]],'Tax rates'!A$2:C$8, 3) * (Table24[[#This Row],[Salary]] - VLOOKUP(Table24[[#This Row],[Salary]],'Tax rates'!A$2:C$8,1))</f>
        <v>3846.2999999999997</v>
      </c>
      <c r="K643" s="35">
        <f>Table24[[#This Row],[Salary]]-Table24[[#This Row],[Taxes]]</f>
        <v>29793.7</v>
      </c>
    </row>
    <row r="644" spans="1:11" x14ac:dyDescent="0.25">
      <c r="A644" s="5" t="s">
        <v>241</v>
      </c>
      <c r="B644" s="5" t="s">
        <v>13</v>
      </c>
      <c r="C644" s="5" t="s">
        <v>73</v>
      </c>
      <c r="D644" s="5" t="s">
        <v>24</v>
      </c>
      <c r="E644" s="6">
        <v>38851</v>
      </c>
      <c r="F644" s="5" t="s">
        <v>4</v>
      </c>
      <c r="G644" s="10">
        <v>11025</v>
      </c>
      <c r="H644" s="7">
        <v>1</v>
      </c>
      <c r="I644" s="12">
        <f>IF(OR(Table24[[#This Row],[Rating]]=4,Table24[[#This Row],[Rating]]=5), 0.05*Table24[[#This Row],[Salary]],0)</f>
        <v>0</v>
      </c>
      <c r="J644" s="14">
        <f>VLOOKUP(Table24[[#This Row],[Salary]],'Tax rates'!A$2:C$8, 2) + VLOOKUP(Table24[[#This Row],[Salary]],'Tax rates'!A$2:C$8, 3) * (Table24[[#This Row],[Salary]] - VLOOKUP(Table24[[#This Row],[Salary]],'Tax rates'!A$2:C$8,1))</f>
        <v>1132.5</v>
      </c>
      <c r="K644" s="35">
        <f>Table24[[#This Row],[Salary]]-Table24[[#This Row],[Taxes]]</f>
        <v>9892.5</v>
      </c>
    </row>
    <row r="645" spans="1:11" x14ac:dyDescent="0.25">
      <c r="A645" s="5" t="s">
        <v>375</v>
      </c>
      <c r="B645" s="5" t="s">
        <v>13</v>
      </c>
      <c r="C645" s="5" t="s">
        <v>75</v>
      </c>
      <c r="D645" s="5" t="s">
        <v>16</v>
      </c>
      <c r="E645" s="6">
        <v>38970</v>
      </c>
      <c r="F645" s="7"/>
      <c r="G645" s="10">
        <v>83070</v>
      </c>
      <c r="H645" s="7">
        <v>3</v>
      </c>
      <c r="I645" s="12">
        <f>IF(OR(Table24[[#This Row],[Rating]]=4,Table24[[#This Row],[Rating]]=5), 0.05*Table24[[#This Row],[Salary]],0)</f>
        <v>0</v>
      </c>
      <c r="J645" s="14">
        <f>VLOOKUP(Table24[[#This Row],[Salary]],'Tax rates'!A$2:C$8, 2) + VLOOKUP(Table24[[#This Row],[Salary]],'Tax rates'!A$2:C$8, 3) * (Table24[[#This Row],[Salary]] - VLOOKUP(Table24[[#This Row],[Salary]],'Tax rates'!A$2:C$8,1))</f>
        <v>14226.3</v>
      </c>
      <c r="K645" s="35">
        <f>Table24[[#This Row],[Salary]]-Table24[[#This Row],[Taxes]]</f>
        <v>68843.7</v>
      </c>
    </row>
    <row r="646" spans="1:11" x14ac:dyDescent="0.25">
      <c r="A646" s="5" t="s">
        <v>748</v>
      </c>
      <c r="B646" s="5" t="s">
        <v>13</v>
      </c>
      <c r="C646" s="5" t="s">
        <v>75</v>
      </c>
      <c r="D646" s="5" t="s">
        <v>16</v>
      </c>
      <c r="E646" s="6">
        <v>39094</v>
      </c>
      <c r="F646" s="7"/>
      <c r="G646" s="10">
        <v>83020</v>
      </c>
      <c r="H646" s="7">
        <v>4</v>
      </c>
      <c r="I646" s="12">
        <f>IF(OR(Table24[[#This Row],[Rating]]=4,Table24[[#This Row],[Rating]]=5), 0.05*Table24[[#This Row],[Salary]],0)</f>
        <v>4151</v>
      </c>
      <c r="J646" s="14">
        <f>VLOOKUP(Table24[[#This Row],[Salary]],'Tax rates'!A$2:C$8, 2) + VLOOKUP(Table24[[#This Row],[Salary]],'Tax rates'!A$2:C$8, 3) * (Table24[[#This Row],[Salary]] - VLOOKUP(Table24[[#This Row],[Salary]],'Tax rates'!A$2:C$8,1))</f>
        <v>14214.3</v>
      </c>
      <c r="K646" s="35">
        <f>Table24[[#This Row],[Salary]]-Table24[[#This Row],[Taxes]]</f>
        <v>68805.7</v>
      </c>
    </row>
    <row r="647" spans="1:11" x14ac:dyDescent="0.25">
      <c r="A647" s="5" t="s">
        <v>561</v>
      </c>
      <c r="B647" s="5" t="s">
        <v>13</v>
      </c>
      <c r="C647" s="5" t="s">
        <v>75</v>
      </c>
      <c r="D647" s="5" t="s">
        <v>16</v>
      </c>
      <c r="E647" s="6">
        <v>36087</v>
      </c>
      <c r="F647" s="7"/>
      <c r="G647" s="10">
        <v>76930</v>
      </c>
      <c r="H647" s="7">
        <v>1</v>
      </c>
      <c r="I647" s="12">
        <f>IF(OR(Table24[[#This Row],[Rating]]=4,Table24[[#This Row],[Rating]]=5), 0.05*Table24[[#This Row],[Salary]],0)</f>
        <v>0</v>
      </c>
      <c r="J647" s="14">
        <f>VLOOKUP(Table24[[#This Row],[Salary]],'Tax rates'!A$2:C$8, 2) + VLOOKUP(Table24[[#This Row],[Salary]],'Tax rates'!A$2:C$8, 3) * (Table24[[#This Row],[Salary]] - VLOOKUP(Table24[[#This Row],[Salary]],'Tax rates'!A$2:C$8,1))</f>
        <v>12864.1</v>
      </c>
      <c r="K647" s="35">
        <f>Table24[[#This Row],[Salary]]-Table24[[#This Row],[Taxes]]</f>
        <v>64065.9</v>
      </c>
    </row>
    <row r="648" spans="1:11" x14ac:dyDescent="0.25">
      <c r="A648" s="5" t="s">
        <v>338</v>
      </c>
      <c r="B648" s="5" t="s">
        <v>13</v>
      </c>
      <c r="C648" s="5" t="s">
        <v>75</v>
      </c>
      <c r="D648" s="5" t="s">
        <v>3</v>
      </c>
      <c r="E648" s="6">
        <v>41091</v>
      </c>
      <c r="F648" s="5" t="s">
        <v>4</v>
      </c>
      <c r="G648" s="10">
        <v>71150</v>
      </c>
      <c r="H648" s="7">
        <v>2</v>
      </c>
      <c r="I648" s="12">
        <f>IF(OR(Table24[[#This Row],[Rating]]=4,Table24[[#This Row],[Rating]]=5), 0.05*Table24[[#This Row],[Salary]],0)</f>
        <v>0</v>
      </c>
      <c r="J648" s="14">
        <f>VLOOKUP(Table24[[#This Row],[Salary]],'Tax rates'!A$2:C$8, 2) + VLOOKUP(Table24[[#This Row],[Salary]],'Tax rates'!A$2:C$8, 3) * (Table24[[#This Row],[Salary]] - VLOOKUP(Table24[[#This Row],[Salary]],'Tax rates'!A$2:C$8,1))</f>
        <v>11592.5</v>
      </c>
      <c r="K648" s="35">
        <f>Table24[[#This Row],[Salary]]-Table24[[#This Row],[Taxes]]</f>
        <v>59557.5</v>
      </c>
    </row>
    <row r="649" spans="1:11" x14ac:dyDescent="0.25">
      <c r="A649" s="5" t="s">
        <v>74</v>
      </c>
      <c r="B649" s="5" t="s">
        <v>13</v>
      </c>
      <c r="C649" s="5" t="s">
        <v>75</v>
      </c>
      <c r="D649" s="5" t="s">
        <v>3</v>
      </c>
      <c r="E649" s="6">
        <v>37960</v>
      </c>
      <c r="F649" s="5" t="s">
        <v>4</v>
      </c>
      <c r="G649" s="10">
        <v>66890</v>
      </c>
      <c r="H649" s="7">
        <v>5</v>
      </c>
      <c r="I649" s="12">
        <f>IF(OR(Table24[[#This Row],[Rating]]=4,Table24[[#This Row],[Rating]]=5), 0.05*Table24[[#This Row],[Salary]],0)</f>
        <v>3344.5</v>
      </c>
      <c r="J649" s="14">
        <f>VLOOKUP(Table24[[#This Row],[Salary]],'Tax rates'!A$2:C$8, 2) + VLOOKUP(Table24[[#This Row],[Salary]],'Tax rates'!A$2:C$8, 3) * (Table24[[#This Row],[Salary]] - VLOOKUP(Table24[[#This Row],[Salary]],'Tax rates'!A$2:C$8,1))</f>
        <v>10655.3</v>
      </c>
      <c r="K649" s="35">
        <f>Table24[[#This Row],[Salary]]-Table24[[#This Row],[Taxes]]</f>
        <v>56234.7</v>
      </c>
    </row>
    <row r="650" spans="1:11" x14ac:dyDescent="0.25">
      <c r="A650" s="5" t="s">
        <v>90</v>
      </c>
      <c r="B650" s="5" t="s">
        <v>13</v>
      </c>
      <c r="C650" s="5" t="s">
        <v>75</v>
      </c>
      <c r="D650" s="5" t="s">
        <v>16</v>
      </c>
      <c r="E650" s="6">
        <v>39040</v>
      </c>
      <c r="F650" s="7"/>
      <c r="G650" s="10">
        <v>62150</v>
      </c>
      <c r="H650" s="7">
        <v>4</v>
      </c>
      <c r="I650" s="12">
        <f>IF(OR(Table24[[#This Row],[Rating]]=4,Table24[[#This Row],[Rating]]=5), 0.05*Table24[[#This Row],[Salary]],0)</f>
        <v>3107.5</v>
      </c>
      <c r="J650" s="14">
        <f>VLOOKUP(Table24[[#This Row],[Salary]],'Tax rates'!A$2:C$8, 2) + VLOOKUP(Table24[[#This Row],[Salary]],'Tax rates'!A$2:C$8, 3) * (Table24[[#This Row],[Salary]] - VLOOKUP(Table24[[#This Row],[Salary]],'Tax rates'!A$2:C$8,1))</f>
        <v>9612.5</v>
      </c>
      <c r="K650" s="35">
        <f>Table24[[#This Row],[Salary]]-Table24[[#This Row],[Taxes]]</f>
        <v>52537.5</v>
      </c>
    </row>
    <row r="651" spans="1:11" x14ac:dyDescent="0.25">
      <c r="A651" s="5" t="s">
        <v>744</v>
      </c>
      <c r="B651" s="5" t="s">
        <v>13</v>
      </c>
      <c r="C651" s="5" t="s">
        <v>75</v>
      </c>
      <c r="D651" s="5" t="s">
        <v>16</v>
      </c>
      <c r="E651" s="6">
        <v>40273</v>
      </c>
      <c r="F651" s="7"/>
      <c r="G651" s="10">
        <v>50550</v>
      </c>
      <c r="H651" s="7">
        <v>2</v>
      </c>
      <c r="I651" s="12">
        <f>IF(OR(Table24[[#This Row],[Rating]]=4,Table24[[#This Row],[Rating]]=5), 0.05*Table24[[#This Row],[Salary]],0)</f>
        <v>0</v>
      </c>
      <c r="J651" s="14">
        <f>VLOOKUP(Table24[[#This Row],[Salary]],'Tax rates'!A$2:C$8, 2) + VLOOKUP(Table24[[#This Row],[Salary]],'Tax rates'!A$2:C$8, 3) * (Table24[[#This Row],[Salary]] - VLOOKUP(Table24[[#This Row],[Salary]],'Tax rates'!A$2:C$8,1))</f>
        <v>7060.5</v>
      </c>
      <c r="K651" s="35">
        <f>Table24[[#This Row],[Salary]]-Table24[[#This Row],[Taxes]]</f>
        <v>43489.5</v>
      </c>
    </row>
    <row r="652" spans="1:11" x14ac:dyDescent="0.25">
      <c r="A652" s="5" t="s">
        <v>525</v>
      </c>
      <c r="B652" s="5" t="s">
        <v>13</v>
      </c>
      <c r="C652" s="5" t="s">
        <v>75</v>
      </c>
      <c r="D652" s="5" t="s">
        <v>3</v>
      </c>
      <c r="E652" s="6">
        <v>40653</v>
      </c>
      <c r="F652" s="5" t="s">
        <v>9</v>
      </c>
      <c r="G652" s="10">
        <v>49810</v>
      </c>
      <c r="H652" s="7">
        <v>2</v>
      </c>
      <c r="I652" s="12">
        <f>IF(OR(Table24[[#This Row],[Rating]]=4,Table24[[#This Row],[Rating]]=5), 0.05*Table24[[#This Row],[Salary]],0)</f>
        <v>0</v>
      </c>
      <c r="J652" s="14">
        <f>VLOOKUP(Table24[[#This Row],[Salary]],'Tax rates'!A$2:C$8, 2) + VLOOKUP(Table24[[#This Row],[Salary]],'Tax rates'!A$2:C$8, 3) * (Table24[[#This Row],[Salary]] - VLOOKUP(Table24[[#This Row],[Salary]],'Tax rates'!A$2:C$8,1))</f>
        <v>6897.7</v>
      </c>
      <c r="K652" s="35">
        <f>Table24[[#This Row],[Salary]]-Table24[[#This Row],[Taxes]]</f>
        <v>42912.3</v>
      </c>
    </row>
    <row r="653" spans="1:11" x14ac:dyDescent="0.25">
      <c r="A653" s="5" t="s">
        <v>521</v>
      </c>
      <c r="B653" s="5" t="s">
        <v>13</v>
      </c>
      <c r="C653" s="5" t="s">
        <v>75</v>
      </c>
      <c r="D653" s="5" t="s">
        <v>24</v>
      </c>
      <c r="E653" s="6">
        <v>38804</v>
      </c>
      <c r="F653" s="5" t="s">
        <v>21</v>
      </c>
      <c r="G653" s="10">
        <v>48415</v>
      </c>
      <c r="H653" s="7">
        <v>4</v>
      </c>
      <c r="I653" s="12">
        <f>IF(OR(Table24[[#This Row],[Rating]]=4,Table24[[#This Row],[Rating]]=5), 0.05*Table24[[#This Row],[Salary]],0)</f>
        <v>2420.75</v>
      </c>
      <c r="J653" s="14">
        <f>VLOOKUP(Table24[[#This Row],[Salary]],'Tax rates'!A$2:C$8, 2) + VLOOKUP(Table24[[#This Row],[Salary]],'Tax rates'!A$2:C$8, 3) * (Table24[[#This Row],[Salary]] - VLOOKUP(Table24[[#This Row],[Salary]],'Tax rates'!A$2:C$8,1))</f>
        <v>6590.8</v>
      </c>
      <c r="K653" s="35">
        <f>Table24[[#This Row],[Salary]]-Table24[[#This Row],[Taxes]]</f>
        <v>41824.199999999997</v>
      </c>
    </row>
    <row r="654" spans="1:11" x14ac:dyDescent="0.25">
      <c r="A654" s="5" t="s">
        <v>766</v>
      </c>
      <c r="B654" s="5" t="s">
        <v>13</v>
      </c>
      <c r="C654" s="5" t="s">
        <v>75</v>
      </c>
      <c r="D654" s="5" t="s">
        <v>3</v>
      </c>
      <c r="E654" s="6">
        <v>38954</v>
      </c>
      <c r="F654" s="5" t="s">
        <v>4</v>
      </c>
      <c r="G654" s="10">
        <v>40920</v>
      </c>
      <c r="H654" s="7">
        <v>4</v>
      </c>
      <c r="I654" s="12">
        <f>IF(OR(Table24[[#This Row],[Rating]]=4,Table24[[#This Row],[Rating]]=5), 0.05*Table24[[#This Row],[Salary]],0)</f>
        <v>2046</v>
      </c>
      <c r="J654" s="14">
        <f>VLOOKUP(Table24[[#This Row],[Salary]],'Tax rates'!A$2:C$8, 2) + VLOOKUP(Table24[[#This Row],[Salary]],'Tax rates'!A$2:C$8, 3) * (Table24[[#This Row],[Salary]] - VLOOKUP(Table24[[#This Row],[Salary]],'Tax rates'!A$2:C$8,1))</f>
        <v>4941.8999999999996</v>
      </c>
      <c r="K654" s="35">
        <f>Table24[[#This Row],[Salary]]-Table24[[#This Row],[Taxes]]</f>
        <v>35978.1</v>
      </c>
    </row>
    <row r="655" spans="1:11" x14ac:dyDescent="0.25">
      <c r="A655" s="5" t="s">
        <v>313</v>
      </c>
      <c r="B655" s="5" t="s">
        <v>13</v>
      </c>
      <c r="C655" s="5" t="s">
        <v>75</v>
      </c>
      <c r="D655" s="5" t="s">
        <v>3</v>
      </c>
      <c r="E655" s="6">
        <v>35965</v>
      </c>
      <c r="F655" s="5" t="s">
        <v>21</v>
      </c>
      <c r="G655" s="10">
        <v>34780</v>
      </c>
      <c r="H655" s="7">
        <v>4</v>
      </c>
      <c r="I655" s="12">
        <f>IF(OR(Table24[[#This Row],[Rating]]=4,Table24[[#This Row],[Rating]]=5), 0.05*Table24[[#This Row],[Salary]],0)</f>
        <v>1739</v>
      </c>
      <c r="J655" s="14">
        <f>VLOOKUP(Table24[[#This Row],[Salary]],'Tax rates'!A$2:C$8, 2) + VLOOKUP(Table24[[#This Row],[Salary]],'Tax rates'!A$2:C$8, 3) * (Table24[[#This Row],[Salary]] - VLOOKUP(Table24[[#This Row],[Salary]],'Tax rates'!A$2:C$8,1))</f>
        <v>3983.1</v>
      </c>
      <c r="K655" s="35">
        <f>Table24[[#This Row],[Salary]]-Table24[[#This Row],[Taxes]]</f>
        <v>30796.9</v>
      </c>
    </row>
    <row r="656" spans="1:11" x14ac:dyDescent="0.25">
      <c r="A656" s="5" t="s">
        <v>453</v>
      </c>
      <c r="B656" s="5" t="s">
        <v>13</v>
      </c>
      <c r="C656" s="5" t="s">
        <v>75</v>
      </c>
      <c r="D656" s="5" t="s">
        <v>32</v>
      </c>
      <c r="E656" s="6">
        <v>36487</v>
      </c>
      <c r="F656" s="7"/>
      <c r="G656" s="10">
        <v>33056</v>
      </c>
      <c r="H656" s="7">
        <v>5</v>
      </c>
      <c r="I656" s="12">
        <f>IF(OR(Table24[[#This Row],[Rating]]=4,Table24[[#This Row],[Rating]]=5), 0.05*Table24[[#This Row],[Salary]],0)</f>
        <v>1652.8000000000002</v>
      </c>
      <c r="J656" s="14">
        <f>VLOOKUP(Table24[[#This Row],[Salary]],'Tax rates'!A$2:C$8, 2) + VLOOKUP(Table24[[#This Row],[Salary]],'Tax rates'!A$2:C$8, 3) * (Table24[[#This Row],[Salary]] - VLOOKUP(Table24[[#This Row],[Salary]],'Tax rates'!A$2:C$8,1))</f>
        <v>3776.22</v>
      </c>
      <c r="K656" s="35">
        <f>Table24[[#This Row],[Salary]]-Table24[[#This Row],[Taxes]]</f>
        <v>29279.78</v>
      </c>
    </row>
    <row r="657" spans="1:11" x14ac:dyDescent="0.25">
      <c r="A657" s="5" t="s">
        <v>362</v>
      </c>
      <c r="B657" s="5" t="s">
        <v>13</v>
      </c>
      <c r="C657" s="5" t="s">
        <v>75</v>
      </c>
      <c r="D657" s="5" t="s">
        <v>16</v>
      </c>
      <c r="E657" s="6">
        <v>36470</v>
      </c>
      <c r="F657" s="7"/>
      <c r="G657" s="10">
        <v>23560</v>
      </c>
      <c r="H657" s="7">
        <v>3</v>
      </c>
      <c r="I657" s="12">
        <f>IF(OR(Table24[[#This Row],[Rating]]=4,Table24[[#This Row],[Rating]]=5), 0.05*Table24[[#This Row],[Salary]],0)</f>
        <v>0</v>
      </c>
      <c r="J657" s="14">
        <f>VLOOKUP(Table24[[#This Row],[Salary]],'Tax rates'!A$2:C$8, 2) + VLOOKUP(Table24[[#This Row],[Salary]],'Tax rates'!A$2:C$8, 3) * (Table24[[#This Row],[Salary]] - VLOOKUP(Table24[[#This Row],[Salary]],'Tax rates'!A$2:C$8,1))</f>
        <v>2636.7</v>
      </c>
      <c r="K657" s="35">
        <f>Table24[[#This Row],[Salary]]-Table24[[#This Row],[Taxes]]</f>
        <v>20923.3</v>
      </c>
    </row>
    <row r="658" spans="1:11" x14ac:dyDescent="0.25">
      <c r="A658" s="5" t="s">
        <v>677</v>
      </c>
      <c r="B658" s="5" t="s">
        <v>13</v>
      </c>
      <c r="C658" s="5" t="s">
        <v>75</v>
      </c>
      <c r="D658" s="5" t="s">
        <v>3</v>
      </c>
      <c r="E658" s="6">
        <v>40292</v>
      </c>
      <c r="F658" s="5" t="s">
        <v>4</v>
      </c>
      <c r="G658" s="10">
        <v>23280</v>
      </c>
      <c r="H658" s="7">
        <v>1</v>
      </c>
      <c r="I658" s="12">
        <f>IF(OR(Table24[[#This Row],[Rating]]=4,Table24[[#This Row],[Rating]]=5), 0.05*Table24[[#This Row],[Salary]],0)</f>
        <v>0</v>
      </c>
      <c r="J658" s="14">
        <f>VLOOKUP(Table24[[#This Row],[Salary]],'Tax rates'!A$2:C$8, 2) + VLOOKUP(Table24[[#This Row],[Salary]],'Tax rates'!A$2:C$8, 3) * (Table24[[#This Row],[Salary]] - VLOOKUP(Table24[[#This Row],[Salary]],'Tax rates'!A$2:C$8,1))</f>
        <v>2603.1</v>
      </c>
      <c r="K658" s="35">
        <f>Table24[[#This Row],[Salary]]-Table24[[#This Row],[Taxes]]</f>
        <v>20676.900000000001</v>
      </c>
    </row>
    <row r="659" spans="1:11" x14ac:dyDescent="0.25">
      <c r="A659" s="5" t="s">
        <v>478</v>
      </c>
      <c r="B659" s="5" t="s">
        <v>13</v>
      </c>
      <c r="C659" s="5" t="s">
        <v>75</v>
      </c>
      <c r="D659" s="5" t="s">
        <v>32</v>
      </c>
      <c r="E659" s="6">
        <v>36059</v>
      </c>
      <c r="F659" s="7"/>
      <c r="G659" s="10">
        <v>18500</v>
      </c>
      <c r="H659" s="7">
        <v>5</v>
      </c>
      <c r="I659" s="12">
        <f>IF(OR(Table24[[#This Row],[Rating]]=4,Table24[[#This Row],[Rating]]=5), 0.05*Table24[[#This Row],[Salary]],0)</f>
        <v>925</v>
      </c>
      <c r="J659" s="14">
        <f>VLOOKUP(Table24[[#This Row],[Salary]],'Tax rates'!A$2:C$8, 2) + VLOOKUP(Table24[[#This Row],[Salary]],'Tax rates'!A$2:C$8, 3) * (Table24[[#This Row],[Salary]] - VLOOKUP(Table24[[#This Row],[Salary]],'Tax rates'!A$2:C$8,1))</f>
        <v>2029.5</v>
      </c>
      <c r="K659" s="35">
        <f>Table24[[#This Row],[Salary]]-Table24[[#This Row],[Taxes]]</f>
        <v>16470.5</v>
      </c>
    </row>
    <row r="660" spans="1:11" x14ac:dyDescent="0.25">
      <c r="A660" s="5" t="s">
        <v>295</v>
      </c>
      <c r="B660" s="5" t="s">
        <v>13</v>
      </c>
      <c r="C660" s="5" t="s">
        <v>57</v>
      </c>
      <c r="D660" s="5" t="s">
        <v>3</v>
      </c>
      <c r="E660" s="6">
        <v>40400</v>
      </c>
      <c r="F660" s="5" t="s">
        <v>11</v>
      </c>
      <c r="G660" s="10">
        <v>79150</v>
      </c>
      <c r="H660" s="7">
        <v>2</v>
      </c>
      <c r="I660" s="12">
        <f>IF(OR(Table24[[#This Row],[Rating]]=4,Table24[[#This Row],[Rating]]=5), 0.05*Table24[[#This Row],[Salary]],0)</f>
        <v>0</v>
      </c>
      <c r="J660" s="14">
        <f>VLOOKUP(Table24[[#This Row],[Salary]],'Tax rates'!A$2:C$8, 2) + VLOOKUP(Table24[[#This Row],[Salary]],'Tax rates'!A$2:C$8, 3) * (Table24[[#This Row],[Salary]] - VLOOKUP(Table24[[#This Row],[Salary]],'Tax rates'!A$2:C$8,1))</f>
        <v>13352.5</v>
      </c>
      <c r="K660" s="35">
        <f>Table24[[#This Row],[Salary]]-Table24[[#This Row],[Taxes]]</f>
        <v>65797.5</v>
      </c>
    </row>
    <row r="661" spans="1:11" x14ac:dyDescent="0.25">
      <c r="A661" s="5" t="s">
        <v>516</v>
      </c>
      <c r="B661" s="5" t="s">
        <v>13</v>
      </c>
      <c r="C661" s="5" t="s">
        <v>57</v>
      </c>
      <c r="D661" s="5" t="s">
        <v>3</v>
      </c>
      <c r="E661" s="6">
        <v>36569</v>
      </c>
      <c r="F661" s="5" t="s">
        <v>11</v>
      </c>
      <c r="G661" s="10">
        <v>75060</v>
      </c>
      <c r="H661" s="7">
        <v>5</v>
      </c>
      <c r="I661" s="12">
        <f>IF(OR(Table24[[#This Row],[Rating]]=4,Table24[[#This Row],[Rating]]=5), 0.05*Table24[[#This Row],[Salary]],0)</f>
        <v>3753</v>
      </c>
      <c r="J661" s="14">
        <f>VLOOKUP(Table24[[#This Row],[Salary]],'Tax rates'!A$2:C$8, 2) + VLOOKUP(Table24[[#This Row],[Salary]],'Tax rates'!A$2:C$8, 3) * (Table24[[#This Row],[Salary]] - VLOOKUP(Table24[[#This Row],[Salary]],'Tax rates'!A$2:C$8,1))</f>
        <v>12452.7</v>
      </c>
      <c r="K661" s="35">
        <f>Table24[[#This Row],[Salary]]-Table24[[#This Row],[Taxes]]</f>
        <v>62607.3</v>
      </c>
    </row>
    <row r="662" spans="1:11" x14ac:dyDescent="0.25">
      <c r="A662" s="5" t="s">
        <v>679</v>
      </c>
      <c r="B662" s="5" t="s">
        <v>13</v>
      </c>
      <c r="C662" s="5" t="s">
        <v>57</v>
      </c>
      <c r="D662" s="5" t="s">
        <v>16</v>
      </c>
      <c r="E662" s="6">
        <v>39522</v>
      </c>
      <c r="F662" s="7"/>
      <c r="G662" s="10">
        <v>71700</v>
      </c>
      <c r="H662" s="7">
        <v>2</v>
      </c>
      <c r="I662" s="12">
        <f>IF(OR(Table24[[#This Row],[Rating]]=4,Table24[[#This Row],[Rating]]=5), 0.05*Table24[[#This Row],[Salary]],0)</f>
        <v>0</v>
      </c>
      <c r="J662" s="14">
        <f>VLOOKUP(Table24[[#This Row],[Salary]],'Tax rates'!A$2:C$8, 2) + VLOOKUP(Table24[[#This Row],[Salary]],'Tax rates'!A$2:C$8, 3) * (Table24[[#This Row],[Salary]] - VLOOKUP(Table24[[#This Row],[Salary]],'Tax rates'!A$2:C$8,1))</f>
        <v>11713.5</v>
      </c>
      <c r="K662" s="35">
        <f>Table24[[#This Row],[Salary]]-Table24[[#This Row],[Taxes]]</f>
        <v>59986.5</v>
      </c>
    </row>
    <row r="663" spans="1:11" x14ac:dyDescent="0.25">
      <c r="A663" s="5" t="s">
        <v>401</v>
      </c>
      <c r="B663" s="5" t="s">
        <v>13</v>
      </c>
      <c r="C663" s="5" t="s">
        <v>57</v>
      </c>
      <c r="D663" s="5" t="s">
        <v>16</v>
      </c>
      <c r="E663" s="6">
        <v>38738</v>
      </c>
      <c r="F663" s="7"/>
      <c r="G663" s="10">
        <v>25120</v>
      </c>
      <c r="H663" s="7">
        <v>2</v>
      </c>
      <c r="I663" s="12">
        <f>IF(OR(Table24[[#This Row],[Rating]]=4,Table24[[#This Row],[Rating]]=5), 0.05*Table24[[#This Row],[Salary]],0)</f>
        <v>0</v>
      </c>
      <c r="J663" s="14">
        <f>VLOOKUP(Table24[[#This Row],[Salary]],'Tax rates'!A$2:C$8, 2) + VLOOKUP(Table24[[#This Row],[Salary]],'Tax rates'!A$2:C$8, 3) * (Table24[[#This Row],[Salary]] - VLOOKUP(Table24[[#This Row],[Salary]],'Tax rates'!A$2:C$8,1))</f>
        <v>2823.8999999999996</v>
      </c>
      <c r="K663" s="35">
        <f>Table24[[#This Row],[Salary]]-Table24[[#This Row],[Taxes]]</f>
        <v>22296.1</v>
      </c>
    </row>
    <row r="664" spans="1:11" x14ac:dyDescent="0.25">
      <c r="A664" s="5" t="s">
        <v>458</v>
      </c>
      <c r="B664" s="5" t="s">
        <v>13</v>
      </c>
      <c r="C664" s="5" t="s">
        <v>23</v>
      </c>
      <c r="D664" s="5" t="s">
        <v>3</v>
      </c>
      <c r="E664" s="6">
        <v>39657</v>
      </c>
      <c r="F664" s="5" t="s">
        <v>9</v>
      </c>
      <c r="G664" s="10">
        <v>80880</v>
      </c>
      <c r="H664" s="7">
        <v>1</v>
      </c>
      <c r="I664" s="12">
        <f>IF(OR(Table24[[#This Row],[Rating]]=4,Table24[[#This Row],[Rating]]=5), 0.05*Table24[[#This Row],[Salary]],0)</f>
        <v>0</v>
      </c>
      <c r="J664" s="14">
        <f>VLOOKUP(Table24[[#This Row],[Salary]],'Tax rates'!A$2:C$8, 2) + VLOOKUP(Table24[[#This Row],[Salary]],'Tax rates'!A$2:C$8, 3) * (Table24[[#This Row],[Salary]] - VLOOKUP(Table24[[#This Row],[Salary]],'Tax rates'!A$2:C$8,1))</f>
        <v>13733.1</v>
      </c>
      <c r="K664" s="35">
        <f>Table24[[#This Row],[Salary]]-Table24[[#This Row],[Taxes]]</f>
        <v>67146.899999999994</v>
      </c>
    </row>
    <row r="665" spans="1:11" x14ac:dyDescent="0.25">
      <c r="A665" s="5" t="s">
        <v>162</v>
      </c>
      <c r="B665" s="5" t="s">
        <v>13</v>
      </c>
      <c r="C665" s="5" t="s">
        <v>23</v>
      </c>
      <c r="D665" s="5" t="s">
        <v>3</v>
      </c>
      <c r="E665" s="6">
        <v>40452</v>
      </c>
      <c r="F665" s="5" t="s">
        <v>11</v>
      </c>
      <c r="G665" s="10">
        <v>43410</v>
      </c>
      <c r="H665" s="7">
        <v>1</v>
      </c>
      <c r="I665" s="12">
        <f>IF(OR(Table24[[#This Row],[Rating]]=4,Table24[[#This Row],[Rating]]=5), 0.05*Table24[[#This Row],[Salary]],0)</f>
        <v>0</v>
      </c>
      <c r="J665" s="14">
        <f>VLOOKUP(Table24[[#This Row],[Salary]],'Tax rates'!A$2:C$8, 2) + VLOOKUP(Table24[[#This Row],[Salary]],'Tax rates'!A$2:C$8, 3) * (Table24[[#This Row],[Salary]] - VLOOKUP(Table24[[#This Row],[Salary]],'Tax rates'!A$2:C$8,1))</f>
        <v>5489.7</v>
      </c>
      <c r="K665" s="35">
        <f>Table24[[#This Row],[Salary]]-Table24[[#This Row],[Taxes]]</f>
        <v>37920.300000000003</v>
      </c>
    </row>
    <row r="666" spans="1:11" x14ac:dyDescent="0.25">
      <c r="A666" s="5" t="s">
        <v>222</v>
      </c>
      <c r="B666" s="5" t="s">
        <v>13</v>
      </c>
      <c r="C666" s="5" t="s">
        <v>23</v>
      </c>
      <c r="D666" s="5" t="s">
        <v>3</v>
      </c>
      <c r="E666" s="6">
        <v>40925</v>
      </c>
      <c r="F666" s="5" t="s">
        <v>11</v>
      </c>
      <c r="G666" s="10">
        <v>43190</v>
      </c>
      <c r="H666" s="7">
        <v>2</v>
      </c>
      <c r="I666" s="12">
        <f>IF(OR(Table24[[#This Row],[Rating]]=4,Table24[[#This Row],[Rating]]=5), 0.05*Table24[[#This Row],[Salary]],0)</f>
        <v>0</v>
      </c>
      <c r="J666" s="14">
        <f>VLOOKUP(Table24[[#This Row],[Salary]],'Tax rates'!A$2:C$8, 2) + VLOOKUP(Table24[[#This Row],[Salary]],'Tax rates'!A$2:C$8, 3) * (Table24[[#This Row],[Salary]] - VLOOKUP(Table24[[#This Row],[Salary]],'Tax rates'!A$2:C$8,1))</f>
        <v>5441.3</v>
      </c>
      <c r="K666" s="35">
        <f>Table24[[#This Row],[Salary]]-Table24[[#This Row],[Taxes]]</f>
        <v>37748.699999999997</v>
      </c>
    </row>
    <row r="667" spans="1:11" x14ac:dyDescent="0.25">
      <c r="A667" s="5" t="s">
        <v>67</v>
      </c>
      <c r="B667" s="5" t="s">
        <v>13</v>
      </c>
      <c r="C667" s="5" t="s">
        <v>23</v>
      </c>
      <c r="D667" s="5" t="s">
        <v>24</v>
      </c>
      <c r="E667" s="6">
        <v>37470</v>
      </c>
      <c r="F667" s="5" t="s">
        <v>4</v>
      </c>
      <c r="G667" s="10">
        <v>33810</v>
      </c>
      <c r="H667" s="7">
        <v>5</v>
      </c>
      <c r="I667" s="12">
        <f>IF(OR(Table24[[#This Row],[Rating]]=4,Table24[[#This Row],[Rating]]=5), 0.05*Table24[[#This Row],[Salary]],0)</f>
        <v>1690.5</v>
      </c>
      <c r="J667" s="14">
        <f>VLOOKUP(Table24[[#This Row],[Salary]],'Tax rates'!A$2:C$8, 2) + VLOOKUP(Table24[[#This Row],[Salary]],'Tax rates'!A$2:C$8, 3) * (Table24[[#This Row],[Salary]] - VLOOKUP(Table24[[#This Row],[Salary]],'Tax rates'!A$2:C$8,1))</f>
        <v>3866.7</v>
      </c>
      <c r="K667" s="35">
        <f>Table24[[#This Row],[Salary]]-Table24[[#This Row],[Taxes]]</f>
        <v>29943.3</v>
      </c>
    </row>
    <row r="668" spans="1:11" x14ac:dyDescent="0.25">
      <c r="A668" s="5" t="s">
        <v>591</v>
      </c>
      <c r="B668" s="5" t="s">
        <v>13</v>
      </c>
      <c r="C668" s="5" t="s">
        <v>23</v>
      </c>
      <c r="D668" s="5" t="s">
        <v>3</v>
      </c>
      <c r="E668" s="6">
        <v>40941</v>
      </c>
      <c r="F668" s="5" t="s">
        <v>4</v>
      </c>
      <c r="G668" s="10">
        <v>26360</v>
      </c>
      <c r="H668" s="7">
        <v>1</v>
      </c>
      <c r="I668" s="12">
        <f>IF(OR(Table24[[#This Row],[Rating]]=4,Table24[[#This Row],[Rating]]=5), 0.05*Table24[[#This Row],[Salary]],0)</f>
        <v>0</v>
      </c>
      <c r="J668" s="14">
        <f>VLOOKUP(Table24[[#This Row],[Salary]],'Tax rates'!A$2:C$8, 2) + VLOOKUP(Table24[[#This Row],[Salary]],'Tax rates'!A$2:C$8, 3) * (Table24[[#This Row],[Salary]] - VLOOKUP(Table24[[#This Row],[Salary]],'Tax rates'!A$2:C$8,1))</f>
        <v>2972.7</v>
      </c>
      <c r="K668" s="35">
        <f>Table24[[#This Row],[Salary]]-Table24[[#This Row],[Taxes]]</f>
        <v>23387.3</v>
      </c>
    </row>
    <row r="669" spans="1:11" x14ac:dyDescent="0.25">
      <c r="A669" s="5" t="s">
        <v>637</v>
      </c>
      <c r="B669" s="5" t="s">
        <v>13</v>
      </c>
      <c r="C669" s="5" t="s">
        <v>23</v>
      </c>
      <c r="D669" s="5" t="s">
        <v>32</v>
      </c>
      <c r="E669" s="6">
        <v>40403</v>
      </c>
      <c r="F669" s="7"/>
      <c r="G669" s="10">
        <v>15056</v>
      </c>
      <c r="H669" s="7">
        <v>5</v>
      </c>
      <c r="I669" s="12">
        <f>IF(OR(Table24[[#This Row],[Rating]]=4,Table24[[#This Row],[Rating]]=5), 0.05*Table24[[#This Row],[Salary]],0)</f>
        <v>752.80000000000007</v>
      </c>
      <c r="J669" s="14">
        <f>VLOOKUP(Table24[[#This Row],[Salary]],'Tax rates'!A$2:C$8, 2) + VLOOKUP(Table24[[#This Row],[Salary]],'Tax rates'!A$2:C$8, 3) * (Table24[[#This Row],[Salary]] - VLOOKUP(Table24[[#This Row],[Salary]],'Tax rates'!A$2:C$8,1))</f>
        <v>1616.22</v>
      </c>
      <c r="K669" s="35">
        <f>Table24[[#This Row],[Salary]]-Table24[[#This Row],[Taxes]]</f>
        <v>13439.78</v>
      </c>
    </row>
    <row r="670" spans="1:11" x14ac:dyDescent="0.25">
      <c r="A670" s="5" t="s">
        <v>533</v>
      </c>
      <c r="B670" s="5" t="s">
        <v>13</v>
      </c>
      <c r="C670" s="5" t="s">
        <v>18</v>
      </c>
      <c r="D670" s="5" t="s">
        <v>16</v>
      </c>
      <c r="E670" s="6">
        <v>39166</v>
      </c>
      <c r="F670" s="7"/>
      <c r="G670" s="10">
        <v>79220</v>
      </c>
      <c r="H670" s="7">
        <v>4</v>
      </c>
      <c r="I670" s="12">
        <f>IF(OR(Table24[[#This Row],[Rating]]=4,Table24[[#This Row],[Rating]]=5), 0.05*Table24[[#This Row],[Salary]],0)</f>
        <v>3961</v>
      </c>
      <c r="J670" s="14">
        <f>VLOOKUP(Table24[[#This Row],[Salary]],'Tax rates'!A$2:C$8, 2) + VLOOKUP(Table24[[#This Row],[Salary]],'Tax rates'!A$2:C$8, 3) * (Table24[[#This Row],[Salary]] - VLOOKUP(Table24[[#This Row],[Salary]],'Tax rates'!A$2:C$8,1))</f>
        <v>13367.9</v>
      </c>
      <c r="K670" s="35">
        <f>Table24[[#This Row],[Salary]]-Table24[[#This Row],[Taxes]]</f>
        <v>65852.100000000006</v>
      </c>
    </row>
    <row r="671" spans="1:11" x14ac:dyDescent="0.25">
      <c r="A671" s="5" t="s">
        <v>616</v>
      </c>
      <c r="B671" s="5" t="s">
        <v>13</v>
      </c>
      <c r="C671" s="5" t="s">
        <v>18</v>
      </c>
      <c r="D671" s="5" t="s">
        <v>16</v>
      </c>
      <c r="E671" s="6">
        <v>39830</v>
      </c>
      <c r="F671" s="7"/>
      <c r="G671" s="10">
        <v>78520</v>
      </c>
      <c r="H671" s="7">
        <v>4</v>
      </c>
      <c r="I671" s="12">
        <f>IF(OR(Table24[[#This Row],[Rating]]=4,Table24[[#This Row],[Rating]]=5), 0.05*Table24[[#This Row],[Salary]],0)</f>
        <v>3926</v>
      </c>
      <c r="J671" s="14">
        <f>VLOOKUP(Table24[[#This Row],[Salary]],'Tax rates'!A$2:C$8, 2) + VLOOKUP(Table24[[#This Row],[Salary]],'Tax rates'!A$2:C$8, 3) * (Table24[[#This Row],[Salary]] - VLOOKUP(Table24[[#This Row],[Salary]],'Tax rates'!A$2:C$8,1))</f>
        <v>13213.9</v>
      </c>
      <c r="K671" s="35">
        <f>Table24[[#This Row],[Salary]]-Table24[[#This Row],[Taxes]]</f>
        <v>65306.1</v>
      </c>
    </row>
    <row r="672" spans="1:11" x14ac:dyDescent="0.25">
      <c r="A672" s="5" t="s">
        <v>319</v>
      </c>
      <c r="B672" s="5" t="s">
        <v>13</v>
      </c>
      <c r="C672" s="5" t="s">
        <v>18</v>
      </c>
      <c r="D672" s="5" t="s">
        <v>3</v>
      </c>
      <c r="E672" s="6">
        <v>38809</v>
      </c>
      <c r="F672" s="5" t="s">
        <v>25</v>
      </c>
      <c r="G672" s="10">
        <v>76584</v>
      </c>
      <c r="H672" s="7">
        <v>1</v>
      </c>
      <c r="I672" s="12">
        <f>IF(OR(Table24[[#This Row],[Rating]]=4,Table24[[#This Row],[Rating]]=5), 0.05*Table24[[#This Row],[Salary]],0)</f>
        <v>0</v>
      </c>
      <c r="J672" s="14">
        <f>VLOOKUP(Table24[[#This Row],[Salary]],'Tax rates'!A$2:C$8, 2) + VLOOKUP(Table24[[#This Row],[Salary]],'Tax rates'!A$2:C$8, 3) * (Table24[[#This Row],[Salary]] - VLOOKUP(Table24[[#This Row],[Salary]],'Tax rates'!A$2:C$8,1))</f>
        <v>12787.98</v>
      </c>
      <c r="K672" s="35">
        <f>Table24[[#This Row],[Salary]]-Table24[[#This Row],[Taxes]]</f>
        <v>63796.020000000004</v>
      </c>
    </row>
    <row r="673" spans="1:11" x14ac:dyDescent="0.25">
      <c r="A673" s="5" t="s">
        <v>98</v>
      </c>
      <c r="B673" s="5" t="s">
        <v>13</v>
      </c>
      <c r="C673" s="5" t="s">
        <v>18</v>
      </c>
      <c r="D673" s="5" t="s">
        <v>3</v>
      </c>
      <c r="E673" s="6">
        <v>38798</v>
      </c>
      <c r="F673" s="5" t="s">
        <v>11</v>
      </c>
      <c r="G673" s="10">
        <v>73144</v>
      </c>
      <c r="H673" s="7">
        <v>5</v>
      </c>
      <c r="I673" s="12">
        <f>IF(OR(Table24[[#This Row],[Rating]]=4,Table24[[#This Row],[Rating]]=5), 0.05*Table24[[#This Row],[Salary]],0)</f>
        <v>3657.2000000000003</v>
      </c>
      <c r="J673" s="14">
        <f>VLOOKUP(Table24[[#This Row],[Salary]],'Tax rates'!A$2:C$8, 2) + VLOOKUP(Table24[[#This Row],[Salary]],'Tax rates'!A$2:C$8, 3) * (Table24[[#This Row],[Salary]] - VLOOKUP(Table24[[#This Row],[Salary]],'Tax rates'!A$2:C$8,1))</f>
        <v>12031.18</v>
      </c>
      <c r="K673" s="35">
        <f>Table24[[#This Row],[Salary]]-Table24[[#This Row],[Taxes]]</f>
        <v>61112.82</v>
      </c>
    </row>
    <row r="674" spans="1:11" x14ac:dyDescent="0.25">
      <c r="A674" s="5" t="s">
        <v>440</v>
      </c>
      <c r="B674" s="5" t="s">
        <v>13</v>
      </c>
      <c r="C674" s="5" t="s">
        <v>18</v>
      </c>
      <c r="D674" s="5" t="s">
        <v>16</v>
      </c>
      <c r="E674" s="6">
        <v>38289</v>
      </c>
      <c r="F674" s="7"/>
      <c r="G674" s="10">
        <v>71830</v>
      </c>
      <c r="H674" s="7">
        <v>3</v>
      </c>
      <c r="I674" s="12">
        <f>IF(OR(Table24[[#This Row],[Rating]]=4,Table24[[#This Row],[Rating]]=5), 0.05*Table24[[#This Row],[Salary]],0)</f>
        <v>0</v>
      </c>
      <c r="J674" s="14">
        <f>VLOOKUP(Table24[[#This Row],[Salary]],'Tax rates'!A$2:C$8, 2) + VLOOKUP(Table24[[#This Row],[Salary]],'Tax rates'!A$2:C$8, 3) * (Table24[[#This Row],[Salary]] - VLOOKUP(Table24[[#This Row],[Salary]],'Tax rates'!A$2:C$8,1))</f>
        <v>11742.1</v>
      </c>
      <c r="K674" s="35">
        <f>Table24[[#This Row],[Salary]]-Table24[[#This Row],[Taxes]]</f>
        <v>60087.9</v>
      </c>
    </row>
    <row r="675" spans="1:11" x14ac:dyDescent="0.25">
      <c r="A675" s="5" t="s">
        <v>578</v>
      </c>
      <c r="B675" s="5" t="s">
        <v>13</v>
      </c>
      <c r="C675" s="5" t="s">
        <v>18</v>
      </c>
      <c r="D675" s="5" t="s">
        <v>3</v>
      </c>
      <c r="E675" s="6">
        <v>39001</v>
      </c>
      <c r="F675" s="5" t="s">
        <v>25</v>
      </c>
      <c r="G675" s="10">
        <v>70020</v>
      </c>
      <c r="H675" s="7">
        <v>3</v>
      </c>
      <c r="I675" s="12">
        <f>IF(OR(Table24[[#This Row],[Rating]]=4,Table24[[#This Row],[Rating]]=5), 0.05*Table24[[#This Row],[Salary]],0)</f>
        <v>0</v>
      </c>
      <c r="J675" s="14">
        <f>VLOOKUP(Table24[[#This Row],[Salary]],'Tax rates'!A$2:C$8, 2) + VLOOKUP(Table24[[#This Row],[Salary]],'Tax rates'!A$2:C$8, 3) * (Table24[[#This Row],[Salary]] - VLOOKUP(Table24[[#This Row],[Salary]],'Tax rates'!A$2:C$8,1))</f>
        <v>11343.9</v>
      </c>
      <c r="K675" s="35">
        <f>Table24[[#This Row],[Salary]]-Table24[[#This Row],[Taxes]]</f>
        <v>58676.1</v>
      </c>
    </row>
    <row r="676" spans="1:11" x14ac:dyDescent="0.25">
      <c r="A676" s="5" t="s">
        <v>206</v>
      </c>
      <c r="B676" s="5" t="s">
        <v>13</v>
      </c>
      <c r="C676" s="5" t="s">
        <v>18</v>
      </c>
      <c r="D676" s="5" t="s">
        <v>3</v>
      </c>
      <c r="E676" s="6">
        <v>38733</v>
      </c>
      <c r="F676" s="5" t="s">
        <v>9</v>
      </c>
      <c r="G676" s="10">
        <v>68710</v>
      </c>
      <c r="H676" s="7">
        <v>4</v>
      </c>
      <c r="I676" s="12">
        <f>IF(OR(Table24[[#This Row],[Rating]]=4,Table24[[#This Row],[Rating]]=5), 0.05*Table24[[#This Row],[Salary]],0)</f>
        <v>3435.5</v>
      </c>
      <c r="J676" s="14">
        <f>VLOOKUP(Table24[[#This Row],[Salary]],'Tax rates'!A$2:C$8, 2) + VLOOKUP(Table24[[#This Row],[Salary]],'Tax rates'!A$2:C$8, 3) * (Table24[[#This Row],[Salary]] - VLOOKUP(Table24[[#This Row],[Salary]],'Tax rates'!A$2:C$8,1))</f>
        <v>11055.7</v>
      </c>
      <c r="K676" s="35">
        <f>Table24[[#This Row],[Salary]]-Table24[[#This Row],[Taxes]]</f>
        <v>57654.3</v>
      </c>
    </row>
    <row r="677" spans="1:11" x14ac:dyDescent="0.25">
      <c r="A677" s="5" t="s">
        <v>473</v>
      </c>
      <c r="B677" s="5" t="s">
        <v>13</v>
      </c>
      <c r="C677" s="5" t="s">
        <v>18</v>
      </c>
      <c r="D677" s="5" t="s">
        <v>3</v>
      </c>
      <c r="E677" s="6">
        <v>36444</v>
      </c>
      <c r="F677" s="5" t="s">
        <v>4</v>
      </c>
      <c r="G677" s="10">
        <v>67280</v>
      </c>
      <c r="H677" s="7">
        <v>3</v>
      </c>
      <c r="I677" s="12">
        <f>IF(OR(Table24[[#This Row],[Rating]]=4,Table24[[#This Row],[Rating]]=5), 0.05*Table24[[#This Row],[Salary]],0)</f>
        <v>0</v>
      </c>
      <c r="J677" s="14">
        <f>VLOOKUP(Table24[[#This Row],[Salary]],'Tax rates'!A$2:C$8, 2) + VLOOKUP(Table24[[#This Row],[Salary]],'Tax rates'!A$2:C$8, 3) * (Table24[[#This Row],[Salary]] - VLOOKUP(Table24[[#This Row],[Salary]],'Tax rates'!A$2:C$8,1))</f>
        <v>10741.1</v>
      </c>
      <c r="K677" s="35">
        <f>Table24[[#This Row],[Salary]]-Table24[[#This Row],[Taxes]]</f>
        <v>56538.9</v>
      </c>
    </row>
    <row r="678" spans="1:11" x14ac:dyDescent="0.25">
      <c r="A678" s="5" t="s">
        <v>83</v>
      </c>
      <c r="B678" s="5" t="s">
        <v>13</v>
      </c>
      <c r="C678" s="5" t="s">
        <v>18</v>
      </c>
      <c r="D678" s="5" t="s">
        <v>16</v>
      </c>
      <c r="E678" s="6">
        <v>39538</v>
      </c>
      <c r="F678" s="7"/>
      <c r="G678" s="10">
        <v>62780</v>
      </c>
      <c r="H678" s="7">
        <v>4</v>
      </c>
      <c r="I678" s="12">
        <f>IF(OR(Table24[[#This Row],[Rating]]=4,Table24[[#This Row],[Rating]]=5), 0.05*Table24[[#This Row],[Salary]],0)</f>
        <v>3139</v>
      </c>
      <c r="J678" s="14">
        <f>VLOOKUP(Table24[[#This Row],[Salary]],'Tax rates'!A$2:C$8, 2) + VLOOKUP(Table24[[#This Row],[Salary]],'Tax rates'!A$2:C$8, 3) * (Table24[[#This Row],[Salary]] - VLOOKUP(Table24[[#This Row],[Salary]],'Tax rates'!A$2:C$8,1))</f>
        <v>9751.1</v>
      </c>
      <c r="K678" s="35">
        <f>Table24[[#This Row],[Salary]]-Table24[[#This Row],[Taxes]]</f>
        <v>53028.9</v>
      </c>
    </row>
    <row r="679" spans="1:11" x14ac:dyDescent="0.25">
      <c r="A679" s="5" t="s">
        <v>174</v>
      </c>
      <c r="B679" s="5" t="s">
        <v>13</v>
      </c>
      <c r="C679" s="5" t="s">
        <v>18</v>
      </c>
      <c r="D679" s="5" t="s">
        <v>16</v>
      </c>
      <c r="E679" s="6">
        <v>39822</v>
      </c>
      <c r="F679" s="7"/>
      <c r="G679" s="10">
        <v>60040</v>
      </c>
      <c r="H679" s="7">
        <v>5</v>
      </c>
      <c r="I679" s="12">
        <f>IF(OR(Table24[[#This Row],[Rating]]=4,Table24[[#This Row],[Rating]]=5), 0.05*Table24[[#This Row],[Salary]],0)</f>
        <v>3002</v>
      </c>
      <c r="J679" s="14">
        <f>VLOOKUP(Table24[[#This Row],[Salary]],'Tax rates'!A$2:C$8, 2) + VLOOKUP(Table24[[#This Row],[Salary]],'Tax rates'!A$2:C$8, 3) * (Table24[[#This Row],[Salary]] - VLOOKUP(Table24[[#This Row],[Salary]],'Tax rates'!A$2:C$8,1))</f>
        <v>9148.2999999999993</v>
      </c>
      <c r="K679" s="35">
        <f>Table24[[#This Row],[Salary]]-Table24[[#This Row],[Taxes]]</f>
        <v>50891.7</v>
      </c>
    </row>
    <row r="680" spans="1:11" x14ac:dyDescent="0.25">
      <c r="A680" s="5" t="s">
        <v>293</v>
      </c>
      <c r="B680" s="5" t="s">
        <v>13</v>
      </c>
      <c r="C680" s="5" t="s">
        <v>18</v>
      </c>
      <c r="D680" s="5" t="s">
        <v>3</v>
      </c>
      <c r="E680" s="6">
        <v>41025</v>
      </c>
      <c r="F680" s="5" t="s">
        <v>11</v>
      </c>
      <c r="G680" s="10">
        <v>58910</v>
      </c>
      <c r="H680" s="7">
        <v>1</v>
      </c>
      <c r="I680" s="12">
        <f>IF(OR(Table24[[#This Row],[Rating]]=4,Table24[[#This Row],[Rating]]=5), 0.05*Table24[[#This Row],[Salary]],0)</f>
        <v>0</v>
      </c>
      <c r="J680" s="14">
        <f>VLOOKUP(Table24[[#This Row],[Salary]],'Tax rates'!A$2:C$8, 2) + VLOOKUP(Table24[[#This Row],[Salary]],'Tax rates'!A$2:C$8, 3) * (Table24[[#This Row],[Salary]] - VLOOKUP(Table24[[#This Row],[Salary]],'Tax rates'!A$2:C$8,1))</f>
        <v>8899.7000000000007</v>
      </c>
      <c r="K680" s="35">
        <f>Table24[[#This Row],[Salary]]-Table24[[#This Row],[Taxes]]</f>
        <v>50010.3</v>
      </c>
    </row>
    <row r="681" spans="1:11" x14ac:dyDescent="0.25">
      <c r="A681" s="5" t="s">
        <v>476</v>
      </c>
      <c r="B681" s="5" t="s">
        <v>13</v>
      </c>
      <c r="C681" s="5" t="s">
        <v>18</v>
      </c>
      <c r="D681" s="5" t="s">
        <v>3</v>
      </c>
      <c r="E681" s="6">
        <v>35938</v>
      </c>
      <c r="F681" s="5" t="s">
        <v>21</v>
      </c>
      <c r="G681" s="10">
        <v>55450</v>
      </c>
      <c r="H681" s="7">
        <v>5</v>
      </c>
      <c r="I681" s="12">
        <f>IF(OR(Table24[[#This Row],[Rating]]=4,Table24[[#This Row],[Rating]]=5), 0.05*Table24[[#This Row],[Salary]],0)</f>
        <v>2772.5</v>
      </c>
      <c r="J681" s="14">
        <f>VLOOKUP(Table24[[#This Row],[Salary]],'Tax rates'!A$2:C$8, 2) + VLOOKUP(Table24[[#This Row],[Salary]],'Tax rates'!A$2:C$8, 3) * (Table24[[#This Row],[Salary]] - VLOOKUP(Table24[[#This Row],[Salary]],'Tax rates'!A$2:C$8,1))</f>
        <v>8138.5</v>
      </c>
      <c r="K681" s="35">
        <f>Table24[[#This Row],[Salary]]-Table24[[#This Row],[Taxes]]</f>
        <v>47311.5</v>
      </c>
    </row>
    <row r="682" spans="1:11" x14ac:dyDescent="0.25">
      <c r="A682" s="5" t="s">
        <v>716</v>
      </c>
      <c r="B682" s="5" t="s">
        <v>13</v>
      </c>
      <c r="C682" s="5" t="s">
        <v>18</v>
      </c>
      <c r="D682" s="5" t="s">
        <v>3</v>
      </c>
      <c r="E682" s="6">
        <v>38146</v>
      </c>
      <c r="F682" s="5" t="s">
        <v>4</v>
      </c>
      <c r="G682" s="10">
        <v>47340</v>
      </c>
      <c r="H682" s="7">
        <v>2</v>
      </c>
      <c r="I682" s="12">
        <f>IF(OR(Table24[[#This Row],[Rating]]=4,Table24[[#This Row],[Rating]]=5), 0.05*Table24[[#This Row],[Salary]],0)</f>
        <v>0</v>
      </c>
      <c r="J682" s="14">
        <f>VLOOKUP(Table24[[#This Row],[Salary]],'Tax rates'!A$2:C$8, 2) + VLOOKUP(Table24[[#This Row],[Salary]],'Tax rates'!A$2:C$8, 3) * (Table24[[#This Row],[Salary]] - VLOOKUP(Table24[[#This Row],[Salary]],'Tax rates'!A$2:C$8,1))</f>
        <v>6354.3</v>
      </c>
      <c r="K682" s="35">
        <f>Table24[[#This Row],[Salary]]-Table24[[#This Row],[Taxes]]</f>
        <v>40985.699999999997</v>
      </c>
    </row>
    <row r="683" spans="1:11" x14ac:dyDescent="0.25">
      <c r="A683" s="5" t="s">
        <v>107</v>
      </c>
      <c r="B683" s="5" t="s">
        <v>13</v>
      </c>
      <c r="C683" s="5" t="s">
        <v>18</v>
      </c>
      <c r="D683" s="5" t="s">
        <v>3</v>
      </c>
      <c r="E683" s="6">
        <v>40578</v>
      </c>
      <c r="F683" s="5" t="s">
        <v>4</v>
      </c>
      <c r="G683" s="10">
        <v>43820</v>
      </c>
      <c r="H683" s="7">
        <v>2</v>
      </c>
      <c r="I683" s="12">
        <f>IF(OR(Table24[[#This Row],[Rating]]=4,Table24[[#This Row],[Rating]]=5), 0.05*Table24[[#This Row],[Salary]],0)</f>
        <v>0</v>
      </c>
      <c r="J683" s="14">
        <f>VLOOKUP(Table24[[#This Row],[Salary]],'Tax rates'!A$2:C$8, 2) + VLOOKUP(Table24[[#This Row],[Salary]],'Tax rates'!A$2:C$8, 3) * (Table24[[#This Row],[Salary]] - VLOOKUP(Table24[[#This Row],[Salary]],'Tax rates'!A$2:C$8,1))</f>
        <v>5579.9</v>
      </c>
      <c r="K683" s="35">
        <f>Table24[[#This Row],[Salary]]-Table24[[#This Row],[Taxes]]</f>
        <v>38240.1</v>
      </c>
    </row>
    <row r="684" spans="1:11" x14ac:dyDescent="0.25">
      <c r="A684" s="5" t="s">
        <v>170</v>
      </c>
      <c r="B684" s="5" t="s">
        <v>13</v>
      </c>
      <c r="C684" s="5" t="s">
        <v>18</v>
      </c>
      <c r="D684" s="5" t="s">
        <v>16</v>
      </c>
      <c r="E684" s="6">
        <v>39633</v>
      </c>
      <c r="F684" s="7"/>
      <c r="G684" s="10">
        <v>39680</v>
      </c>
      <c r="H684" s="7">
        <v>1</v>
      </c>
      <c r="I684" s="12">
        <f>IF(OR(Table24[[#This Row],[Rating]]=4,Table24[[#This Row],[Rating]]=5), 0.05*Table24[[#This Row],[Salary]],0)</f>
        <v>0</v>
      </c>
      <c r="J684" s="14">
        <f>VLOOKUP(Table24[[#This Row],[Salary]],'Tax rates'!A$2:C$8, 2) + VLOOKUP(Table24[[#This Row],[Salary]],'Tax rates'!A$2:C$8, 3) * (Table24[[#This Row],[Salary]] - VLOOKUP(Table24[[#This Row],[Salary]],'Tax rates'!A$2:C$8,1))</f>
        <v>4669.1000000000004</v>
      </c>
      <c r="K684" s="35">
        <f>Table24[[#This Row],[Salary]]-Table24[[#This Row],[Taxes]]</f>
        <v>35010.9</v>
      </c>
    </row>
    <row r="685" spans="1:11" x14ac:dyDescent="0.25">
      <c r="A685" s="5" t="s">
        <v>737</v>
      </c>
      <c r="B685" s="5" t="s">
        <v>13</v>
      </c>
      <c r="C685" s="5" t="s">
        <v>18</v>
      </c>
      <c r="D685" s="5" t="s">
        <v>3</v>
      </c>
      <c r="E685" s="6">
        <v>39403</v>
      </c>
      <c r="F685" s="5" t="s">
        <v>25</v>
      </c>
      <c r="G685" s="10">
        <v>38940</v>
      </c>
      <c r="H685" s="7">
        <v>2</v>
      </c>
      <c r="I685" s="12">
        <f>IF(OR(Table24[[#This Row],[Rating]]=4,Table24[[#This Row],[Rating]]=5), 0.05*Table24[[#This Row],[Salary]],0)</f>
        <v>0</v>
      </c>
      <c r="J685" s="14">
        <f>VLOOKUP(Table24[[#This Row],[Salary]],'Tax rates'!A$2:C$8, 2) + VLOOKUP(Table24[[#This Row],[Salary]],'Tax rates'!A$2:C$8, 3) * (Table24[[#This Row],[Salary]] - VLOOKUP(Table24[[#This Row],[Salary]],'Tax rates'!A$2:C$8,1))</f>
        <v>4506.3</v>
      </c>
      <c r="K685" s="35">
        <f>Table24[[#This Row],[Salary]]-Table24[[#This Row],[Taxes]]</f>
        <v>34433.699999999997</v>
      </c>
    </row>
    <row r="686" spans="1:11" x14ac:dyDescent="0.25">
      <c r="A686" s="5" t="s">
        <v>61</v>
      </c>
      <c r="B686" s="5" t="s">
        <v>13</v>
      </c>
      <c r="C686" s="5" t="s">
        <v>18</v>
      </c>
      <c r="D686" s="5" t="s">
        <v>3</v>
      </c>
      <c r="E686" s="6">
        <v>39655</v>
      </c>
      <c r="F686" s="5" t="s">
        <v>9</v>
      </c>
      <c r="G686" s="10">
        <v>34480</v>
      </c>
      <c r="H686" s="7">
        <v>3</v>
      </c>
      <c r="I686" s="12">
        <f>IF(OR(Table24[[#This Row],[Rating]]=4,Table24[[#This Row],[Rating]]=5), 0.05*Table24[[#This Row],[Salary]],0)</f>
        <v>0</v>
      </c>
      <c r="J686" s="14">
        <f>VLOOKUP(Table24[[#This Row],[Salary]],'Tax rates'!A$2:C$8, 2) + VLOOKUP(Table24[[#This Row],[Salary]],'Tax rates'!A$2:C$8, 3) * (Table24[[#This Row],[Salary]] - VLOOKUP(Table24[[#This Row],[Salary]],'Tax rates'!A$2:C$8,1))</f>
        <v>3947.1</v>
      </c>
      <c r="K686" s="35">
        <f>Table24[[#This Row],[Salary]]-Table24[[#This Row],[Taxes]]</f>
        <v>30532.9</v>
      </c>
    </row>
    <row r="687" spans="1:11" x14ac:dyDescent="0.25">
      <c r="A687" s="5" t="s">
        <v>482</v>
      </c>
      <c r="B687" s="5" t="s">
        <v>13</v>
      </c>
      <c r="C687" s="5" t="s">
        <v>18</v>
      </c>
      <c r="D687" s="5" t="s">
        <v>32</v>
      </c>
      <c r="E687" s="6">
        <v>35829</v>
      </c>
      <c r="F687" s="7"/>
      <c r="G687" s="10">
        <v>29176</v>
      </c>
      <c r="H687" s="7">
        <v>3</v>
      </c>
      <c r="I687" s="12">
        <f>IF(OR(Table24[[#This Row],[Rating]]=4,Table24[[#This Row],[Rating]]=5), 0.05*Table24[[#This Row],[Salary]],0)</f>
        <v>0</v>
      </c>
      <c r="J687" s="14">
        <f>VLOOKUP(Table24[[#This Row],[Salary]],'Tax rates'!A$2:C$8, 2) + VLOOKUP(Table24[[#This Row],[Salary]],'Tax rates'!A$2:C$8, 3) * (Table24[[#This Row],[Salary]] - VLOOKUP(Table24[[#This Row],[Salary]],'Tax rates'!A$2:C$8,1))</f>
        <v>3310.62</v>
      </c>
      <c r="K687" s="35">
        <f>Table24[[#This Row],[Salary]]-Table24[[#This Row],[Taxes]]</f>
        <v>25865.38</v>
      </c>
    </row>
    <row r="688" spans="1:11" x14ac:dyDescent="0.25">
      <c r="A688" s="5" t="s">
        <v>327</v>
      </c>
      <c r="B688" s="5" t="s">
        <v>13</v>
      </c>
      <c r="C688" s="5" t="s">
        <v>18</v>
      </c>
      <c r="D688" s="5" t="s">
        <v>24</v>
      </c>
      <c r="E688" s="6">
        <v>37620</v>
      </c>
      <c r="F688" s="5" t="s">
        <v>4</v>
      </c>
      <c r="G688" s="10">
        <v>24460</v>
      </c>
      <c r="H688" s="7">
        <v>1</v>
      </c>
      <c r="I688" s="12">
        <f>IF(OR(Table24[[#This Row],[Rating]]=4,Table24[[#This Row],[Rating]]=5), 0.05*Table24[[#This Row],[Salary]],0)</f>
        <v>0</v>
      </c>
      <c r="J688" s="14">
        <f>VLOOKUP(Table24[[#This Row],[Salary]],'Tax rates'!A$2:C$8, 2) + VLOOKUP(Table24[[#This Row],[Salary]],'Tax rates'!A$2:C$8, 3) * (Table24[[#This Row],[Salary]] - VLOOKUP(Table24[[#This Row],[Salary]],'Tax rates'!A$2:C$8,1))</f>
        <v>2744.7</v>
      </c>
      <c r="K688" s="35">
        <f>Table24[[#This Row],[Salary]]-Table24[[#This Row],[Taxes]]</f>
        <v>21715.3</v>
      </c>
    </row>
    <row r="689" spans="1:11" x14ac:dyDescent="0.25">
      <c r="A689" s="5" t="s">
        <v>367</v>
      </c>
      <c r="B689" s="5" t="s">
        <v>13</v>
      </c>
      <c r="C689" s="5" t="s">
        <v>18</v>
      </c>
      <c r="D689" s="5" t="s">
        <v>3</v>
      </c>
      <c r="E689" s="6">
        <v>36698</v>
      </c>
      <c r="F689" s="5" t="s">
        <v>21</v>
      </c>
      <c r="G689" s="10">
        <v>23650</v>
      </c>
      <c r="H689" s="7">
        <v>1</v>
      </c>
      <c r="I689" s="12">
        <f>IF(OR(Table24[[#This Row],[Rating]]=4,Table24[[#This Row],[Rating]]=5), 0.05*Table24[[#This Row],[Salary]],0)</f>
        <v>0</v>
      </c>
      <c r="J689" s="14">
        <f>VLOOKUP(Table24[[#This Row],[Salary]],'Tax rates'!A$2:C$8, 2) + VLOOKUP(Table24[[#This Row],[Salary]],'Tax rates'!A$2:C$8, 3) * (Table24[[#This Row],[Salary]] - VLOOKUP(Table24[[#This Row],[Salary]],'Tax rates'!A$2:C$8,1))</f>
        <v>2647.5</v>
      </c>
      <c r="K689" s="35">
        <f>Table24[[#This Row],[Salary]]-Table24[[#This Row],[Taxes]]</f>
        <v>21002.5</v>
      </c>
    </row>
    <row r="690" spans="1:11" x14ac:dyDescent="0.25">
      <c r="A690" s="5" t="s">
        <v>143</v>
      </c>
      <c r="B690" s="5" t="s">
        <v>13</v>
      </c>
      <c r="C690" s="5" t="s">
        <v>18</v>
      </c>
      <c r="D690" s="5" t="s">
        <v>3</v>
      </c>
      <c r="E690" s="6">
        <v>36122</v>
      </c>
      <c r="F690" s="5" t="s">
        <v>25</v>
      </c>
      <c r="G690" s="10">
        <v>22660</v>
      </c>
      <c r="H690" s="7">
        <v>2</v>
      </c>
      <c r="I690" s="12">
        <f>IF(OR(Table24[[#This Row],[Rating]]=4,Table24[[#This Row],[Rating]]=5), 0.05*Table24[[#This Row],[Salary]],0)</f>
        <v>0</v>
      </c>
      <c r="J690" s="14">
        <f>VLOOKUP(Table24[[#This Row],[Salary]],'Tax rates'!A$2:C$8, 2) + VLOOKUP(Table24[[#This Row],[Salary]],'Tax rates'!A$2:C$8, 3) * (Table24[[#This Row],[Salary]] - VLOOKUP(Table24[[#This Row],[Salary]],'Tax rates'!A$2:C$8,1))</f>
        <v>2528.6999999999998</v>
      </c>
      <c r="K690" s="35">
        <f>Table24[[#This Row],[Salary]]-Table24[[#This Row],[Taxes]]</f>
        <v>20131.3</v>
      </c>
    </row>
    <row r="691" spans="1:11" x14ac:dyDescent="0.25">
      <c r="A691" s="5" t="s">
        <v>649</v>
      </c>
      <c r="B691" s="5" t="s">
        <v>13</v>
      </c>
      <c r="C691" s="5" t="s">
        <v>18</v>
      </c>
      <c r="D691" s="5" t="s">
        <v>32</v>
      </c>
      <c r="E691" s="6">
        <v>38777</v>
      </c>
      <c r="F691" s="7"/>
      <c r="G691" s="10">
        <v>22472</v>
      </c>
      <c r="H691" s="7">
        <v>1</v>
      </c>
      <c r="I691" s="12">
        <f>IF(OR(Table24[[#This Row],[Rating]]=4,Table24[[#This Row],[Rating]]=5), 0.05*Table24[[#This Row],[Salary]],0)</f>
        <v>0</v>
      </c>
      <c r="J691" s="14">
        <f>VLOOKUP(Table24[[#This Row],[Salary]],'Tax rates'!A$2:C$8, 2) + VLOOKUP(Table24[[#This Row],[Salary]],'Tax rates'!A$2:C$8, 3) * (Table24[[#This Row],[Salary]] - VLOOKUP(Table24[[#This Row],[Salary]],'Tax rates'!A$2:C$8,1))</f>
        <v>2506.14</v>
      </c>
      <c r="K691" s="35">
        <f>Table24[[#This Row],[Salary]]-Table24[[#This Row],[Taxes]]</f>
        <v>19965.86</v>
      </c>
    </row>
    <row r="692" spans="1:11" x14ac:dyDescent="0.25">
      <c r="A692" s="5" t="s">
        <v>485</v>
      </c>
      <c r="B692" s="5" t="s">
        <v>13</v>
      </c>
      <c r="C692" s="5" t="s">
        <v>18</v>
      </c>
      <c r="D692" s="5" t="s">
        <v>24</v>
      </c>
      <c r="E692" s="6">
        <v>39276</v>
      </c>
      <c r="F692" s="5" t="s">
        <v>25</v>
      </c>
      <c r="G692" s="10">
        <v>18895</v>
      </c>
      <c r="H692" s="7">
        <v>4</v>
      </c>
      <c r="I692" s="12">
        <f>IF(OR(Table24[[#This Row],[Rating]]=4,Table24[[#This Row],[Rating]]=5), 0.05*Table24[[#This Row],[Salary]],0)</f>
        <v>944.75</v>
      </c>
      <c r="J692" s="14">
        <f>VLOOKUP(Table24[[#This Row],[Salary]],'Tax rates'!A$2:C$8, 2) + VLOOKUP(Table24[[#This Row],[Salary]],'Tax rates'!A$2:C$8, 3) * (Table24[[#This Row],[Salary]] - VLOOKUP(Table24[[#This Row],[Salary]],'Tax rates'!A$2:C$8,1))</f>
        <v>2076.8999999999996</v>
      </c>
      <c r="K692" s="35">
        <f>Table24[[#This Row],[Salary]]-Table24[[#This Row],[Taxes]]</f>
        <v>16818.099999999999</v>
      </c>
    </row>
    <row r="693" spans="1:11" x14ac:dyDescent="0.25">
      <c r="A693" s="5" t="s">
        <v>641</v>
      </c>
      <c r="B693" s="5" t="s">
        <v>13</v>
      </c>
      <c r="C693" s="5" t="s">
        <v>18</v>
      </c>
      <c r="D693" s="5" t="s">
        <v>32</v>
      </c>
      <c r="E693" s="6">
        <v>39087</v>
      </c>
      <c r="F693" s="7"/>
      <c r="G693" s="10">
        <v>14416</v>
      </c>
      <c r="H693" s="7">
        <v>4</v>
      </c>
      <c r="I693" s="12">
        <f>IF(OR(Table24[[#This Row],[Rating]]=4,Table24[[#This Row],[Rating]]=5), 0.05*Table24[[#This Row],[Salary]],0)</f>
        <v>720.80000000000007</v>
      </c>
      <c r="J693" s="14">
        <f>VLOOKUP(Table24[[#This Row],[Salary]],'Tax rates'!A$2:C$8, 2) + VLOOKUP(Table24[[#This Row],[Salary]],'Tax rates'!A$2:C$8, 3) * (Table24[[#This Row],[Salary]] - VLOOKUP(Table24[[#This Row],[Salary]],'Tax rates'!A$2:C$8,1))</f>
        <v>1539.42</v>
      </c>
      <c r="K693" s="35">
        <f>Table24[[#This Row],[Salary]]-Table24[[#This Row],[Taxes]]</f>
        <v>12876.58</v>
      </c>
    </row>
    <row r="694" spans="1:11" x14ac:dyDescent="0.25">
      <c r="A694" s="5" t="s">
        <v>14</v>
      </c>
      <c r="B694" s="5" t="s">
        <v>13</v>
      </c>
      <c r="C694" s="5" t="s">
        <v>15</v>
      </c>
      <c r="D694" s="5" t="s">
        <v>16</v>
      </c>
      <c r="E694" s="6">
        <v>36765</v>
      </c>
      <c r="F694" s="7"/>
      <c r="G694" s="10">
        <v>74500</v>
      </c>
      <c r="H694" s="7">
        <v>4</v>
      </c>
      <c r="I694" s="12">
        <f>IF(OR(Table24[[#This Row],[Rating]]=4,Table24[[#This Row],[Rating]]=5), 0.05*Table24[[#This Row],[Salary]],0)</f>
        <v>3725</v>
      </c>
      <c r="J694" s="14">
        <f>VLOOKUP(Table24[[#This Row],[Salary]],'Tax rates'!A$2:C$8, 2) + VLOOKUP(Table24[[#This Row],[Salary]],'Tax rates'!A$2:C$8, 3) * (Table24[[#This Row],[Salary]] - VLOOKUP(Table24[[#This Row],[Salary]],'Tax rates'!A$2:C$8,1))</f>
        <v>12329.5</v>
      </c>
      <c r="K694" s="35">
        <f>Table24[[#This Row],[Salary]]-Table24[[#This Row],[Taxes]]</f>
        <v>62170.5</v>
      </c>
    </row>
    <row r="695" spans="1:11" x14ac:dyDescent="0.25">
      <c r="A695" s="5" t="s">
        <v>608</v>
      </c>
      <c r="B695" s="5" t="s">
        <v>13</v>
      </c>
      <c r="C695" s="5" t="s">
        <v>15</v>
      </c>
      <c r="D695" s="5" t="s">
        <v>3</v>
      </c>
      <c r="E695" s="6">
        <v>39038</v>
      </c>
      <c r="F695" s="5" t="s">
        <v>9</v>
      </c>
      <c r="G695" s="10">
        <v>71400</v>
      </c>
      <c r="H695" s="7">
        <v>4</v>
      </c>
      <c r="I695" s="12">
        <f>IF(OR(Table24[[#This Row],[Rating]]=4,Table24[[#This Row],[Rating]]=5), 0.05*Table24[[#This Row],[Salary]],0)</f>
        <v>3570</v>
      </c>
      <c r="J695" s="14">
        <f>VLOOKUP(Table24[[#This Row],[Salary]],'Tax rates'!A$2:C$8, 2) + VLOOKUP(Table24[[#This Row],[Salary]],'Tax rates'!A$2:C$8, 3) * (Table24[[#This Row],[Salary]] - VLOOKUP(Table24[[#This Row],[Salary]],'Tax rates'!A$2:C$8,1))</f>
        <v>11647.5</v>
      </c>
      <c r="K695" s="35">
        <f>Table24[[#This Row],[Salary]]-Table24[[#This Row],[Taxes]]</f>
        <v>59752.5</v>
      </c>
    </row>
    <row r="696" spans="1:11" x14ac:dyDescent="0.25">
      <c r="A696" s="5" t="s">
        <v>553</v>
      </c>
      <c r="B696" s="5" t="s">
        <v>13</v>
      </c>
      <c r="C696" s="5" t="s">
        <v>59</v>
      </c>
      <c r="D696" s="5" t="s">
        <v>3</v>
      </c>
      <c r="E696" s="6">
        <v>35856</v>
      </c>
      <c r="F696" s="5" t="s">
        <v>9</v>
      </c>
      <c r="G696" s="10">
        <v>86830</v>
      </c>
      <c r="H696" s="7">
        <v>3</v>
      </c>
      <c r="I696" s="12">
        <f>IF(OR(Table24[[#This Row],[Rating]]=4,Table24[[#This Row],[Rating]]=5), 0.05*Table24[[#This Row],[Salary]],0)</f>
        <v>0</v>
      </c>
      <c r="J696" s="14">
        <f>VLOOKUP(Table24[[#This Row],[Salary]],'Tax rates'!A$2:C$8, 2) + VLOOKUP(Table24[[#This Row],[Salary]],'Tax rates'!A$2:C$8, 3) * (Table24[[#This Row],[Salary]] - VLOOKUP(Table24[[#This Row],[Salary]],'Tax rates'!A$2:C$8,1))</f>
        <v>15128.7</v>
      </c>
      <c r="K696" s="35">
        <f>Table24[[#This Row],[Salary]]-Table24[[#This Row],[Taxes]]</f>
        <v>71701.3</v>
      </c>
    </row>
    <row r="697" spans="1:11" x14ac:dyDescent="0.25">
      <c r="A697" s="5" t="s">
        <v>673</v>
      </c>
      <c r="B697" s="5" t="s">
        <v>13</v>
      </c>
      <c r="C697" s="5" t="s">
        <v>59</v>
      </c>
      <c r="D697" s="5" t="s">
        <v>3</v>
      </c>
      <c r="E697" s="6">
        <v>40333</v>
      </c>
      <c r="F697" s="5" t="s">
        <v>21</v>
      </c>
      <c r="G697" s="10">
        <v>70480</v>
      </c>
      <c r="H697" s="7">
        <v>4</v>
      </c>
      <c r="I697" s="12">
        <f>IF(OR(Table24[[#This Row],[Rating]]=4,Table24[[#This Row],[Rating]]=5), 0.05*Table24[[#This Row],[Salary]],0)</f>
        <v>3524</v>
      </c>
      <c r="J697" s="14">
        <f>VLOOKUP(Table24[[#This Row],[Salary]],'Tax rates'!A$2:C$8, 2) + VLOOKUP(Table24[[#This Row],[Salary]],'Tax rates'!A$2:C$8, 3) * (Table24[[#This Row],[Salary]] - VLOOKUP(Table24[[#This Row],[Salary]],'Tax rates'!A$2:C$8,1))</f>
        <v>11445.1</v>
      </c>
      <c r="K697" s="35">
        <f>Table24[[#This Row],[Salary]]-Table24[[#This Row],[Taxes]]</f>
        <v>59034.9</v>
      </c>
    </row>
    <row r="698" spans="1:11" x14ac:dyDescent="0.25">
      <c r="A698" s="5" t="s">
        <v>134</v>
      </c>
      <c r="B698" s="5" t="s">
        <v>13</v>
      </c>
      <c r="C698" s="5" t="s">
        <v>59</v>
      </c>
      <c r="D698" s="5" t="s">
        <v>3</v>
      </c>
      <c r="E698" s="6">
        <v>36662</v>
      </c>
      <c r="F698" s="5" t="s">
        <v>11</v>
      </c>
      <c r="G698" s="10">
        <v>52490</v>
      </c>
      <c r="H698" s="7">
        <v>4</v>
      </c>
      <c r="I698" s="12">
        <f>IF(OR(Table24[[#This Row],[Rating]]=4,Table24[[#This Row],[Rating]]=5), 0.05*Table24[[#This Row],[Salary]],0)</f>
        <v>2624.5</v>
      </c>
      <c r="J698" s="14">
        <f>VLOOKUP(Table24[[#This Row],[Salary]],'Tax rates'!A$2:C$8, 2) + VLOOKUP(Table24[[#This Row],[Salary]],'Tax rates'!A$2:C$8, 3) * (Table24[[#This Row],[Salary]] - VLOOKUP(Table24[[#This Row],[Salary]],'Tax rates'!A$2:C$8,1))</f>
        <v>7487.3</v>
      </c>
      <c r="K698" s="35">
        <f>Table24[[#This Row],[Salary]]-Table24[[#This Row],[Taxes]]</f>
        <v>45002.7</v>
      </c>
    </row>
    <row r="699" spans="1:11" x14ac:dyDescent="0.25">
      <c r="A699" s="5" t="s">
        <v>594</v>
      </c>
      <c r="B699" s="5" t="s">
        <v>13</v>
      </c>
      <c r="C699" s="5" t="s">
        <v>59</v>
      </c>
      <c r="D699" s="5" t="s">
        <v>3</v>
      </c>
      <c r="E699" s="6">
        <v>36940</v>
      </c>
      <c r="F699" s="5" t="s">
        <v>4</v>
      </c>
      <c r="G699" s="10">
        <v>48990</v>
      </c>
      <c r="H699" s="7">
        <v>5</v>
      </c>
      <c r="I699" s="12">
        <f>IF(OR(Table24[[#This Row],[Rating]]=4,Table24[[#This Row],[Rating]]=5), 0.05*Table24[[#This Row],[Salary]],0)</f>
        <v>2449.5</v>
      </c>
      <c r="J699" s="14">
        <f>VLOOKUP(Table24[[#This Row],[Salary]],'Tax rates'!A$2:C$8, 2) + VLOOKUP(Table24[[#This Row],[Salary]],'Tax rates'!A$2:C$8, 3) * (Table24[[#This Row],[Salary]] - VLOOKUP(Table24[[#This Row],[Salary]],'Tax rates'!A$2:C$8,1))</f>
        <v>6717.3</v>
      </c>
      <c r="K699" s="35">
        <f>Table24[[#This Row],[Salary]]-Table24[[#This Row],[Taxes]]</f>
        <v>42272.7</v>
      </c>
    </row>
    <row r="700" spans="1:11" x14ac:dyDescent="0.25">
      <c r="A700" s="5" t="s">
        <v>372</v>
      </c>
      <c r="B700" s="5" t="s">
        <v>13</v>
      </c>
      <c r="C700" s="5" t="s">
        <v>59</v>
      </c>
      <c r="D700" s="5" t="s">
        <v>3</v>
      </c>
      <c r="E700" s="6">
        <v>40367</v>
      </c>
      <c r="F700" s="5" t="s">
        <v>4</v>
      </c>
      <c r="G700" s="10">
        <v>48800</v>
      </c>
      <c r="H700" s="7">
        <v>4</v>
      </c>
      <c r="I700" s="12">
        <f>IF(OR(Table24[[#This Row],[Rating]]=4,Table24[[#This Row],[Rating]]=5), 0.05*Table24[[#This Row],[Salary]],0)</f>
        <v>2440</v>
      </c>
      <c r="J700" s="14">
        <f>VLOOKUP(Table24[[#This Row],[Salary]],'Tax rates'!A$2:C$8, 2) + VLOOKUP(Table24[[#This Row],[Salary]],'Tax rates'!A$2:C$8, 3) * (Table24[[#This Row],[Salary]] - VLOOKUP(Table24[[#This Row],[Salary]],'Tax rates'!A$2:C$8,1))</f>
        <v>6675.5</v>
      </c>
      <c r="K700" s="35">
        <f>Table24[[#This Row],[Salary]]-Table24[[#This Row],[Taxes]]</f>
        <v>42124.5</v>
      </c>
    </row>
    <row r="701" spans="1:11" x14ac:dyDescent="0.25">
      <c r="A701" s="5" t="s">
        <v>110</v>
      </c>
      <c r="B701" s="5" t="s">
        <v>13</v>
      </c>
      <c r="C701" s="5" t="s">
        <v>59</v>
      </c>
      <c r="D701" s="5" t="s">
        <v>24</v>
      </c>
      <c r="E701" s="6">
        <v>39098</v>
      </c>
      <c r="F701" s="5" t="s">
        <v>11</v>
      </c>
      <c r="G701" s="10">
        <v>47705</v>
      </c>
      <c r="H701" s="7">
        <v>5</v>
      </c>
      <c r="I701" s="12">
        <f>IF(OR(Table24[[#This Row],[Rating]]=4,Table24[[#This Row],[Rating]]=5), 0.05*Table24[[#This Row],[Salary]],0)</f>
        <v>2385.25</v>
      </c>
      <c r="J701" s="14">
        <f>VLOOKUP(Table24[[#This Row],[Salary]],'Tax rates'!A$2:C$8, 2) + VLOOKUP(Table24[[#This Row],[Salary]],'Tax rates'!A$2:C$8, 3) * (Table24[[#This Row],[Salary]] - VLOOKUP(Table24[[#This Row],[Salary]],'Tax rates'!A$2:C$8,1))</f>
        <v>6434.6</v>
      </c>
      <c r="K701" s="35">
        <f>Table24[[#This Row],[Salary]]-Table24[[#This Row],[Taxes]]</f>
        <v>41270.400000000001</v>
      </c>
    </row>
    <row r="702" spans="1:11" x14ac:dyDescent="0.25">
      <c r="A702" s="5" t="s">
        <v>442</v>
      </c>
      <c r="B702" s="5" t="s">
        <v>13</v>
      </c>
      <c r="C702" s="5" t="s">
        <v>59</v>
      </c>
      <c r="D702" s="5" t="s">
        <v>16</v>
      </c>
      <c r="E702" s="6">
        <v>36192</v>
      </c>
      <c r="F702" s="7"/>
      <c r="G702" s="10">
        <v>47620</v>
      </c>
      <c r="H702" s="7">
        <v>5</v>
      </c>
      <c r="I702" s="12">
        <f>IF(OR(Table24[[#This Row],[Rating]]=4,Table24[[#This Row],[Rating]]=5), 0.05*Table24[[#This Row],[Salary]],0)</f>
        <v>2381</v>
      </c>
      <c r="J702" s="14">
        <f>VLOOKUP(Table24[[#This Row],[Salary]],'Tax rates'!A$2:C$8, 2) + VLOOKUP(Table24[[#This Row],[Salary]],'Tax rates'!A$2:C$8, 3) * (Table24[[#This Row],[Salary]] - VLOOKUP(Table24[[#This Row],[Salary]],'Tax rates'!A$2:C$8,1))</f>
        <v>6415.9</v>
      </c>
      <c r="K702" s="35">
        <f>Table24[[#This Row],[Salary]]-Table24[[#This Row],[Taxes]]</f>
        <v>41204.1</v>
      </c>
    </row>
    <row r="703" spans="1:11" x14ac:dyDescent="0.25">
      <c r="A703" s="5" t="s">
        <v>366</v>
      </c>
      <c r="B703" s="5" t="s">
        <v>13</v>
      </c>
      <c r="C703" s="5" t="s">
        <v>59</v>
      </c>
      <c r="D703" s="5" t="s">
        <v>3</v>
      </c>
      <c r="E703" s="6">
        <v>39157</v>
      </c>
      <c r="F703" s="5" t="s">
        <v>11</v>
      </c>
      <c r="G703" s="10">
        <v>47610</v>
      </c>
      <c r="H703" s="7">
        <v>4</v>
      </c>
      <c r="I703" s="12">
        <f>IF(OR(Table24[[#This Row],[Rating]]=4,Table24[[#This Row],[Rating]]=5), 0.05*Table24[[#This Row],[Salary]],0)</f>
        <v>2380.5</v>
      </c>
      <c r="J703" s="14">
        <f>VLOOKUP(Table24[[#This Row],[Salary]],'Tax rates'!A$2:C$8, 2) + VLOOKUP(Table24[[#This Row],[Salary]],'Tax rates'!A$2:C$8, 3) * (Table24[[#This Row],[Salary]] - VLOOKUP(Table24[[#This Row],[Salary]],'Tax rates'!A$2:C$8,1))</f>
        <v>6413.7</v>
      </c>
      <c r="K703" s="35">
        <f>Table24[[#This Row],[Salary]]-Table24[[#This Row],[Taxes]]</f>
        <v>41196.300000000003</v>
      </c>
    </row>
    <row r="704" spans="1:11" x14ac:dyDescent="0.25">
      <c r="A704" s="5" t="s">
        <v>406</v>
      </c>
      <c r="B704" s="5" t="s">
        <v>13</v>
      </c>
      <c r="C704" s="5" t="s">
        <v>59</v>
      </c>
      <c r="D704" s="5" t="s">
        <v>24</v>
      </c>
      <c r="E704" s="6">
        <v>39871</v>
      </c>
      <c r="F704" s="5" t="s">
        <v>21</v>
      </c>
      <c r="G704" s="10">
        <v>38575</v>
      </c>
      <c r="H704" s="7">
        <v>2</v>
      </c>
      <c r="I704" s="12">
        <f>IF(OR(Table24[[#This Row],[Rating]]=4,Table24[[#This Row],[Rating]]=5), 0.05*Table24[[#This Row],[Salary]],0)</f>
        <v>0</v>
      </c>
      <c r="J704" s="14">
        <f>VLOOKUP(Table24[[#This Row],[Salary]],'Tax rates'!A$2:C$8, 2) + VLOOKUP(Table24[[#This Row],[Salary]],'Tax rates'!A$2:C$8, 3) * (Table24[[#This Row],[Salary]] - VLOOKUP(Table24[[#This Row],[Salary]],'Tax rates'!A$2:C$8,1))</f>
        <v>4438.5</v>
      </c>
      <c r="K704" s="35">
        <f>Table24[[#This Row],[Salary]]-Table24[[#This Row],[Taxes]]</f>
        <v>34136.5</v>
      </c>
    </row>
    <row r="705" spans="1:11" x14ac:dyDescent="0.25">
      <c r="A705" s="5" t="s">
        <v>579</v>
      </c>
      <c r="B705" s="5" t="s">
        <v>13</v>
      </c>
      <c r="C705" s="5" t="s">
        <v>59</v>
      </c>
      <c r="D705" s="5" t="s">
        <v>3</v>
      </c>
      <c r="E705" s="6">
        <v>41007</v>
      </c>
      <c r="F705" s="5" t="s">
        <v>4</v>
      </c>
      <c r="G705" s="10">
        <v>37020</v>
      </c>
      <c r="H705" s="7">
        <v>2</v>
      </c>
      <c r="I705" s="12">
        <f>IF(OR(Table24[[#This Row],[Rating]]=4,Table24[[#This Row],[Rating]]=5), 0.05*Table24[[#This Row],[Salary]],0)</f>
        <v>0</v>
      </c>
      <c r="J705" s="14">
        <f>VLOOKUP(Table24[[#This Row],[Salary]],'Tax rates'!A$2:C$8, 2) + VLOOKUP(Table24[[#This Row],[Salary]],'Tax rates'!A$2:C$8, 3) * (Table24[[#This Row],[Salary]] - VLOOKUP(Table24[[#This Row],[Salary]],'Tax rates'!A$2:C$8,1))</f>
        <v>4251.8999999999996</v>
      </c>
      <c r="K705" s="35">
        <f>Table24[[#This Row],[Salary]]-Table24[[#This Row],[Taxes]]</f>
        <v>32768.1</v>
      </c>
    </row>
    <row r="706" spans="1:11" x14ac:dyDescent="0.25">
      <c r="A706" s="5" t="s">
        <v>494</v>
      </c>
      <c r="B706" s="5" t="s">
        <v>13</v>
      </c>
      <c r="C706" s="5" t="s">
        <v>59</v>
      </c>
      <c r="D706" s="5" t="s">
        <v>3</v>
      </c>
      <c r="E706" s="6">
        <v>36145</v>
      </c>
      <c r="F706" s="5" t="s">
        <v>25</v>
      </c>
      <c r="G706" s="10">
        <v>31260</v>
      </c>
      <c r="H706" s="7">
        <v>5</v>
      </c>
      <c r="I706" s="12">
        <f>IF(OR(Table24[[#This Row],[Rating]]=4,Table24[[#This Row],[Rating]]=5), 0.05*Table24[[#This Row],[Salary]],0)</f>
        <v>1563</v>
      </c>
      <c r="J706" s="14">
        <f>VLOOKUP(Table24[[#This Row],[Salary]],'Tax rates'!A$2:C$8, 2) + VLOOKUP(Table24[[#This Row],[Salary]],'Tax rates'!A$2:C$8, 3) * (Table24[[#This Row],[Salary]] - VLOOKUP(Table24[[#This Row],[Salary]],'Tax rates'!A$2:C$8,1))</f>
        <v>3560.7</v>
      </c>
      <c r="K706" s="35">
        <f>Table24[[#This Row],[Salary]]-Table24[[#This Row],[Taxes]]</f>
        <v>27699.3</v>
      </c>
    </row>
    <row r="707" spans="1:11" x14ac:dyDescent="0.25">
      <c r="A707" s="5" t="s">
        <v>383</v>
      </c>
      <c r="B707" s="5" t="s">
        <v>13</v>
      </c>
      <c r="C707" s="5" t="s">
        <v>59</v>
      </c>
      <c r="D707" s="5" t="s">
        <v>24</v>
      </c>
      <c r="E707" s="6">
        <v>37138</v>
      </c>
      <c r="F707" s="5" t="s">
        <v>25</v>
      </c>
      <c r="G707" s="10">
        <v>31110</v>
      </c>
      <c r="H707" s="7">
        <v>1</v>
      </c>
      <c r="I707" s="12">
        <f>IF(OR(Table24[[#This Row],[Rating]]=4,Table24[[#This Row],[Rating]]=5), 0.05*Table24[[#This Row],[Salary]],0)</f>
        <v>0</v>
      </c>
      <c r="J707" s="14">
        <f>VLOOKUP(Table24[[#This Row],[Salary]],'Tax rates'!A$2:C$8, 2) + VLOOKUP(Table24[[#This Row],[Salary]],'Tax rates'!A$2:C$8, 3) * (Table24[[#This Row],[Salary]] - VLOOKUP(Table24[[#This Row],[Salary]],'Tax rates'!A$2:C$8,1))</f>
        <v>3542.7</v>
      </c>
      <c r="K707" s="35">
        <f>Table24[[#This Row],[Salary]]-Table24[[#This Row],[Taxes]]</f>
        <v>27567.3</v>
      </c>
    </row>
    <row r="708" spans="1:11" x14ac:dyDescent="0.25">
      <c r="A708" s="5" t="s">
        <v>379</v>
      </c>
      <c r="B708" s="5" t="s">
        <v>13</v>
      </c>
      <c r="C708" s="5" t="s">
        <v>59</v>
      </c>
      <c r="D708" s="5" t="s">
        <v>24</v>
      </c>
      <c r="E708" s="6">
        <v>36121</v>
      </c>
      <c r="F708" s="5" t="s">
        <v>11</v>
      </c>
      <c r="G708" s="10">
        <v>28880</v>
      </c>
      <c r="H708" s="7">
        <v>3</v>
      </c>
      <c r="I708" s="12">
        <f>IF(OR(Table24[[#This Row],[Rating]]=4,Table24[[#This Row],[Rating]]=5), 0.05*Table24[[#This Row],[Salary]],0)</f>
        <v>0</v>
      </c>
      <c r="J708" s="14">
        <f>VLOOKUP(Table24[[#This Row],[Salary]],'Tax rates'!A$2:C$8, 2) + VLOOKUP(Table24[[#This Row],[Salary]],'Tax rates'!A$2:C$8, 3) * (Table24[[#This Row],[Salary]] - VLOOKUP(Table24[[#This Row],[Salary]],'Tax rates'!A$2:C$8,1))</f>
        <v>3275.1</v>
      </c>
      <c r="K708" s="35">
        <f>Table24[[#This Row],[Salary]]-Table24[[#This Row],[Taxes]]</f>
        <v>25604.9</v>
      </c>
    </row>
    <row r="709" spans="1:11" x14ac:dyDescent="0.25">
      <c r="A709" s="5" t="s">
        <v>417</v>
      </c>
      <c r="B709" s="5" t="s">
        <v>13</v>
      </c>
      <c r="C709" s="5" t="s">
        <v>8</v>
      </c>
      <c r="D709" s="5" t="s">
        <v>3</v>
      </c>
      <c r="E709" s="6">
        <v>36643</v>
      </c>
      <c r="F709" s="5" t="s">
        <v>11</v>
      </c>
      <c r="G709" s="10">
        <v>71380</v>
      </c>
      <c r="H709" s="7">
        <v>2</v>
      </c>
      <c r="I709" s="12">
        <f>IF(OR(Table24[[#This Row],[Rating]]=4,Table24[[#This Row],[Rating]]=5), 0.05*Table24[[#This Row],[Salary]],0)</f>
        <v>0</v>
      </c>
      <c r="J709" s="14">
        <f>VLOOKUP(Table24[[#This Row],[Salary]],'Tax rates'!A$2:C$8, 2) + VLOOKUP(Table24[[#This Row],[Salary]],'Tax rates'!A$2:C$8, 3) * (Table24[[#This Row],[Salary]] - VLOOKUP(Table24[[#This Row],[Salary]],'Tax rates'!A$2:C$8,1))</f>
        <v>11643.1</v>
      </c>
      <c r="K709" s="35">
        <f>Table24[[#This Row],[Salary]]-Table24[[#This Row],[Taxes]]</f>
        <v>59736.9</v>
      </c>
    </row>
    <row r="710" spans="1:11" x14ac:dyDescent="0.25">
      <c r="A710" s="5" t="s">
        <v>597</v>
      </c>
      <c r="B710" s="5" t="s">
        <v>13</v>
      </c>
      <c r="C710" s="5" t="s">
        <v>8</v>
      </c>
      <c r="D710" s="5" t="s">
        <v>16</v>
      </c>
      <c r="E710" s="6">
        <v>39274</v>
      </c>
      <c r="F710" s="7"/>
      <c r="G710" s="10">
        <v>64090</v>
      </c>
      <c r="H710" s="7">
        <v>2</v>
      </c>
      <c r="I710" s="12">
        <f>IF(OR(Table24[[#This Row],[Rating]]=4,Table24[[#This Row],[Rating]]=5), 0.05*Table24[[#This Row],[Salary]],0)</f>
        <v>0</v>
      </c>
      <c r="J710" s="14">
        <f>VLOOKUP(Table24[[#This Row],[Salary]],'Tax rates'!A$2:C$8, 2) + VLOOKUP(Table24[[#This Row],[Salary]],'Tax rates'!A$2:C$8, 3) * (Table24[[#This Row],[Salary]] - VLOOKUP(Table24[[#This Row],[Salary]],'Tax rates'!A$2:C$8,1))</f>
        <v>10039.299999999999</v>
      </c>
      <c r="K710" s="35">
        <f>Table24[[#This Row],[Salary]]-Table24[[#This Row],[Taxes]]</f>
        <v>54050.7</v>
      </c>
    </row>
    <row r="711" spans="1:11" x14ac:dyDescent="0.25">
      <c r="A711" s="5" t="s">
        <v>314</v>
      </c>
      <c r="B711" s="5" t="s">
        <v>13</v>
      </c>
      <c r="C711" s="5" t="s">
        <v>8</v>
      </c>
      <c r="D711" s="5" t="s">
        <v>16</v>
      </c>
      <c r="E711" s="6">
        <v>39144</v>
      </c>
      <c r="F711" s="7"/>
      <c r="G711" s="10">
        <v>45040</v>
      </c>
      <c r="H711" s="7">
        <v>5</v>
      </c>
      <c r="I711" s="12">
        <f>IF(OR(Table24[[#This Row],[Rating]]=4,Table24[[#This Row],[Rating]]=5), 0.05*Table24[[#This Row],[Salary]],0)</f>
        <v>2252</v>
      </c>
      <c r="J711" s="14">
        <f>VLOOKUP(Table24[[#This Row],[Salary]],'Tax rates'!A$2:C$8, 2) + VLOOKUP(Table24[[#This Row],[Salary]],'Tax rates'!A$2:C$8, 3) * (Table24[[#This Row],[Salary]] - VLOOKUP(Table24[[#This Row],[Salary]],'Tax rates'!A$2:C$8,1))</f>
        <v>5848.3</v>
      </c>
      <c r="K711" s="35">
        <f>Table24[[#This Row],[Salary]]-Table24[[#This Row],[Taxes]]</f>
        <v>39191.699999999997</v>
      </c>
    </row>
    <row r="712" spans="1:11" x14ac:dyDescent="0.25">
      <c r="A712" s="5" t="s">
        <v>410</v>
      </c>
      <c r="B712" s="5" t="s">
        <v>13</v>
      </c>
      <c r="C712" s="5" t="s">
        <v>8</v>
      </c>
      <c r="D712" s="5" t="s">
        <v>24</v>
      </c>
      <c r="E712" s="6">
        <v>41014</v>
      </c>
      <c r="F712" s="5" t="s">
        <v>4</v>
      </c>
      <c r="G712" s="10">
        <v>34110</v>
      </c>
      <c r="H712" s="7">
        <v>4</v>
      </c>
      <c r="I712" s="12">
        <f>IF(OR(Table24[[#This Row],[Rating]]=4,Table24[[#This Row],[Rating]]=5), 0.05*Table24[[#This Row],[Salary]],0)</f>
        <v>1705.5</v>
      </c>
      <c r="J712" s="14">
        <f>VLOOKUP(Table24[[#This Row],[Salary]],'Tax rates'!A$2:C$8, 2) + VLOOKUP(Table24[[#This Row],[Salary]],'Tax rates'!A$2:C$8, 3) * (Table24[[#This Row],[Salary]] - VLOOKUP(Table24[[#This Row],[Salary]],'Tax rates'!A$2:C$8,1))</f>
        <v>3902.7</v>
      </c>
      <c r="K712" s="35">
        <f>Table24[[#This Row],[Salary]]-Table24[[#This Row],[Taxes]]</f>
        <v>30207.3</v>
      </c>
    </row>
    <row r="713" spans="1:11" x14ac:dyDescent="0.25">
      <c r="A713" s="5" t="s">
        <v>322</v>
      </c>
      <c r="B713" s="5" t="s">
        <v>13</v>
      </c>
      <c r="C713" s="5" t="s">
        <v>63</v>
      </c>
      <c r="D713" s="5" t="s">
        <v>3</v>
      </c>
      <c r="E713" s="6">
        <v>40893</v>
      </c>
      <c r="F713" s="5" t="s">
        <v>11</v>
      </c>
      <c r="G713" s="10">
        <v>44620</v>
      </c>
      <c r="H713" s="7">
        <v>5</v>
      </c>
      <c r="I713" s="12">
        <f>IF(OR(Table24[[#This Row],[Rating]]=4,Table24[[#This Row],[Rating]]=5), 0.05*Table24[[#This Row],[Salary]],0)</f>
        <v>2231</v>
      </c>
      <c r="J713" s="14">
        <f>VLOOKUP(Table24[[#This Row],[Salary]],'Tax rates'!A$2:C$8, 2) + VLOOKUP(Table24[[#This Row],[Salary]],'Tax rates'!A$2:C$8, 3) * (Table24[[#This Row],[Salary]] - VLOOKUP(Table24[[#This Row],[Salary]],'Tax rates'!A$2:C$8,1))</f>
        <v>5755.9</v>
      </c>
      <c r="K713" s="35">
        <f>Table24[[#This Row],[Salary]]-Table24[[#This Row],[Taxes]]</f>
        <v>38864.1</v>
      </c>
    </row>
    <row r="714" spans="1:11" x14ac:dyDescent="0.25">
      <c r="A714" s="5" t="s">
        <v>738</v>
      </c>
      <c r="B714" s="5" t="s">
        <v>13</v>
      </c>
      <c r="C714" s="5" t="s">
        <v>63</v>
      </c>
      <c r="D714" s="5" t="s">
        <v>24</v>
      </c>
      <c r="E714" s="6">
        <v>39735</v>
      </c>
      <c r="F714" s="5" t="s">
        <v>25</v>
      </c>
      <c r="G714" s="10">
        <v>39620</v>
      </c>
      <c r="H714" s="7">
        <v>5</v>
      </c>
      <c r="I714" s="12">
        <f>IF(OR(Table24[[#This Row],[Rating]]=4,Table24[[#This Row],[Rating]]=5), 0.05*Table24[[#This Row],[Salary]],0)</f>
        <v>1981</v>
      </c>
      <c r="J714" s="14">
        <f>VLOOKUP(Table24[[#This Row],[Salary]],'Tax rates'!A$2:C$8, 2) + VLOOKUP(Table24[[#This Row],[Salary]],'Tax rates'!A$2:C$8, 3) * (Table24[[#This Row],[Salary]] - VLOOKUP(Table24[[#This Row],[Salary]],'Tax rates'!A$2:C$8,1))</f>
        <v>4655.8999999999996</v>
      </c>
      <c r="K714" s="35">
        <f>Table24[[#This Row],[Salary]]-Table24[[#This Row],[Taxes]]</f>
        <v>34964.1</v>
      </c>
    </row>
    <row r="715" spans="1:11" x14ac:dyDescent="0.25">
      <c r="A715" s="5" t="s">
        <v>497</v>
      </c>
      <c r="B715" s="5" t="s">
        <v>13</v>
      </c>
      <c r="C715" s="5" t="s">
        <v>2</v>
      </c>
      <c r="D715" s="5" t="s">
        <v>3</v>
      </c>
      <c r="E715" s="6">
        <v>39815</v>
      </c>
      <c r="F715" s="5" t="s">
        <v>11</v>
      </c>
      <c r="G715" s="10">
        <v>72060</v>
      </c>
      <c r="H715" s="7">
        <v>2</v>
      </c>
      <c r="I715" s="12">
        <f>IF(OR(Table24[[#This Row],[Rating]]=4,Table24[[#This Row],[Rating]]=5), 0.05*Table24[[#This Row],[Salary]],0)</f>
        <v>0</v>
      </c>
      <c r="J715" s="14">
        <f>VLOOKUP(Table24[[#This Row],[Salary]],'Tax rates'!A$2:C$8, 2) + VLOOKUP(Table24[[#This Row],[Salary]],'Tax rates'!A$2:C$8, 3) * (Table24[[#This Row],[Salary]] - VLOOKUP(Table24[[#This Row],[Salary]],'Tax rates'!A$2:C$8,1))</f>
        <v>11792.7</v>
      </c>
      <c r="K715" s="35">
        <f>Table24[[#This Row],[Salary]]-Table24[[#This Row],[Taxes]]</f>
        <v>60267.3</v>
      </c>
    </row>
    <row r="716" spans="1:11" x14ac:dyDescent="0.25">
      <c r="A716" s="5" t="s">
        <v>448</v>
      </c>
      <c r="B716" s="5" t="s">
        <v>13</v>
      </c>
      <c r="C716" s="5" t="s">
        <v>2</v>
      </c>
      <c r="D716" s="5" t="s">
        <v>3</v>
      </c>
      <c r="E716" s="6">
        <v>36081</v>
      </c>
      <c r="F716" s="5" t="s">
        <v>11</v>
      </c>
      <c r="G716" s="10">
        <v>67407</v>
      </c>
      <c r="H716" s="7">
        <v>5</v>
      </c>
      <c r="I716" s="12">
        <f>IF(OR(Table24[[#This Row],[Rating]]=4,Table24[[#This Row],[Rating]]=5), 0.05*Table24[[#This Row],[Salary]],0)</f>
        <v>3370.3500000000004</v>
      </c>
      <c r="J716" s="14">
        <f>VLOOKUP(Table24[[#This Row],[Salary]],'Tax rates'!A$2:C$8, 2) + VLOOKUP(Table24[[#This Row],[Salary]],'Tax rates'!A$2:C$8, 3) * (Table24[[#This Row],[Salary]] - VLOOKUP(Table24[[#This Row],[Salary]],'Tax rates'!A$2:C$8,1))</f>
        <v>10769.04</v>
      </c>
      <c r="K716" s="35">
        <f>Table24[[#This Row],[Salary]]-Table24[[#This Row],[Taxes]]</f>
        <v>56637.96</v>
      </c>
    </row>
    <row r="717" spans="1:11" x14ac:dyDescent="0.25">
      <c r="A717" s="5" t="s">
        <v>624</v>
      </c>
      <c r="B717" s="5" t="s">
        <v>13</v>
      </c>
      <c r="C717" s="5" t="s">
        <v>2</v>
      </c>
      <c r="D717" s="5" t="s">
        <v>3</v>
      </c>
      <c r="E717" s="6">
        <v>36360</v>
      </c>
      <c r="F717" s="5" t="s">
        <v>11</v>
      </c>
      <c r="G717" s="10">
        <v>67020</v>
      </c>
      <c r="H717" s="7">
        <v>1</v>
      </c>
      <c r="I717" s="12">
        <f>IF(OR(Table24[[#This Row],[Rating]]=4,Table24[[#This Row],[Rating]]=5), 0.05*Table24[[#This Row],[Salary]],0)</f>
        <v>0</v>
      </c>
      <c r="J717" s="14">
        <f>VLOOKUP(Table24[[#This Row],[Salary]],'Tax rates'!A$2:C$8, 2) + VLOOKUP(Table24[[#This Row],[Salary]],'Tax rates'!A$2:C$8, 3) * (Table24[[#This Row],[Salary]] - VLOOKUP(Table24[[#This Row],[Salary]],'Tax rates'!A$2:C$8,1))</f>
        <v>10683.9</v>
      </c>
      <c r="K717" s="35">
        <f>Table24[[#This Row],[Salary]]-Table24[[#This Row],[Taxes]]</f>
        <v>56336.1</v>
      </c>
    </row>
    <row r="718" spans="1:11" x14ac:dyDescent="0.25">
      <c r="A718" s="5" t="s">
        <v>615</v>
      </c>
      <c r="B718" s="5" t="s">
        <v>13</v>
      </c>
      <c r="C718" s="5" t="s">
        <v>2</v>
      </c>
      <c r="D718" s="5" t="s">
        <v>3</v>
      </c>
      <c r="E718" s="6">
        <v>38738</v>
      </c>
      <c r="F718" s="5" t="s">
        <v>9</v>
      </c>
      <c r="G718" s="10">
        <v>62965</v>
      </c>
      <c r="H718" s="7">
        <v>1</v>
      </c>
      <c r="I718" s="12">
        <f>IF(OR(Table24[[#This Row],[Rating]]=4,Table24[[#This Row],[Rating]]=5), 0.05*Table24[[#This Row],[Salary]],0)</f>
        <v>0</v>
      </c>
      <c r="J718" s="14">
        <f>VLOOKUP(Table24[[#This Row],[Salary]],'Tax rates'!A$2:C$8, 2) + VLOOKUP(Table24[[#This Row],[Salary]],'Tax rates'!A$2:C$8, 3) * (Table24[[#This Row],[Salary]] - VLOOKUP(Table24[[#This Row],[Salary]],'Tax rates'!A$2:C$8,1))</f>
        <v>9791.7999999999993</v>
      </c>
      <c r="K718" s="35">
        <f>Table24[[#This Row],[Salary]]-Table24[[#This Row],[Taxes]]</f>
        <v>53173.2</v>
      </c>
    </row>
    <row r="719" spans="1:11" x14ac:dyDescent="0.25">
      <c r="A719" s="5" t="s">
        <v>461</v>
      </c>
      <c r="B719" s="5" t="s">
        <v>13</v>
      </c>
      <c r="C719" s="5" t="s">
        <v>2</v>
      </c>
      <c r="D719" s="5" t="s">
        <v>16</v>
      </c>
      <c r="E719" s="6">
        <v>36070</v>
      </c>
      <c r="F719" s="7"/>
      <c r="G719" s="10">
        <v>59050</v>
      </c>
      <c r="H719" s="7">
        <v>4</v>
      </c>
      <c r="I719" s="12">
        <f>IF(OR(Table24[[#This Row],[Rating]]=4,Table24[[#This Row],[Rating]]=5), 0.05*Table24[[#This Row],[Salary]],0)</f>
        <v>2952.5</v>
      </c>
      <c r="J719" s="14">
        <f>VLOOKUP(Table24[[#This Row],[Salary]],'Tax rates'!A$2:C$8, 2) + VLOOKUP(Table24[[#This Row],[Salary]],'Tax rates'!A$2:C$8, 3) * (Table24[[#This Row],[Salary]] - VLOOKUP(Table24[[#This Row],[Salary]],'Tax rates'!A$2:C$8,1))</f>
        <v>8930.5</v>
      </c>
      <c r="K719" s="35">
        <f>Table24[[#This Row],[Salary]]-Table24[[#This Row],[Taxes]]</f>
        <v>50119.5</v>
      </c>
    </row>
    <row r="720" spans="1:11" x14ac:dyDescent="0.25">
      <c r="A720" s="5" t="s">
        <v>686</v>
      </c>
      <c r="B720" s="5" t="s">
        <v>13</v>
      </c>
      <c r="C720" s="5" t="s">
        <v>2</v>
      </c>
      <c r="D720" s="5" t="s">
        <v>3</v>
      </c>
      <c r="E720" s="6">
        <v>39123</v>
      </c>
      <c r="F720" s="5" t="s">
        <v>4</v>
      </c>
      <c r="G720" s="10">
        <v>54270</v>
      </c>
      <c r="H720" s="7">
        <v>3</v>
      </c>
      <c r="I720" s="12">
        <f>IF(OR(Table24[[#This Row],[Rating]]=4,Table24[[#This Row],[Rating]]=5), 0.05*Table24[[#This Row],[Salary]],0)</f>
        <v>0</v>
      </c>
      <c r="J720" s="14">
        <f>VLOOKUP(Table24[[#This Row],[Salary]],'Tax rates'!A$2:C$8, 2) + VLOOKUP(Table24[[#This Row],[Salary]],'Tax rates'!A$2:C$8, 3) * (Table24[[#This Row],[Salary]] - VLOOKUP(Table24[[#This Row],[Salary]],'Tax rates'!A$2:C$8,1))</f>
        <v>7878.9</v>
      </c>
      <c r="K720" s="35">
        <f>Table24[[#This Row],[Salary]]-Table24[[#This Row],[Taxes]]</f>
        <v>46391.1</v>
      </c>
    </row>
    <row r="721" spans="1:11" x14ac:dyDescent="0.25">
      <c r="A721" s="5" t="s">
        <v>707</v>
      </c>
      <c r="B721" s="5" t="s">
        <v>13</v>
      </c>
      <c r="C721" s="5" t="s">
        <v>2</v>
      </c>
      <c r="D721" s="5" t="s">
        <v>3</v>
      </c>
      <c r="E721" s="6">
        <v>39153</v>
      </c>
      <c r="F721" s="5" t="s">
        <v>11</v>
      </c>
      <c r="G721" s="10">
        <v>43600</v>
      </c>
      <c r="H721" s="7">
        <v>5</v>
      </c>
      <c r="I721" s="12">
        <f>IF(OR(Table24[[#This Row],[Rating]]=4,Table24[[#This Row],[Rating]]=5), 0.05*Table24[[#This Row],[Salary]],0)</f>
        <v>2180</v>
      </c>
      <c r="J721" s="14">
        <f>VLOOKUP(Table24[[#This Row],[Salary]],'Tax rates'!A$2:C$8, 2) + VLOOKUP(Table24[[#This Row],[Salary]],'Tax rates'!A$2:C$8, 3) * (Table24[[#This Row],[Salary]] - VLOOKUP(Table24[[#This Row],[Salary]],'Tax rates'!A$2:C$8,1))</f>
        <v>5531.5</v>
      </c>
      <c r="K721" s="35">
        <f>Table24[[#This Row],[Salary]]-Table24[[#This Row],[Taxes]]</f>
        <v>38068.5</v>
      </c>
    </row>
    <row r="722" spans="1:11" x14ac:dyDescent="0.25">
      <c r="A722" s="5" t="s">
        <v>12</v>
      </c>
      <c r="B722" s="5" t="s">
        <v>13</v>
      </c>
      <c r="C722" s="5" t="s">
        <v>2</v>
      </c>
      <c r="D722" s="5" t="s">
        <v>3</v>
      </c>
      <c r="E722" s="6">
        <v>36290</v>
      </c>
      <c r="F722" s="5" t="s">
        <v>11</v>
      </c>
      <c r="G722" s="10">
        <v>39000</v>
      </c>
      <c r="H722" s="7">
        <v>3</v>
      </c>
      <c r="I722" s="12">
        <f>IF(OR(Table24[[#This Row],[Rating]]=4,Table24[[#This Row],[Rating]]=5), 0.05*Table24[[#This Row],[Salary]],0)</f>
        <v>0</v>
      </c>
      <c r="J722" s="14">
        <f>VLOOKUP(Table24[[#This Row],[Salary]],'Tax rates'!A$2:C$8, 2) + VLOOKUP(Table24[[#This Row],[Salary]],'Tax rates'!A$2:C$8, 3) * (Table24[[#This Row],[Salary]] - VLOOKUP(Table24[[#This Row],[Salary]],'Tax rates'!A$2:C$8,1))</f>
        <v>4519.5</v>
      </c>
      <c r="K722" s="35">
        <f>Table24[[#This Row],[Salary]]-Table24[[#This Row],[Taxes]]</f>
        <v>34480.5</v>
      </c>
    </row>
    <row r="723" spans="1:11" x14ac:dyDescent="0.25">
      <c r="A723" s="5" t="s">
        <v>554</v>
      </c>
      <c r="B723" s="5" t="s">
        <v>13</v>
      </c>
      <c r="C723" s="5" t="s">
        <v>2</v>
      </c>
      <c r="D723" s="5" t="s">
        <v>3</v>
      </c>
      <c r="E723" s="6">
        <v>38237</v>
      </c>
      <c r="F723" s="5" t="s">
        <v>11</v>
      </c>
      <c r="G723" s="10">
        <v>31910</v>
      </c>
      <c r="H723" s="7">
        <v>5</v>
      </c>
      <c r="I723" s="12">
        <f>IF(OR(Table24[[#This Row],[Rating]]=4,Table24[[#This Row],[Rating]]=5), 0.05*Table24[[#This Row],[Salary]],0)</f>
        <v>1595.5</v>
      </c>
      <c r="J723" s="14">
        <f>VLOOKUP(Table24[[#This Row],[Salary]],'Tax rates'!A$2:C$8, 2) + VLOOKUP(Table24[[#This Row],[Salary]],'Tax rates'!A$2:C$8, 3) * (Table24[[#This Row],[Salary]] - VLOOKUP(Table24[[#This Row],[Salary]],'Tax rates'!A$2:C$8,1))</f>
        <v>3638.7</v>
      </c>
      <c r="K723" s="35">
        <f>Table24[[#This Row],[Salary]]-Table24[[#This Row],[Taxes]]</f>
        <v>28271.3</v>
      </c>
    </row>
    <row r="724" spans="1:11" x14ac:dyDescent="0.25">
      <c r="A724" s="5" t="s">
        <v>397</v>
      </c>
      <c r="B724" s="5" t="s">
        <v>13</v>
      </c>
      <c r="C724" s="5" t="s">
        <v>2</v>
      </c>
      <c r="D724" s="5" t="s">
        <v>32</v>
      </c>
      <c r="E724" s="6">
        <v>40561</v>
      </c>
      <c r="F724" s="7"/>
      <c r="G724" s="10">
        <v>30468</v>
      </c>
      <c r="H724" s="7">
        <v>2</v>
      </c>
      <c r="I724" s="12">
        <f>IF(OR(Table24[[#This Row],[Rating]]=4,Table24[[#This Row],[Rating]]=5), 0.05*Table24[[#This Row],[Salary]],0)</f>
        <v>0</v>
      </c>
      <c r="J724" s="14">
        <f>VLOOKUP(Table24[[#This Row],[Salary]],'Tax rates'!A$2:C$8, 2) + VLOOKUP(Table24[[#This Row],[Salary]],'Tax rates'!A$2:C$8, 3) * (Table24[[#This Row],[Salary]] - VLOOKUP(Table24[[#This Row],[Salary]],'Tax rates'!A$2:C$8,1))</f>
        <v>3465.66</v>
      </c>
      <c r="K724" s="35">
        <f>Table24[[#This Row],[Salary]]-Table24[[#This Row],[Taxes]]</f>
        <v>27002.34</v>
      </c>
    </row>
    <row r="725" spans="1:11" x14ac:dyDescent="0.25">
      <c r="A725" s="5" t="s">
        <v>625</v>
      </c>
      <c r="B725" s="5" t="s">
        <v>13</v>
      </c>
      <c r="C725" s="5" t="s">
        <v>2</v>
      </c>
      <c r="D725" s="5" t="s">
        <v>24</v>
      </c>
      <c r="E725" s="6">
        <v>37775</v>
      </c>
      <c r="F725" s="5" t="s">
        <v>25</v>
      </c>
      <c r="G725" s="10">
        <v>28525</v>
      </c>
      <c r="H725" s="7">
        <v>4</v>
      </c>
      <c r="I725" s="12">
        <f>IF(OR(Table24[[#This Row],[Rating]]=4,Table24[[#This Row],[Rating]]=5), 0.05*Table24[[#This Row],[Salary]],0)</f>
        <v>1426.25</v>
      </c>
      <c r="J725" s="14">
        <f>VLOOKUP(Table24[[#This Row],[Salary]],'Tax rates'!A$2:C$8, 2) + VLOOKUP(Table24[[#This Row],[Salary]],'Tax rates'!A$2:C$8, 3) * (Table24[[#This Row],[Salary]] - VLOOKUP(Table24[[#This Row],[Salary]],'Tax rates'!A$2:C$8,1))</f>
        <v>3232.5</v>
      </c>
      <c r="K725" s="35">
        <f>Table24[[#This Row],[Salary]]-Table24[[#This Row],[Taxes]]</f>
        <v>25292.5</v>
      </c>
    </row>
    <row r="726" spans="1:11" x14ac:dyDescent="0.25">
      <c r="A726" s="5" t="s">
        <v>706</v>
      </c>
      <c r="B726" s="5" t="s">
        <v>13</v>
      </c>
      <c r="C726" s="5" t="s">
        <v>2</v>
      </c>
      <c r="D726" s="5" t="s">
        <v>32</v>
      </c>
      <c r="E726" s="6">
        <v>35869</v>
      </c>
      <c r="F726" s="7"/>
      <c r="G726" s="10">
        <v>17912</v>
      </c>
      <c r="H726" s="7">
        <v>5</v>
      </c>
      <c r="I726" s="12">
        <f>IF(OR(Table24[[#This Row],[Rating]]=4,Table24[[#This Row],[Rating]]=5), 0.05*Table24[[#This Row],[Salary]],0)</f>
        <v>895.6</v>
      </c>
      <c r="J726" s="14">
        <f>VLOOKUP(Table24[[#This Row],[Salary]],'Tax rates'!A$2:C$8, 2) + VLOOKUP(Table24[[#This Row],[Salary]],'Tax rates'!A$2:C$8, 3) * (Table24[[#This Row],[Salary]] - VLOOKUP(Table24[[#This Row],[Salary]],'Tax rates'!A$2:C$8,1))</f>
        <v>1958.94</v>
      </c>
      <c r="K726" s="35">
        <f>Table24[[#This Row],[Salary]]-Table24[[#This Row],[Taxes]]</f>
        <v>15953.06</v>
      </c>
    </row>
    <row r="727" spans="1:11" x14ac:dyDescent="0.25">
      <c r="A727" s="5" t="s">
        <v>445</v>
      </c>
      <c r="B727" s="5" t="s">
        <v>13</v>
      </c>
      <c r="C727" s="5" t="s">
        <v>35</v>
      </c>
      <c r="D727" s="5" t="s">
        <v>16</v>
      </c>
      <c r="E727" s="6">
        <v>39728</v>
      </c>
      <c r="F727" s="7"/>
      <c r="G727" s="10">
        <v>86040</v>
      </c>
      <c r="H727" s="7">
        <v>5</v>
      </c>
      <c r="I727" s="12">
        <f>IF(OR(Table24[[#This Row],[Rating]]=4,Table24[[#This Row],[Rating]]=5), 0.05*Table24[[#This Row],[Salary]],0)</f>
        <v>4302</v>
      </c>
      <c r="J727" s="14">
        <f>VLOOKUP(Table24[[#This Row],[Salary]],'Tax rates'!A$2:C$8, 2) + VLOOKUP(Table24[[#This Row],[Salary]],'Tax rates'!A$2:C$8, 3) * (Table24[[#This Row],[Salary]] - VLOOKUP(Table24[[#This Row],[Salary]],'Tax rates'!A$2:C$8,1))</f>
        <v>14939.1</v>
      </c>
      <c r="K727" s="35">
        <f>Table24[[#This Row],[Salary]]-Table24[[#This Row],[Taxes]]</f>
        <v>71100.899999999994</v>
      </c>
    </row>
    <row r="728" spans="1:11" x14ac:dyDescent="0.25">
      <c r="A728" s="5" t="s">
        <v>421</v>
      </c>
      <c r="B728" s="5" t="s">
        <v>13</v>
      </c>
      <c r="C728" s="5" t="s">
        <v>35</v>
      </c>
      <c r="D728" s="5" t="s">
        <v>3</v>
      </c>
      <c r="E728" s="6">
        <v>38347</v>
      </c>
      <c r="F728" s="5" t="s">
        <v>11</v>
      </c>
      <c r="G728" s="10">
        <v>81340</v>
      </c>
      <c r="H728" s="7">
        <v>2</v>
      </c>
      <c r="I728" s="12">
        <f>IF(OR(Table24[[#This Row],[Rating]]=4,Table24[[#This Row],[Rating]]=5), 0.05*Table24[[#This Row],[Salary]],0)</f>
        <v>0</v>
      </c>
      <c r="J728" s="14">
        <f>VLOOKUP(Table24[[#This Row],[Salary]],'Tax rates'!A$2:C$8, 2) + VLOOKUP(Table24[[#This Row],[Salary]],'Tax rates'!A$2:C$8, 3) * (Table24[[#This Row],[Salary]] - VLOOKUP(Table24[[#This Row],[Salary]],'Tax rates'!A$2:C$8,1))</f>
        <v>13834.3</v>
      </c>
      <c r="K728" s="35">
        <f>Table24[[#This Row],[Salary]]-Table24[[#This Row],[Taxes]]</f>
        <v>67505.7</v>
      </c>
    </row>
    <row r="729" spans="1:11" x14ac:dyDescent="0.25">
      <c r="A729" s="5" t="s">
        <v>266</v>
      </c>
      <c r="B729" s="5" t="s">
        <v>13</v>
      </c>
      <c r="C729" s="5" t="s">
        <v>35</v>
      </c>
      <c r="D729" s="5" t="s">
        <v>3</v>
      </c>
      <c r="E729" s="6">
        <v>39602</v>
      </c>
      <c r="F729" s="5" t="s">
        <v>4</v>
      </c>
      <c r="G729" s="10">
        <v>79380</v>
      </c>
      <c r="H729" s="7">
        <v>5</v>
      </c>
      <c r="I729" s="12">
        <f>IF(OR(Table24[[#This Row],[Rating]]=4,Table24[[#This Row],[Rating]]=5), 0.05*Table24[[#This Row],[Salary]],0)</f>
        <v>3969</v>
      </c>
      <c r="J729" s="14">
        <f>VLOOKUP(Table24[[#This Row],[Salary]],'Tax rates'!A$2:C$8, 2) + VLOOKUP(Table24[[#This Row],[Salary]],'Tax rates'!A$2:C$8, 3) * (Table24[[#This Row],[Salary]] - VLOOKUP(Table24[[#This Row],[Salary]],'Tax rates'!A$2:C$8,1))</f>
        <v>13403.1</v>
      </c>
      <c r="K729" s="35">
        <f>Table24[[#This Row],[Salary]]-Table24[[#This Row],[Taxes]]</f>
        <v>65976.899999999994</v>
      </c>
    </row>
    <row r="730" spans="1:11" x14ac:dyDescent="0.25">
      <c r="A730" s="5" t="s">
        <v>668</v>
      </c>
      <c r="B730" s="5" t="s">
        <v>13</v>
      </c>
      <c r="C730" s="5" t="s">
        <v>35</v>
      </c>
      <c r="D730" s="5" t="s">
        <v>16</v>
      </c>
      <c r="E730" s="6">
        <v>41125</v>
      </c>
      <c r="F730" s="7"/>
      <c r="G730" s="10">
        <v>70300</v>
      </c>
      <c r="H730" s="7">
        <v>3</v>
      </c>
      <c r="I730" s="12">
        <f>IF(OR(Table24[[#This Row],[Rating]]=4,Table24[[#This Row],[Rating]]=5), 0.05*Table24[[#This Row],[Salary]],0)</f>
        <v>0</v>
      </c>
      <c r="J730" s="14">
        <f>VLOOKUP(Table24[[#This Row],[Salary]],'Tax rates'!A$2:C$8, 2) + VLOOKUP(Table24[[#This Row],[Salary]],'Tax rates'!A$2:C$8, 3) * (Table24[[#This Row],[Salary]] - VLOOKUP(Table24[[#This Row],[Salary]],'Tax rates'!A$2:C$8,1))</f>
        <v>11405.5</v>
      </c>
      <c r="K730" s="35">
        <f>Table24[[#This Row],[Salary]]-Table24[[#This Row],[Taxes]]</f>
        <v>58894.5</v>
      </c>
    </row>
    <row r="731" spans="1:11" x14ac:dyDescent="0.25">
      <c r="A731" s="5" t="s">
        <v>94</v>
      </c>
      <c r="B731" s="5" t="s">
        <v>13</v>
      </c>
      <c r="C731" s="5" t="s">
        <v>35</v>
      </c>
      <c r="D731" s="5" t="s">
        <v>16</v>
      </c>
      <c r="E731" s="6">
        <v>41094</v>
      </c>
      <c r="F731" s="7"/>
      <c r="G731" s="10">
        <v>59128</v>
      </c>
      <c r="H731" s="7">
        <v>4</v>
      </c>
      <c r="I731" s="12">
        <f>IF(OR(Table24[[#This Row],[Rating]]=4,Table24[[#This Row],[Rating]]=5), 0.05*Table24[[#This Row],[Salary]],0)</f>
        <v>2956.4</v>
      </c>
      <c r="J731" s="14">
        <f>VLOOKUP(Table24[[#This Row],[Salary]],'Tax rates'!A$2:C$8, 2) + VLOOKUP(Table24[[#This Row],[Salary]],'Tax rates'!A$2:C$8, 3) * (Table24[[#This Row],[Salary]] - VLOOKUP(Table24[[#This Row],[Salary]],'Tax rates'!A$2:C$8,1))</f>
        <v>8947.66</v>
      </c>
      <c r="K731" s="35">
        <f>Table24[[#This Row],[Salary]]-Table24[[#This Row],[Taxes]]</f>
        <v>50180.34</v>
      </c>
    </row>
    <row r="732" spans="1:11" x14ac:dyDescent="0.25">
      <c r="A732" s="5" t="s">
        <v>84</v>
      </c>
      <c r="B732" s="5" t="s">
        <v>13</v>
      </c>
      <c r="C732" s="5" t="s">
        <v>35</v>
      </c>
      <c r="D732" s="5" t="s">
        <v>16</v>
      </c>
      <c r="E732" s="6">
        <v>36193</v>
      </c>
      <c r="F732" s="7"/>
      <c r="G732" s="10">
        <v>58250</v>
      </c>
      <c r="H732" s="7">
        <v>2</v>
      </c>
      <c r="I732" s="12">
        <f>IF(OR(Table24[[#This Row],[Rating]]=4,Table24[[#This Row],[Rating]]=5), 0.05*Table24[[#This Row],[Salary]],0)</f>
        <v>0</v>
      </c>
      <c r="J732" s="14">
        <f>VLOOKUP(Table24[[#This Row],[Salary]],'Tax rates'!A$2:C$8, 2) + VLOOKUP(Table24[[#This Row],[Salary]],'Tax rates'!A$2:C$8, 3) * (Table24[[#This Row],[Salary]] - VLOOKUP(Table24[[#This Row],[Salary]],'Tax rates'!A$2:C$8,1))</f>
        <v>8754.5</v>
      </c>
      <c r="K732" s="35">
        <f>Table24[[#This Row],[Salary]]-Table24[[#This Row],[Taxes]]</f>
        <v>49495.5</v>
      </c>
    </row>
    <row r="733" spans="1:11" x14ac:dyDescent="0.25">
      <c r="A733" s="5" t="s">
        <v>661</v>
      </c>
      <c r="B733" s="5" t="s">
        <v>13</v>
      </c>
      <c r="C733" s="5" t="s">
        <v>35</v>
      </c>
      <c r="D733" s="5" t="s">
        <v>32</v>
      </c>
      <c r="E733" s="6">
        <v>39742</v>
      </c>
      <c r="F733" s="7"/>
      <c r="G733" s="10">
        <v>37344</v>
      </c>
      <c r="H733" s="7">
        <v>2</v>
      </c>
      <c r="I733" s="12">
        <f>IF(OR(Table24[[#This Row],[Rating]]=4,Table24[[#This Row],[Rating]]=5), 0.05*Table24[[#This Row],[Salary]],0)</f>
        <v>0</v>
      </c>
      <c r="J733" s="14">
        <f>VLOOKUP(Table24[[#This Row],[Salary]],'Tax rates'!A$2:C$8, 2) + VLOOKUP(Table24[[#This Row],[Salary]],'Tax rates'!A$2:C$8, 3) * (Table24[[#This Row],[Salary]] - VLOOKUP(Table24[[#This Row],[Salary]],'Tax rates'!A$2:C$8,1))</f>
        <v>4290.78</v>
      </c>
      <c r="K733" s="35">
        <f>Table24[[#This Row],[Salary]]-Table24[[#This Row],[Taxes]]</f>
        <v>33053.22</v>
      </c>
    </row>
    <row r="734" spans="1:11" x14ac:dyDescent="0.25">
      <c r="A734" s="5" t="s">
        <v>495</v>
      </c>
      <c r="B734" s="5" t="s">
        <v>13</v>
      </c>
      <c r="C734" s="5" t="s">
        <v>35</v>
      </c>
      <c r="D734" s="5" t="s">
        <v>16</v>
      </c>
      <c r="E734" s="6">
        <v>40706</v>
      </c>
      <c r="F734" s="7"/>
      <c r="G734" s="10">
        <v>34680</v>
      </c>
      <c r="H734" s="7">
        <v>5</v>
      </c>
      <c r="I734" s="12">
        <f>IF(OR(Table24[[#This Row],[Rating]]=4,Table24[[#This Row],[Rating]]=5), 0.05*Table24[[#This Row],[Salary]],0)</f>
        <v>1734</v>
      </c>
      <c r="J734" s="14">
        <f>VLOOKUP(Table24[[#This Row],[Salary]],'Tax rates'!A$2:C$8, 2) + VLOOKUP(Table24[[#This Row],[Salary]],'Tax rates'!A$2:C$8, 3) * (Table24[[#This Row],[Salary]] - VLOOKUP(Table24[[#This Row],[Salary]],'Tax rates'!A$2:C$8,1))</f>
        <v>3971.1</v>
      </c>
      <c r="K734" s="35">
        <f>Table24[[#This Row],[Salary]]-Table24[[#This Row],[Taxes]]</f>
        <v>30708.9</v>
      </c>
    </row>
    <row r="735" spans="1:11" x14ac:dyDescent="0.25">
      <c r="A735" s="5" t="s">
        <v>536</v>
      </c>
      <c r="B735" s="5" t="s">
        <v>13</v>
      </c>
      <c r="C735" s="5" t="s">
        <v>35</v>
      </c>
      <c r="D735" s="5" t="s">
        <v>24</v>
      </c>
      <c r="E735" s="6">
        <v>39343</v>
      </c>
      <c r="F735" s="5" t="s">
        <v>9</v>
      </c>
      <c r="G735" s="10">
        <v>23000</v>
      </c>
      <c r="H735" s="7">
        <v>4</v>
      </c>
      <c r="I735" s="12">
        <f>IF(OR(Table24[[#This Row],[Rating]]=4,Table24[[#This Row],[Rating]]=5), 0.05*Table24[[#This Row],[Salary]],0)</f>
        <v>1150</v>
      </c>
      <c r="J735" s="14">
        <f>VLOOKUP(Table24[[#This Row],[Salary]],'Tax rates'!A$2:C$8, 2) + VLOOKUP(Table24[[#This Row],[Salary]],'Tax rates'!A$2:C$8, 3) * (Table24[[#This Row],[Salary]] - VLOOKUP(Table24[[#This Row],[Salary]],'Tax rates'!A$2:C$8,1))</f>
        <v>2569.5</v>
      </c>
      <c r="K735" s="35">
        <f>Table24[[#This Row],[Salary]]-Table24[[#This Row],[Taxes]]</f>
        <v>20430.5</v>
      </c>
    </row>
    <row r="736" spans="1:11" x14ac:dyDescent="0.25">
      <c r="A736" s="5" t="s">
        <v>404</v>
      </c>
      <c r="B736" s="5" t="s">
        <v>13</v>
      </c>
      <c r="C736" s="5" t="s">
        <v>35</v>
      </c>
      <c r="D736" s="5" t="s">
        <v>24</v>
      </c>
      <c r="E736" s="6">
        <v>38805</v>
      </c>
      <c r="F736" s="5" t="s">
        <v>25</v>
      </c>
      <c r="G736" s="10">
        <v>13690</v>
      </c>
      <c r="H736" s="7">
        <v>5</v>
      </c>
      <c r="I736" s="12">
        <f>IF(OR(Table24[[#This Row],[Rating]]=4,Table24[[#This Row],[Rating]]=5), 0.05*Table24[[#This Row],[Salary]],0)</f>
        <v>684.5</v>
      </c>
      <c r="J736" s="14">
        <f>VLOOKUP(Table24[[#This Row],[Salary]],'Tax rates'!A$2:C$8, 2) + VLOOKUP(Table24[[#This Row],[Salary]],'Tax rates'!A$2:C$8, 3) * (Table24[[#This Row],[Salary]] - VLOOKUP(Table24[[#This Row],[Salary]],'Tax rates'!A$2:C$8,1))</f>
        <v>1452.3</v>
      </c>
      <c r="K736" s="35">
        <f>Table24[[#This Row],[Salary]]-Table24[[#This Row],[Taxes]]</f>
        <v>12237.7</v>
      </c>
    </row>
    <row r="737" spans="1:11" x14ac:dyDescent="0.25">
      <c r="A737" s="5" t="s">
        <v>190</v>
      </c>
      <c r="B737" s="5" t="s">
        <v>13</v>
      </c>
      <c r="C737" s="5" t="s">
        <v>46</v>
      </c>
      <c r="D737" s="5" t="s">
        <v>16</v>
      </c>
      <c r="E737" s="6">
        <v>40692</v>
      </c>
      <c r="F737" s="7"/>
      <c r="G737" s="10">
        <v>85510</v>
      </c>
      <c r="H737" s="7">
        <v>4</v>
      </c>
      <c r="I737" s="12">
        <f>IF(OR(Table24[[#This Row],[Rating]]=4,Table24[[#This Row],[Rating]]=5), 0.05*Table24[[#This Row],[Salary]],0)</f>
        <v>4275.5</v>
      </c>
      <c r="J737" s="14">
        <f>VLOOKUP(Table24[[#This Row],[Salary]],'Tax rates'!A$2:C$8, 2) + VLOOKUP(Table24[[#This Row],[Salary]],'Tax rates'!A$2:C$8, 3) * (Table24[[#This Row],[Salary]] - VLOOKUP(Table24[[#This Row],[Salary]],'Tax rates'!A$2:C$8,1))</f>
        <v>14811.9</v>
      </c>
      <c r="K737" s="35">
        <f>Table24[[#This Row],[Salary]]-Table24[[#This Row],[Taxes]]</f>
        <v>70698.100000000006</v>
      </c>
    </row>
    <row r="738" spans="1:11" x14ac:dyDescent="0.25">
      <c r="A738" s="5" t="s">
        <v>416</v>
      </c>
      <c r="B738" s="5" t="s">
        <v>13</v>
      </c>
      <c r="C738" s="5" t="s">
        <v>46</v>
      </c>
      <c r="D738" s="5" t="s">
        <v>3</v>
      </c>
      <c r="E738" s="6">
        <v>37073</v>
      </c>
      <c r="F738" s="5" t="s">
        <v>9</v>
      </c>
      <c r="G738" s="10">
        <v>40680</v>
      </c>
      <c r="H738" s="7">
        <v>5</v>
      </c>
      <c r="I738" s="12">
        <f>IF(OR(Table24[[#This Row],[Rating]]=4,Table24[[#This Row],[Rating]]=5), 0.05*Table24[[#This Row],[Salary]],0)</f>
        <v>2034</v>
      </c>
      <c r="J738" s="14">
        <f>VLOOKUP(Table24[[#This Row],[Salary]],'Tax rates'!A$2:C$8, 2) + VLOOKUP(Table24[[#This Row],[Salary]],'Tax rates'!A$2:C$8, 3) * (Table24[[#This Row],[Salary]] - VLOOKUP(Table24[[#This Row],[Salary]],'Tax rates'!A$2:C$8,1))</f>
        <v>4889.1000000000004</v>
      </c>
      <c r="K738" s="35">
        <f>Table24[[#This Row],[Salary]]-Table24[[#This Row],[Taxes]]</f>
        <v>35790.9</v>
      </c>
    </row>
    <row r="739" spans="1:11" x14ac:dyDescent="0.25">
      <c r="A739" s="5" t="s">
        <v>457</v>
      </c>
      <c r="B739" s="5" t="s">
        <v>13</v>
      </c>
      <c r="C739" s="5" t="s">
        <v>37</v>
      </c>
      <c r="D739" s="5" t="s">
        <v>16</v>
      </c>
      <c r="E739" s="6">
        <v>36047</v>
      </c>
      <c r="F739" s="7"/>
      <c r="G739" s="10">
        <v>72480</v>
      </c>
      <c r="H739" s="7">
        <v>2</v>
      </c>
      <c r="I739" s="12">
        <f>IF(OR(Table24[[#This Row],[Rating]]=4,Table24[[#This Row],[Rating]]=5), 0.05*Table24[[#This Row],[Salary]],0)</f>
        <v>0</v>
      </c>
      <c r="J739" s="14">
        <f>VLOOKUP(Table24[[#This Row],[Salary]],'Tax rates'!A$2:C$8, 2) + VLOOKUP(Table24[[#This Row],[Salary]],'Tax rates'!A$2:C$8, 3) * (Table24[[#This Row],[Salary]] - VLOOKUP(Table24[[#This Row],[Salary]],'Tax rates'!A$2:C$8,1))</f>
        <v>11885.1</v>
      </c>
      <c r="K739" s="35">
        <f>Table24[[#This Row],[Salary]]-Table24[[#This Row],[Taxes]]</f>
        <v>60594.9</v>
      </c>
    </row>
    <row r="740" spans="1:11" x14ac:dyDescent="0.25">
      <c r="A740" s="5" t="s">
        <v>493</v>
      </c>
      <c r="B740" s="5" t="s">
        <v>13</v>
      </c>
      <c r="C740" s="5" t="s">
        <v>37</v>
      </c>
      <c r="D740" s="5" t="s">
        <v>16</v>
      </c>
      <c r="E740" s="6">
        <v>37236</v>
      </c>
      <c r="F740" s="7"/>
      <c r="G740" s="10">
        <v>29540</v>
      </c>
      <c r="H740" s="7">
        <v>3</v>
      </c>
      <c r="I740" s="12">
        <f>IF(OR(Table24[[#This Row],[Rating]]=4,Table24[[#This Row],[Rating]]=5), 0.05*Table24[[#This Row],[Salary]],0)</f>
        <v>0</v>
      </c>
      <c r="J740" s="14">
        <f>VLOOKUP(Table24[[#This Row],[Salary]],'Tax rates'!A$2:C$8, 2) + VLOOKUP(Table24[[#This Row],[Salary]],'Tax rates'!A$2:C$8, 3) * (Table24[[#This Row],[Salary]] - VLOOKUP(Table24[[#This Row],[Salary]],'Tax rates'!A$2:C$8,1))</f>
        <v>3354.2999999999997</v>
      </c>
      <c r="K740" s="35">
        <f>Table24[[#This Row],[Salary]]-Table24[[#This Row],[Taxes]]</f>
        <v>26185.7</v>
      </c>
    </row>
    <row r="741" spans="1:11" x14ac:dyDescent="0.25">
      <c r="A741" s="5" t="s">
        <v>622</v>
      </c>
      <c r="B741" s="5" t="s">
        <v>13</v>
      </c>
      <c r="C741" s="5" t="s">
        <v>106</v>
      </c>
      <c r="D741" s="5" t="s">
        <v>16</v>
      </c>
      <c r="E741" s="6">
        <v>36777</v>
      </c>
      <c r="F741" s="7"/>
      <c r="G741" s="10">
        <v>76690</v>
      </c>
      <c r="H741" s="7">
        <v>3</v>
      </c>
      <c r="I741" s="12">
        <f>IF(OR(Table24[[#This Row],[Rating]]=4,Table24[[#This Row],[Rating]]=5), 0.05*Table24[[#This Row],[Salary]],0)</f>
        <v>0</v>
      </c>
      <c r="J741" s="14">
        <f>VLOOKUP(Table24[[#This Row],[Salary]],'Tax rates'!A$2:C$8, 2) + VLOOKUP(Table24[[#This Row],[Salary]],'Tax rates'!A$2:C$8, 3) * (Table24[[#This Row],[Salary]] - VLOOKUP(Table24[[#This Row],[Salary]],'Tax rates'!A$2:C$8,1))</f>
        <v>12811.3</v>
      </c>
      <c r="K741" s="35">
        <f>Table24[[#This Row],[Salary]]-Table24[[#This Row],[Taxes]]</f>
        <v>63878.7</v>
      </c>
    </row>
    <row r="742" spans="1:11" x14ac:dyDescent="0.25">
      <c r="A742" s="5" t="s">
        <v>123</v>
      </c>
      <c r="B742" s="5" t="s">
        <v>13</v>
      </c>
      <c r="C742" s="5" t="s">
        <v>106</v>
      </c>
      <c r="D742" s="5" t="s">
        <v>3</v>
      </c>
      <c r="E742" s="6">
        <v>39704</v>
      </c>
      <c r="F742" s="5" t="s">
        <v>9</v>
      </c>
      <c r="G742" s="10">
        <v>58290</v>
      </c>
      <c r="H742" s="7">
        <v>5</v>
      </c>
      <c r="I742" s="12">
        <f>IF(OR(Table24[[#This Row],[Rating]]=4,Table24[[#This Row],[Rating]]=5), 0.05*Table24[[#This Row],[Salary]],0)</f>
        <v>2914.5</v>
      </c>
      <c r="J742" s="14">
        <f>VLOOKUP(Table24[[#This Row],[Salary]],'Tax rates'!A$2:C$8, 2) + VLOOKUP(Table24[[#This Row],[Salary]],'Tax rates'!A$2:C$8, 3) * (Table24[[#This Row],[Salary]] - VLOOKUP(Table24[[#This Row],[Salary]],'Tax rates'!A$2:C$8,1))</f>
        <v>8763.2999999999993</v>
      </c>
      <c r="K742" s="35">
        <f>Table24[[#This Row],[Salary]]-Table24[[#This Row],[Taxes]]</f>
        <v>49526.7</v>
      </c>
    </row>
    <row r="743" spans="1:11" x14ac:dyDescent="0.25">
      <c r="A743" s="5" t="s">
        <v>261</v>
      </c>
      <c r="B743" s="5" t="s">
        <v>13</v>
      </c>
      <c r="C743" s="5" t="s">
        <v>106</v>
      </c>
      <c r="D743" s="5" t="s">
        <v>32</v>
      </c>
      <c r="E743" s="6">
        <v>40126</v>
      </c>
      <c r="F743" s="7"/>
      <c r="G743" s="10">
        <v>10636</v>
      </c>
      <c r="H743" s="7">
        <v>4</v>
      </c>
      <c r="I743" s="12">
        <f>IF(OR(Table24[[#This Row],[Rating]]=4,Table24[[#This Row],[Rating]]=5), 0.05*Table24[[#This Row],[Salary]],0)</f>
        <v>531.80000000000007</v>
      </c>
      <c r="J743" s="14">
        <f>VLOOKUP(Table24[[#This Row],[Salary]],'Tax rates'!A$2:C$8, 2) + VLOOKUP(Table24[[#This Row],[Salary]],'Tax rates'!A$2:C$8, 3) * (Table24[[#This Row],[Salary]] - VLOOKUP(Table24[[#This Row],[Salary]],'Tax rates'!A$2:C$8,1))</f>
        <v>1085.82</v>
      </c>
      <c r="K743" s="35">
        <f>Table24[[#This Row],[Salary]]-Table24[[#This Row],[Taxes]]</f>
        <v>9550.18</v>
      </c>
    </row>
    <row r="744" spans="1:11" x14ac:dyDescent="0.25">
      <c r="A744" s="8" t="s">
        <v>788</v>
      </c>
      <c r="B744" s="8">
        <f>SUBTOTAL(103,Table24[Building])</f>
        <v>742</v>
      </c>
      <c r="C744" s="8"/>
      <c r="D744" s="8"/>
      <c r="E744" s="8"/>
      <c r="F744" s="8"/>
      <c r="G744" s="16">
        <f>SUBTOTAL(101,Table24[Salary])</f>
        <v>51102.708502024288</v>
      </c>
      <c r="H744" s="8"/>
      <c r="I744" s="15">
        <f>SUBTOTAL(109,Table24[Bonus])</f>
        <v>868532.2</v>
      </c>
      <c r="J744" s="15">
        <f>SUBTOTAL(109,Table24[Taxes])</f>
        <v>5610052.7399999993</v>
      </c>
      <c r="K744"/>
    </row>
  </sheetData>
  <dataValidations count="1">
    <dataValidation type="whole" allowBlank="1" showInputMessage="1" showErrorMessage="1" errorTitle="Error" error="Must be between 1 and 5" promptTitle="Rating" prompt="Insert a number between 1 and 5" sqref="H2:H743" xr:uid="{00000000-0002-0000-0300-000000000000}">
      <formula1>1</formula1>
      <formula2>5</formula2>
    </dataValidation>
  </dataValidations>
  <pageMargins left="0.7" right="0.7" top="0.75" bottom="0.75" header="0.3" footer="0.3"/>
  <pageSetup orientation="portrait" horizontalDpi="4294967292" verticalDpi="429496729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1000000}">
          <x14:formula1>
            <xm:f>'Data validation lists'!$A$2:$A$7</xm:f>
          </x14:formula1>
          <xm:sqref>B2:B743</xm:sqref>
        </x14:dataValidation>
        <x14:dataValidation type="list" allowBlank="1" showInputMessage="1" showErrorMessage="1" xr:uid="{00000000-0002-0000-0300-000002000000}">
          <x14:formula1>
            <xm:f>'Data validation lists'!$C$2:$C$22</xm:f>
          </x14:formula1>
          <xm:sqref>C2:C743</xm:sqref>
        </x14:dataValidation>
        <x14:dataValidation type="list" allowBlank="1" showInputMessage="1" showErrorMessage="1" xr:uid="{00000000-0002-0000-0300-000003000000}">
          <x14:formula1>
            <xm:f>'Data validation lists'!$E$2:$E$5</xm:f>
          </x14:formula1>
          <xm:sqref>D2:D743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tabSelected="1" workbookViewId="0">
      <selection activeCell="G6" sqref="G6"/>
    </sheetView>
  </sheetViews>
  <sheetFormatPr defaultColWidth="8.85546875" defaultRowHeight="15" x14ac:dyDescent="0.25"/>
  <cols>
    <col min="3" max="3" width="23" bestFit="1" customWidth="1"/>
  </cols>
  <sheetData>
    <row r="1" spans="1:7" s="4" customFormat="1" x14ac:dyDescent="0.25">
      <c r="A1" s="4" t="s">
        <v>789</v>
      </c>
      <c r="C1" s="4" t="s">
        <v>790</v>
      </c>
      <c r="E1" s="4" t="s">
        <v>791</v>
      </c>
      <c r="G1" s="4" t="s">
        <v>806</v>
      </c>
    </row>
    <row r="2" spans="1:7" x14ac:dyDescent="0.25">
      <c r="A2" s="23" t="s">
        <v>6</v>
      </c>
      <c r="B2" s="24"/>
      <c r="C2" s="23" t="s">
        <v>30</v>
      </c>
      <c r="D2" s="24"/>
      <c r="E2" s="23" t="s">
        <v>16</v>
      </c>
      <c r="G2" s="24">
        <v>1</v>
      </c>
    </row>
    <row r="3" spans="1:7" x14ac:dyDescent="0.25">
      <c r="A3" s="23" t="s">
        <v>1</v>
      </c>
      <c r="B3" s="24"/>
      <c r="C3" s="23" t="s">
        <v>197</v>
      </c>
      <c r="D3" s="24"/>
      <c r="E3" s="23" t="s">
        <v>3</v>
      </c>
      <c r="G3" s="24">
        <v>2</v>
      </c>
    </row>
    <row r="4" spans="1:7" x14ac:dyDescent="0.25">
      <c r="A4" s="23" t="s">
        <v>51</v>
      </c>
      <c r="B4" s="24"/>
      <c r="C4" s="23" t="s">
        <v>20</v>
      </c>
      <c r="D4" s="24"/>
      <c r="E4" s="23" t="s">
        <v>24</v>
      </c>
      <c r="G4" s="24">
        <v>3</v>
      </c>
    </row>
    <row r="5" spans="1:7" x14ac:dyDescent="0.25">
      <c r="A5" s="23" t="s">
        <v>27</v>
      </c>
      <c r="B5" s="24"/>
      <c r="C5" s="23" t="s">
        <v>73</v>
      </c>
      <c r="D5" s="24"/>
      <c r="E5" s="23" t="s">
        <v>32</v>
      </c>
      <c r="G5" s="38">
        <v>4</v>
      </c>
    </row>
    <row r="6" spans="1:7" x14ac:dyDescent="0.25">
      <c r="A6" s="23" t="s">
        <v>29</v>
      </c>
      <c r="B6" s="24"/>
      <c r="C6" s="23" t="s">
        <v>138</v>
      </c>
      <c r="D6" s="24"/>
      <c r="E6" s="24"/>
      <c r="G6" s="38">
        <v>5</v>
      </c>
    </row>
    <row r="7" spans="1:7" x14ac:dyDescent="0.25">
      <c r="A7" s="23" t="s">
        <v>13</v>
      </c>
      <c r="B7" s="24"/>
      <c r="C7" s="23" t="s">
        <v>75</v>
      </c>
      <c r="D7" s="24"/>
      <c r="E7" s="24"/>
      <c r="G7" s="24"/>
    </row>
    <row r="8" spans="1:7" x14ac:dyDescent="0.25">
      <c r="A8" s="24"/>
      <c r="B8" s="24"/>
      <c r="C8" s="23" t="s">
        <v>166</v>
      </c>
      <c r="D8" s="24"/>
      <c r="E8" s="24"/>
      <c r="G8" s="24"/>
    </row>
    <row r="9" spans="1:7" x14ac:dyDescent="0.25">
      <c r="A9" s="24"/>
      <c r="B9" s="24"/>
      <c r="C9" s="23" t="s">
        <v>57</v>
      </c>
      <c r="D9" s="24"/>
      <c r="E9" s="24"/>
      <c r="G9" s="24"/>
    </row>
    <row r="10" spans="1:7" x14ac:dyDescent="0.25">
      <c r="A10" s="24"/>
      <c r="B10" s="24"/>
      <c r="C10" s="23" t="s">
        <v>23</v>
      </c>
      <c r="D10" s="24"/>
      <c r="E10" s="24"/>
      <c r="G10" s="24"/>
    </row>
    <row r="11" spans="1:7" x14ac:dyDescent="0.25">
      <c r="A11" s="24"/>
      <c r="B11" s="24"/>
      <c r="C11" s="23" t="s">
        <v>92</v>
      </c>
      <c r="D11" s="24"/>
      <c r="E11" s="24"/>
      <c r="G11" s="24"/>
    </row>
    <row r="12" spans="1:7" x14ac:dyDescent="0.25">
      <c r="A12" s="24"/>
      <c r="B12" s="24"/>
      <c r="C12" s="23" t="s">
        <v>18</v>
      </c>
      <c r="D12" s="24"/>
      <c r="E12" s="24"/>
      <c r="G12" s="24"/>
    </row>
    <row r="13" spans="1:7" x14ac:dyDescent="0.25">
      <c r="A13" s="24"/>
      <c r="B13" s="24"/>
      <c r="C13" s="23" t="s">
        <v>15</v>
      </c>
      <c r="D13" s="24"/>
      <c r="E13" s="24"/>
      <c r="G13" s="24"/>
    </row>
    <row r="14" spans="1:7" x14ac:dyDescent="0.25">
      <c r="A14" s="24"/>
      <c r="B14" s="24"/>
      <c r="C14" s="23" t="s">
        <v>59</v>
      </c>
      <c r="D14" s="24"/>
      <c r="E14" s="24"/>
      <c r="G14" s="24"/>
    </row>
    <row r="15" spans="1:7" x14ac:dyDescent="0.25">
      <c r="A15" s="24"/>
      <c r="B15" s="24"/>
      <c r="C15" s="23" t="s">
        <v>8</v>
      </c>
      <c r="D15" s="24"/>
      <c r="E15" s="24"/>
      <c r="G15" s="24"/>
    </row>
    <row r="16" spans="1:7" x14ac:dyDescent="0.25">
      <c r="A16" s="24"/>
      <c r="B16" s="24"/>
      <c r="C16" s="23" t="s">
        <v>63</v>
      </c>
      <c r="D16" s="24"/>
      <c r="E16" s="24"/>
      <c r="G16" s="24"/>
    </row>
    <row r="17" spans="1:7" x14ac:dyDescent="0.25">
      <c r="A17" s="24"/>
      <c r="B17" s="24"/>
      <c r="C17" s="23" t="s">
        <v>2</v>
      </c>
      <c r="D17" s="24"/>
      <c r="E17" s="24"/>
      <c r="G17" s="24"/>
    </row>
    <row r="18" spans="1:7" x14ac:dyDescent="0.25">
      <c r="A18" s="24"/>
      <c r="B18" s="24"/>
      <c r="C18" s="23" t="s">
        <v>35</v>
      </c>
      <c r="D18" s="24"/>
      <c r="E18" s="24"/>
      <c r="G18" s="24"/>
    </row>
    <row r="19" spans="1:7" x14ac:dyDescent="0.25">
      <c r="A19" s="24"/>
      <c r="B19" s="24"/>
      <c r="C19" s="23" t="s">
        <v>46</v>
      </c>
      <c r="D19" s="24"/>
      <c r="E19" s="24"/>
      <c r="G19" s="24"/>
    </row>
    <row r="20" spans="1:7" x14ac:dyDescent="0.25">
      <c r="A20" s="24"/>
      <c r="B20" s="24"/>
      <c r="C20" s="23" t="s">
        <v>102</v>
      </c>
      <c r="D20" s="24"/>
      <c r="E20" s="24"/>
      <c r="G20" s="24"/>
    </row>
    <row r="21" spans="1:7" x14ac:dyDescent="0.25">
      <c r="A21" s="24"/>
      <c r="B21" s="24"/>
      <c r="C21" s="23" t="s">
        <v>37</v>
      </c>
      <c r="D21" s="24"/>
      <c r="E21" s="24"/>
      <c r="G21" s="24"/>
    </row>
    <row r="22" spans="1:7" x14ac:dyDescent="0.25">
      <c r="A22" s="24"/>
      <c r="B22" s="24"/>
      <c r="C22" s="23" t="s">
        <v>106</v>
      </c>
      <c r="D22" s="24"/>
      <c r="E22" s="24"/>
      <c r="G22" s="24"/>
    </row>
    <row r="23" spans="1:7" x14ac:dyDescent="0.25">
      <c r="A23" s="24"/>
      <c r="B23" s="24"/>
      <c r="C23" s="24"/>
      <c r="D23" s="24"/>
      <c r="E23" s="24"/>
      <c r="G23" s="24"/>
    </row>
  </sheetData>
  <sortState xmlns:xlrd2="http://schemas.microsoft.com/office/spreadsheetml/2017/richdata2" ref="E1:E4">
    <sortCondition ref="E1"/>
  </sortState>
  <dataValidations count="1">
    <dataValidation type="list" allowBlank="1" showInputMessage="1" showErrorMessage="1" sqref="J1" xr:uid="{1D35FD40-1ED3-400A-B2E0-E9B7549B5DEB}">
      <formula1>$A$1:$A$7</formula1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Raw data</vt:lpstr>
      <vt:lpstr>Staff table</vt:lpstr>
      <vt:lpstr>Tax rates</vt:lpstr>
      <vt:lpstr>With data validation</vt:lpstr>
      <vt:lpstr>Data validation lists</vt:lpstr>
      <vt:lpstr>'Raw data'!Staff</vt:lpstr>
    </vt:vector>
  </TitlesOfParts>
  <Company>Rutgers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RBSUser</dc:creator>
  <cp:lastModifiedBy>Disha Parkhi</cp:lastModifiedBy>
  <cp:lastPrinted>2016-09-16T15:33:24Z</cp:lastPrinted>
  <dcterms:created xsi:type="dcterms:W3CDTF">2016-09-16T14:30:34Z</dcterms:created>
  <dcterms:modified xsi:type="dcterms:W3CDTF">2020-09-15T17:49:08Z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43d5f4da-78a2-4989-a077-6a9a35bb148f</vt:lpwstr>
  </property>
</Properties>
</file>