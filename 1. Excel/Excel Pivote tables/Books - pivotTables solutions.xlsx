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mcavaleiro\Dropbox\TEACHING\MIS\1. Excel\2. Excel pivot tables\"/>
    </mc:Choice>
  </mc:AlternateContent>
  <bookViews>
    <workbookView xWindow="0" yWindow="0" windowWidth="22560" windowHeight="16575" tabRatio="924" activeTab="7"/>
  </bookViews>
  <sheets>
    <sheet name="Books" sheetId="2" r:id="rId1"/>
    <sheet name="PivotTable 1" sheetId="3" r:id="rId2"/>
    <sheet name="Pivot Table 2" sheetId="4" r:id="rId3"/>
    <sheet name="Pivot Table 3" sheetId="5" r:id="rId4"/>
    <sheet name="Pivot Table 4" sheetId="6" r:id="rId5"/>
    <sheet name="Pivot Table 5" sheetId="10" r:id="rId6"/>
    <sheet name="Pivot Chart 1" sheetId="11" r:id="rId7"/>
    <sheet name="Pivot Chart 2" sheetId="12" r:id="rId8"/>
  </sheets>
  <calcPr calcId="152511"/>
  <pivotCaches>
    <pivotCache cacheId="2" r:id="rId9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" i="2" l="1"/>
  <c r="H5" i="2"/>
  <c r="J5" i="2"/>
  <c r="K5" i="2" s="1"/>
  <c r="L5" i="2" s="1"/>
  <c r="H13" i="2"/>
  <c r="J13" i="2"/>
  <c r="K13" i="2" s="1"/>
  <c r="L13" i="2" s="1"/>
  <c r="J16" i="2"/>
  <c r="K16" i="2"/>
  <c r="J6" i="2"/>
  <c r="J7" i="2"/>
  <c r="K7" i="2" s="1"/>
  <c r="J8" i="2"/>
  <c r="J9" i="2"/>
  <c r="J11" i="2"/>
  <c r="J12" i="2"/>
  <c r="K12" i="2" s="1"/>
  <c r="L12" i="2" s="1"/>
  <c r="J14" i="2"/>
  <c r="J15" i="2"/>
  <c r="J17" i="2"/>
  <c r="J18" i="2"/>
  <c r="K18" i="2" s="1"/>
  <c r="L18" i="2" s="1"/>
  <c r="J19" i="2"/>
  <c r="J20" i="2"/>
  <c r="J21" i="2"/>
  <c r="J22" i="2"/>
  <c r="K22" i="2" s="1"/>
  <c r="L22" i="2" s="1"/>
  <c r="J23" i="2"/>
  <c r="J24" i="2"/>
  <c r="J25" i="2"/>
  <c r="J26" i="2"/>
  <c r="K26" i="2" s="1"/>
  <c r="J27" i="2"/>
  <c r="J28" i="2"/>
  <c r="J29" i="2"/>
  <c r="J30" i="2"/>
  <c r="K30" i="2" s="1"/>
  <c r="L30" i="2" s="1"/>
  <c r="J31" i="2"/>
  <c r="J32" i="2"/>
  <c r="J33" i="2"/>
  <c r="J34" i="2"/>
  <c r="J35" i="2"/>
  <c r="J36" i="2"/>
  <c r="J37" i="2"/>
  <c r="J38" i="2"/>
  <c r="K38" i="2" s="1"/>
  <c r="L38" i="2" s="1"/>
  <c r="J39" i="2"/>
  <c r="J40" i="2"/>
  <c r="J41" i="2"/>
  <c r="J42" i="2"/>
  <c r="K42" i="2" s="1"/>
  <c r="J43" i="2"/>
  <c r="J44" i="2"/>
  <c r="J45" i="2"/>
  <c r="J46" i="2"/>
  <c r="K46" i="2" s="1"/>
  <c r="L46" i="2" s="1"/>
  <c r="J47" i="2"/>
  <c r="J48" i="2"/>
  <c r="J49" i="2"/>
  <c r="J50" i="2"/>
  <c r="J51" i="2"/>
  <c r="J52" i="2"/>
  <c r="J53" i="2"/>
  <c r="J54" i="2"/>
  <c r="J55" i="2"/>
  <c r="J56" i="2"/>
  <c r="J57" i="2"/>
  <c r="J58" i="2"/>
  <c r="K58" i="2" s="1"/>
  <c r="L58" i="2" s="1"/>
  <c r="J59" i="2"/>
  <c r="J60" i="2"/>
  <c r="J61" i="2"/>
  <c r="J62" i="2"/>
  <c r="K62" i="2" s="1"/>
  <c r="L62" i="2" s="1"/>
  <c r="J63" i="2"/>
  <c r="J64" i="2"/>
  <c r="J65" i="2"/>
  <c r="J66" i="2"/>
  <c r="K66" i="2" s="1"/>
  <c r="L66" i="2" s="1"/>
  <c r="J67" i="2"/>
  <c r="J68" i="2"/>
  <c r="J69" i="2"/>
  <c r="J70" i="2"/>
  <c r="K70" i="2" s="1"/>
  <c r="L70" i="2" s="1"/>
  <c r="J71" i="2"/>
  <c r="J72" i="2"/>
  <c r="J73" i="2"/>
  <c r="J74" i="2"/>
  <c r="K74" i="2" s="1"/>
  <c r="L74" i="2" s="1"/>
  <c r="K24" i="2"/>
  <c r="K23" i="2"/>
  <c r="H23" i="2"/>
  <c r="K71" i="2"/>
  <c r="L71" i="2" s="1"/>
  <c r="H71" i="2"/>
  <c r="K37" i="2"/>
  <c r="H37" i="2"/>
  <c r="K39" i="2"/>
  <c r="L39" i="2" s="1"/>
  <c r="H39" i="2"/>
  <c r="K17" i="2"/>
  <c r="H17" i="2"/>
  <c r="K11" i="2"/>
  <c r="H11" i="2"/>
  <c r="H22" i="2"/>
  <c r="K43" i="2"/>
  <c r="H43" i="2"/>
  <c r="K65" i="2"/>
  <c r="H65" i="2"/>
  <c r="K10" i="2"/>
  <c r="L10" i="2" s="1"/>
  <c r="H10" i="2"/>
  <c r="H70" i="2"/>
  <c r="K51" i="2"/>
  <c r="L51" i="2" s="1"/>
  <c r="H51" i="2"/>
  <c r="K36" i="2"/>
  <c r="H36" i="2"/>
  <c r="K21" i="2"/>
  <c r="L21" i="2" s="1"/>
  <c r="H21" i="2"/>
  <c r="K35" i="2"/>
  <c r="H35" i="2"/>
  <c r="K34" i="2"/>
  <c r="H34" i="2"/>
  <c r="K69" i="2"/>
  <c r="H69" i="2"/>
  <c r="K50" i="2"/>
  <c r="L50" i="2" s="1"/>
  <c r="H50" i="2"/>
  <c r="H38" i="2"/>
  <c r="K54" i="2"/>
  <c r="L54" i="2" s="1"/>
  <c r="H54" i="2"/>
  <c r="K63" i="2"/>
  <c r="H63" i="2"/>
  <c r="K33" i="2"/>
  <c r="L33" i="2" s="1"/>
  <c r="H33" i="2"/>
  <c r="H62" i="2"/>
  <c r="K49" i="2"/>
  <c r="H49" i="2"/>
  <c r="H74" i="2"/>
  <c r="H16" i="2"/>
  <c r="L16" i="2" s="1"/>
  <c r="K57" i="2"/>
  <c r="H57" i="2"/>
  <c r="K56" i="2"/>
  <c r="H56" i="2"/>
  <c r="L56" i="2" s="1"/>
  <c r="K32" i="2"/>
  <c r="H32" i="2"/>
  <c r="K64" i="2"/>
  <c r="H64" i="2"/>
  <c r="K48" i="2"/>
  <c r="H48" i="2"/>
  <c r="K14" i="2"/>
  <c r="H14" i="2"/>
  <c r="L14" i="2" s="1"/>
  <c r="K31" i="2"/>
  <c r="H31" i="2"/>
  <c r="H7" i="2"/>
  <c r="K68" i="2"/>
  <c r="H68" i="2"/>
  <c r="K15" i="2"/>
  <c r="H15" i="2"/>
  <c r="L15" i="2" s="1"/>
  <c r="K61" i="2"/>
  <c r="H61" i="2"/>
  <c r="H30" i="2"/>
  <c r="K60" i="2"/>
  <c r="H60" i="2"/>
  <c r="K9" i="2"/>
  <c r="H9" i="2"/>
  <c r="K47" i="2"/>
  <c r="H47" i="2"/>
  <c r="H42" i="2"/>
  <c r="L42" i="2" s="1"/>
  <c r="H46" i="2"/>
  <c r="K29" i="2"/>
  <c r="H29" i="2"/>
  <c r="L29" i="2" s="1"/>
  <c r="K28" i="2"/>
  <c r="H28" i="2"/>
  <c r="K41" i="2"/>
  <c r="H41" i="2"/>
  <c r="L41" i="2" s="1"/>
  <c r="K73" i="2"/>
  <c r="H73" i="2"/>
  <c r="K27" i="2"/>
  <c r="H27" i="2"/>
  <c r="K20" i="2"/>
  <c r="H20" i="2"/>
  <c r="K45" i="2"/>
  <c r="H45" i="2"/>
  <c r="L45" i="2" s="1"/>
  <c r="K19" i="2"/>
  <c r="H19" i="2"/>
  <c r="K53" i="2"/>
  <c r="H53" i="2"/>
  <c r="L53" i="2" s="1"/>
  <c r="K40" i="2"/>
  <c r="H40" i="2"/>
  <c r="K72" i="2"/>
  <c r="H72" i="2"/>
  <c r="H12" i="2"/>
  <c r="K52" i="2"/>
  <c r="H52" i="2"/>
  <c r="L52" i="2" s="1"/>
  <c r="H18" i="2"/>
  <c r="H26" i="2"/>
  <c r="L26" i="2" s="1"/>
  <c r="K6" i="2"/>
  <c r="H6" i="2"/>
  <c r="K67" i="2"/>
  <c r="H67" i="2"/>
  <c r="L67" i="2" s="1"/>
  <c r="H66" i="2"/>
  <c r="K55" i="2"/>
  <c r="L55" i="2" s="1"/>
  <c r="H55" i="2"/>
  <c r="K25" i="2"/>
  <c r="H25" i="2"/>
  <c r="L25" i="2" s="1"/>
  <c r="K59" i="2"/>
  <c r="H59" i="2"/>
  <c r="L59" i="2" s="1"/>
  <c r="K8" i="2"/>
  <c r="L8" i="2" s="1"/>
  <c r="H8" i="2"/>
  <c r="K44" i="2"/>
  <c r="H44" i="2"/>
  <c r="H58" i="2"/>
  <c r="H24" i="2"/>
  <c r="L24" i="2" s="1"/>
  <c r="L6" i="2"/>
  <c r="L44" i="2"/>
  <c r="L72" i="2"/>
  <c r="L19" i="2"/>
  <c r="L20" i="2"/>
  <c r="L73" i="2"/>
  <c r="L28" i="2"/>
  <c r="L47" i="2"/>
  <c r="L68" i="2"/>
  <c r="L64" i="2"/>
  <c r="L49" i="2"/>
  <c r="L34" i="2"/>
  <c r="L43" i="2"/>
  <c r="L17" i="2"/>
  <c r="L37" i="2"/>
  <c r="L40" i="2"/>
  <c r="L27" i="2"/>
  <c r="L9" i="2"/>
  <c r="L60" i="2"/>
  <c r="L61" i="2"/>
  <c r="L31" i="2"/>
  <c r="L48" i="2"/>
  <c r="L32" i="2"/>
  <c r="L57" i="2"/>
  <c r="L63" i="2"/>
  <c r="L69" i="2"/>
  <c r="L35" i="2"/>
  <c r="L36" i="2"/>
  <c r="L65" i="2"/>
  <c r="L11" i="2"/>
  <c r="L23" i="2"/>
  <c r="E5" i="3"/>
  <c r="E6" i="3"/>
  <c r="E3" i="3"/>
  <c r="E4" i="3"/>
  <c r="L7" i="2" l="1"/>
</calcChain>
</file>

<file path=xl/sharedStrings.xml><?xml version="1.0" encoding="utf-8"?>
<sst xmlns="http://schemas.openxmlformats.org/spreadsheetml/2006/main" count="365" uniqueCount="122">
  <si>
    <t>Discipline</t>
  </si>
  <si>
    <t>Area</t>
  </si>
  <si>
    <t>Book Title</t>
  </si>
  <si>
    <t>Edition</t>
  </si>
  <si>
    <t>Copyright</t>
  </si>
  <si>
    <t>Units Sold Wholesale</t>
  </si>
  <si>
    <t>Unit Price Wholesale</t>
  </si>
  <si>
    <t>Units Sold Retail</t>
  </si>
  <si>
    <t>Unit Price Retail</t>
  </si>
  <si>
    <t>Introductory</t>
  </si>
  <si>
    <t>General</t>
  </si>
  <si>
    <t>Macrosociology Approach</t>
  </si>
  <si>
    <t>Conflict Approach</t>
  </si>
  <si>
    <t>Social Sciences</t>
  </si>
  <si>
    <t>Contemporary Sociology</t>
  </si>
  <si>
    <t>Sociology: An Introduction</t>
  </si>
  <si>
    <t>Sociology 101</t>
  </si>
  <si>
    <t>Welcome to Sociology</t>
  </si>
  <si>
    <t>Contemporary Sociology: Brief Edition</t>
  </si>
  <si>
    <t>Macrosociology Basics</t>
  </si>
  <si>
    <t>Dynamics of Macrosociology</t>
  </si>
  <si>
    <t>Conflicts in Society</t>
  </si>
  <si>
    <t>Conflicts in Society: Brief Edition</t>
  </si>
  <si>
    <t>Modern Approach to Social Science</t>
  </si>
  <si>
    <t>Modern Approach to Social Science: Brief</t>
  </si>
  <si>
    <t>Introduction to Social Sciences</t>
  </si>
  <si>
    <t>Social Problems</t>
  </si>
  <si>
    <t>Social Inequalities Around the Globe</t>
  </si>
  <si>
    <t>Current Social Problems</t>
  </si>
  <si>
    <t>Addressing Social Problems</t>
  </si>
  <si>
    <t>A Conflict Approach to Social Problems</t>
  </si>
  <si>
    <t>Race/Class/Gender</t>
  </si>
  <si>
    <t>Gender Issues</t>
  </si>
  <si>
    <t>Gender Psychology</t>
  </si>
  <si>
    <t>Gender Roles in Society</t>
  </si>
  <si>
    <t>Introduction to Gender Issues</t>
  </si>
  <si>
    <t>Women's Studies</t>
  </si>
  <si>
    <t>Sociological Perspectives on Gender</t>
  </si>
  <si>
    <t>Race/Ethnicity</t>
  </si>
  <si>
    <t>Bridging the Gap in Racial Groups</t>
  </si>
  <si>
    <t>Changes and Challenges in the U.S.</t>
  </si>
  <si>
    <t>America: Diversity in Race and Ethnicity</t>
  </si>
  <si>
    <t>Research/Stats</t>
  </si>
  <si>
    <t>Social Statistics</t>
  </si>
  <si>
    <t>Introductory Statistics in Social Research</t>
  </si>
  <si>
    <t>Using SPSS for Research in Sociology</t>
  </si>
  <si>
    <t>Analyzing Sociology Research with SPSS</t>
  </si>
  <si>
    <t>Behavioral and Social Sciences Statistics</t>
  </si>
  <si>
    <t>Fundamentals of Social Statistics</t>
  </si>
  <si>
    <t>Statistical Procedures for Sociology</t>
  </si>
  <si>
    <t>Research Methods</t>
  </si>
  <si>
    <t>Qualitative Research for Social Sciences</t>
  </si>
  <si>
    <t>Fundamentals of Research</t>
  </si>
  <si>
    <t>Understanding Research Methods</t>
  </si>
  <si>
    <t>Data Analysis</t>
  </si>
  <si>
    <t>Statistics for Social Sciences</t>
  </si>
  <si>
    <t>Sociology Statistics</t>
  </si>
  <si>
    <t>SPSS: Analyzing Data</t>
  </si>
  <si>
    <t>Data Analysis using SPSS</t>
  </si>
  <si>
    <t>Family</t>
  </si>
  <si>
    <t>Family Interaction</t>
  </si>
  <si>
    <t>Trends in Family Interactions</t>
  </si>
  <si>
    <t>Family Dynamics: A Modern Perspective</t>
  </si>
  <si>
    <t>Marriage and Family</t>
  </si>
  <si>
    <t>Relationships in Marriages</t>
  </si>
  <si>
    <t>Marriages and Family Matters</t>
  </si>
  <si>
    <t>A Global Perspective on Marriage</t>
  </si>
  <si>
    <t>Diversity and Change in Today's Marriages</t>
  </si>
  <si>
    <t>Aging/Death</t>
  </si>
  <si>
    <t>Sociology of Aging</t>
  </si>
  <si>
    <t>Concerns and Issues in Aging</t>
  </si>
  <si>
    <t>Gerontology: A Modern Perspective</t>
  </si>
  <si>
    <t>Quality of Life as We Age</t>
  </si>
  <si>
    <t>Human Ages</t>
  </si>
  <si>
    <t>The Aging Process</t>
  </si>
  <si>
    <t>An Introduction to Symbolic Interactionism</t>
  </si>
  <si>
    <t>Readings in Social Psychology</t>
  </si>
  <si>
    <t>Social Psychology</t>
  </si>
  <si>
    <t>Modern Perspectives on Social Psychology</t>
  </si>
  <si>
    <t>Symbolic Interactionism</t>
  </si>
  <si>
    <t>Symbolic Interactionism: An Introduction</t>
  </si>
  <si>
    <t>Symbolic Interactionism: Brief Edition</t>
  </si>
  <si>
    <t>Looking at Self and Society</t>
  </si>
  <si>
    <t>Miscellaneous</t>
  </si>
  <si>
    <t>Social Change</t>
  </si>
  <si>
    <t>Global Concerns of Society</t>
  </si>
  <si>
    <t>Solutions to Our Social Problems</t>
  </si>
  <si>
    <t>Exploring Social Changes</t>
  </si>
  <si>
    <t>Social Theory</t>
  </si>
  <si>
    <t>Theories of Sociology</t>
  </si>
  <si>
    <t>Criminal Justice</t>
  </si>
  <si>
    <t>Deviance</t>
  </si>
  <si>
    <t>Deviant Behavior</t>
  </si>
  <si>
    <t>A Collection of Readings in Deviant Behavior</t>
  </si>
  <si>
    <t>Social Constructs for Men and Women</t>
  </si>
  <si>
    <t>Quantitative and Qualitative Research Methods</t>
  </si>
  <si>
    <t>Researching in Social Sciences</t>
  </si>
  <si>
    <t>Modern Sociological Theories</t>
  </si>
  <si>
    <t>Social Psychology: An interaction Approach</t>
  </si>
  <si>
    <t>Family Interactions: A Developmental Approach</t>
  </si>
  <si>
    <t>Standard Author Royalty Rate:</t>
  </si>
  <si>
    <t>Retail Price Rate (Based on Wholesale):</t>
  </si>
  <si>
    <t>Total Sales ($)</t>
  </si>
  <si>
    <t>Sales ($): Wholesale</t>
  </si>
  <si>
    <t>Sales ($): 
Retail</t>
  </si>
  <si>
    <t>Grand Total</t>
  </si>
  <si>
    <t>Sum of Total Sales ($)</t>
  </si>
  <si>
    <t>Row Labels</t>
  </si>
  <si>
    <t>Count of Book Title</t>
  </si>
  <si>
    <t>Average of Total Sales ($)2</t>
  </si>
  <si>
    <t>Sum of Total units sold</t>
  </si>
  <si>
    <t>Sum of Units Sold Retail</t>
  </si>
  <si>
    <t>Sum of Units Sold Wholesale</t>
  </si>
  <si>
    <t>0-999999</t>
  </si>
  <si>
    <t>1000000-1999999</t>
  </si>
  <si>
    <t>2000000-2999999</t>
  </si>
  <si>
    <t>3000000-4000000</t>
  </si>
  <si>
    <t xml:space="preserve"> </t>
  </si>
  <si>
    <t>Total</t>
  </si>
  <si>
    <t>Get data from Pivot table example:</t>
  </si>
  <si>
    <t>Sociology Books Sales - 1st Trimester of 2019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</si>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</sst>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0.3999755851924192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u val="double"/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2" fillId="5" borderId="1" xfId="0" applyFont="1" applyFill="1" applyBorder="1" applyAlignment="1"/>
    <xf numFmtId="0" fontId="2" fillId="5" borderId="2" xfId="0" applyFont="1" applyFill="1" applyBorder="1" applyAlignment="1"/>
    <xf numFmtId="164" fontId="3" fillId="4" borderId="3" xfId="0" applyNumberFormat="1" applyFont="1" applyFill="1" applyBorder="1"/>
    <xf numFmtId="165" fontId="0" fillId="2" borderId="6" xfId="2" applyNumberFormat="1" applyFont="1" applyFill="1" applyBorder="1"/>
    <xf numFmtId="164" fontId="0" fillId="2" borderId="7" xfId="1" applyNumberFormat="1" applyFont="1" applyFill="1" applyBorder="1"/>
    <xf numFmtId="164" fontId="3" fillId="2" borderId="8" xfId="1" applyNumberFormat="1" applyFont="1" applyFill="1" applyBorder="1"/>
    <xf numFmtId="165" fontId="0" fillId="3" borderId="6" xfId="2" applyNumberFormat="1" applyFont="1" applyFill="1" applyBorder="1"/>
    <xf numFmtId="164" fontId="0" fillId="3" borderId="7" xfId="1" applyNumberFormat="1" applyFont="1" applyFill="1" applyBorder="1"/>
    <xf numFmtId="164" fontId="3" fillId="3" borderId="8" xfId="1" applyNumberFormat="1" applyFont="1" applyFill="1" applyBorder="1"/>
    <xf numFmtId="0" fontId="0" fillId="0" borderId="4" xfId="0" applyFont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165" fontId="0" fillId="2" borderId="9" xfId="2" applyNumberFormat="1" applyFont="1" applyFill="1" applyBorder="1"/>
    <xf numFmtId="164" fontId="0" fillId="2" borderId="0" xfId="1" applyNumberFormat="1" applyFont="1" applyFill="1" applyBorder="1"/>
    <xf numFmtId="164" fontId="3" fillId="2" borderId="10" xfId="1" applyNumberFormat="1" applyFont="1" applyFill="1" applyBorder="1"/>
    <xf numFmtId="165" fontId="0" fillId="3" borderId="9" xfId="2" applyNumberFormat="1" applyFont="1" applyFill="1" applyBorder="1"/>
    <xf numFmtId="164" fontId="0" fillId="3" borderId="0" xfId="1" applyNumberFormat="1" applyFont="1" applyFill="1" applyBorder="1"/>
    <xf numFmtId="164" fontId="3" fillId="3" borderId="10" xfId="1" applyNumberFormat="1" applyFont="1" applyFill="1" applyBorder="1"/>
    <xf numFmtId="164" fontId="3" fillId="4" borderId="5" xfId="0" applyNumberFormat="1" applyFont="1" applyFill="1" applyBorder="1"/>
    <xf numFmtId="0" fontId="0" fillId="0" borderId="11" xfId="0" applyFont="1" applyBorder="1"/>
    <xf numFmtId="0" fontId="0" fillId="0" borderId="12" xfId="0" applyFont="1" applyBorder="1"/>
    <xf numFmtId="0" fontId="0" fillId="0" borderId="12" xfId="0" applyFont="1" applyBorder="1" applyAlignment="1">
      <alignment horizontal="center"/>
    </xf>
    <xf numFmtId="165" fontId="0" fillId="2" borderId="13" xfId="2" applyNumberFormat="1" applyFont="1" applyFill="1" applyBorder="1"/>
    <xf numFmtId="164" fontId="0" fillId="2" borderId="14" xfId="1" applyNumberFormat="1" applyFont="1" applyFill="1" applyBorder="1"/>
    <xf numFmtId="164" fontId="3" fillId="2" borderId="15" xfId="1" applyNumberFormat="1" applyFont="1" applyFill="1" applyBorder="1"/>
    <xf numFmtId="165" fontId="0" fillId="3" borderId="13" xfId="2" applyNumberFormat="1" applyFont="1" applyFill="1" applyBorder="1"/>
    <xf numFmtId="164" fontId="0" fillId="3" borderId="14" xfId="1" applyNumberFormat="1" applyFont="1" applyFill="1" applyBorder="1"/>
    <xf numFmtId="164" fontId="3" fillId="3" borderId="15" xfId="1" applyNumberFormat="1" applyFont="1" applyFill="1" applyBorder="1"/>
    <xf numFmtId="164" fontId="3" fillId="4" borderId="16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10" fontId="0" fillId="0" borderId="0" xfId="0" applyNumberFormat="1"/>
    <xf numFmtId="164" fontId="0" fillId="0" borderId="0" xfId="0" applyNumberFormat="1" applyAlignment="1">
      <alignment horizontal="left"/>
    </xf>
    <xf numFmtId="0" fontId="3" fillId="6" borderId="0" xfId="0" applyFont="1" applyFill="1"/>
    <xf numFmtId="165" fontId="0" fillId="0" borderId="0" xfId="0" applyNumberFormat="1"/>
    <xf numFmtId="44" fontId="0" fillId="0" borderId="0" xfId="1" applyFont="1"/>
    <xf numFmtId="0" fontId="7" fillId="0" borderId="0" xfId="0" applyFont="1" applyFill="1" applyAlignment="1">
      <alignment horizontal="center" vertical="center"/>
    </xf>
  </cellXfs>
  <cellStyles count="3">
    <cellStyle name="Comma" xfId="2" builtinId="3"/>
    <cellStyle name="Currency" xfId="1" builtinId="4"/>
    <cellStyle name="Normal" xfId="0" builtinId="0"/>
  </cellStyles>
  <dxfs count="4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[Sociology Books - solution.xlsx]Pivot Chart 1!PivotTable6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0518483069474972"/>
          <c:y val="1.8826117172371447E-2"/>
          <c:w val="0.49929117164241393"/>
          <c:h val="0.7244315797286264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Chart 1'!$B$1:$B$2</c:f>
              <c:strCache>
                <c:ptCount val="1"/>
                <c:pt idx="0">
                  <c:v>Sum of Units Sold Wholesale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 1'!$A$3:$A$12</c:f>
              <c:strCache>
                <c:ptCount val="9"/>
                <c:pt idx="0">
                  <c:v>Aging/Death</c:v>
                </c:pt>
                <c:pt idx="1">
                  <c:v>Criminal Justice</c:v>
                </c:pt>
                <c:pt idx="2">
                  <c:v>Family</c:v>
                </c:pt>
                <c:pt idx="3">
                  <c:v>Introductory</c:v>
                </c:pt>
                <c:pt idx="4">
                  <c:v>Miscellaneous</c:v>
                </c:pt>
                <c:pt idx="5">
                  <c:v>Race/Class/Gender</c:v>
                </c:pt>
                <c:pt idx="6">
                  <c:v>Research/Stats</c:v>
                </c:pt>
                <c:pt idx="7">
                  <c:v>Social Problems</c:v>
                </c:pt>
                <c:pt idx="8">
                  <c:v>Social Psychology</c:v>
                </c:pt>
              </c:strCache>
            </c:strRef>
          </c:cat>
          <c:val>
            <c:numRef>
              <c:f>'Pivot Chart 1'!$B$3:$B$12</c:f>
              <c:numCache>
                <c:formatCode>General</c:formatCode>
                <c:ptCount val="9"/>
                <c:pt idx="0">
                  <c:v>51513</c:v>
                </c:pt>
                <c:pt idx="1">
                  <c:v>41968</c:v>
                </c:pt>
                <c:pt idx="2">
                  <c:v>76710</c:v>
                </c:pt>
                <c:pt idx="3">
                  <c:v>179415</c:v>
                </c:pt>
                <c:pt idx="4">
                  <c:v>37117</c:v>
                </c:pt>
                <c:pt idx="5">
                  <c:v>150310</c:v>
                </c:pt>
                <c:pt idx="6">
                  <c:v>203707</c:v>
                </c:pt>
                <c:pt idx="7">
                  <c:v>60804</c:v>
                </c:pt>
                <c:pt idx="8">
                  <c:v>125661</c:v>
                </c:pt>
              </c:numCache>
            </c:numRef>
          </c:val>
        </c:ser>
        <c:ser>
          <c:idx val="1"/>
          <c:order val="1"/>
          <c:tx>
            <c:strRef>
              <c:f>'Pivot Chart 1'!$C$1:$C$2</c:f>
              <c:strCache>
                <c:ptCount val="1"/>
                <c:pt idx="0">
                  <c:v>Sum of Units Sold Retail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Chart 1'!$A$3:$A$12</c:f>
              <c:strCache>
                <c:ptCount val="9"/>
                <c:pt idx="0">
                  <c:v>Aging/Death</c:v>
                </c:pt>
                <c:pt idx="1">
                  <c:v>Criminal Justice</c:v>
                </c:pt>
                <c:pt idx="2">
                  <c:v>Family</c:v>
                </c:pt>
                <c:pt idx="3">
                  <c:v>Introductory</c:v>
                </c:pt>
                <c:pt idx="4">
                  <c:v>Miscellaneous</c:v>
                </c:pt>
                <c:pt idx="5">
                  <c:v>Race/Class/Gender</c:v>
                </c:pt>
                <c:pt idx="6">
                  <c:v>Research/Stats</c:v>
                </c:pt>
                <c:pt idx="7">
                  <c:v>Social Problems</c:v>
                </c:pt>
                <c:pt idx="8">
                  <c:v>Social Psychology</c:v>
                </c:pt>
              </c:strCache>
            </c:strRef>
          </c:cat>
          <c:val>
            <c:numRef>
              <c:f>'Pivot Chart 1'!$C$3:$C$12</c:f>
              <c:numCache>
                <c:formatCode>General</c:formatCode>
                <c:ptCount val="9"/>
                <c:pt idx="0">
                  <c:v>334</c:v>
                </c:pt>
                <c:pt idx="1">
                  <c:v>2816</c:v>
                </c:pt>
                <c:pt idx="2">
                  <c:v>2849</c:v>
                </c:pt>
                <c:pt idx="3">
                  <c:v>5259</c:v>
                </c:pt>
                <c:pt idx="4">
                  <c:v>1838</c:v>
                </c:pt>
                <c:pt idx="5">
                  <c:v>4658</c:v>
                </c:pt>
                <c:pt idx="6">
                  <c:v>5452</c:v>
                </c:pt>
                <c:pt idx="7">
                  <c:v>476</c:v>
                </c:pt>
                <c:pt idx="8">
                  <c:v>4530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9342152"/>
        <c:axId val="553157856"/>
      </c:barChart>
      <c:catAx>
        <c:axId val="45934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157856"/>
        <c:crosses val="autoZero"/>
        <c:auto val="1"/>
        <c:lblAlgn val="ctr"/>
        <c:lblOffset val="100"/>
        <c:noMultiLvlLbl val="0"/>
      </c:catAx>
      <c:valAx>
        <c:axId val="5531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34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[Books - pivotTables solutions.xlsx]Pivot Chart 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Chart 2'!$B$1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Chart 2'!$A$2:$A$11</c:f>
              <c:strCache>
                <c:ptCount val="9"/>
                <c:pt idx="0">
                  <c:v>Aging/Death</c:v>
                </c:pt>
                <c:pt idx="1">
                  <c:v>Criminal Justice</c:v>
                </c:pt>
                <c:pt idx="2">
                  <c:v>Family</c:v>
                </c:pt>
                <c:pt idx="3">
                  <c:v>Introductory</c:v>
                </c:pt>
                <c:pt idx="4">
                  <c:v>Miscellaneous</c:v>
                </c:pt>
                <c:pt idx="5">
                  <c:v>Race/Class/Gender</c:v>
                </c:pt>
                <c:pt idx="6">
                  <c:v>Research/Stats</c:v>
                </c:pt>
                <c:pt idx="7">
                  <c:v>Social Problems</c:v>
                </c:pt>
                <c:pt idx="8">
                  <c:v>Social Psychology</c:v>
                </c:pt>
              </c:strCache>
            </c:strRef>
          </c:cat>
          <c:val>
            <c:numRef>
              <c:f>'Pivot Chart 2'!$B$2:$B$11</c:f>
              <c:numCache>
                <c:formatCode>0.00%</c:formatCode>
                <c:ptCount val="9"/>
                <c:pt idx="0">
                  <c:v>4.6840933912740822E-2</c:v>
                </c:pt>
                <c:pt idx="1">
                  <c:v>5.1442718293716369E-2</c:v>
                </c:pt>
                <c:pt idx="2">
                  <c:v>8.4531390411021701E-2</c:v>
                </c:pt>
                <c:pt idx="3">
                  <c:v>0.17796254522408686</c:v>
                </c:pt>
                <c:pt idx="4">
                  <c:v>3.4117268443103352E-2</c:v>
                </c:pt>
                <c:pt idx="5">
                  <c:v>0.17898665173219905</c:v>
                </c:pt>
                <c:pt idx="6">
                  <c:v>0.21992840323675836</c:v>
                </c:pt>
                <c:pt idx="7">
                  <c:v>6.3887318199342583E-2</c:v>
                </c:pt>
                <c:pt idx="8">
                  <c:v>0.14230277054703092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1</xdr:row>
      <xdr:rowOff>146050</xdr:rowOff>
    </xdr:from>
    <xdr:to>
      <xdr:col>10</xdr:col>
      <xdr:colOff>247650</xdr:colOff>
      <xdr:row>21</xdr:row>
      <xdr:rowOff>41275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152400</xdr:rowOff>
    </xdr:from>
    <xdr:to>
      <xdr:col>10</xdr:col>
      <xdr:colOff>304800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ta Cavaleiro" refreshedDate="43586.489777546296" createdVersion="5" refreshedVersion="4" minRefreshableVersion="3" recordCount="70">
  <cacheSource type="worksheet">
    <worksheetSource ref="A4:L74" sheet="Books"/>
  </cacheSource>
  <cacheFields count="13">
    <cacheField name="Discipline" numFmtId="0">
      <sharedItems count="9">
        <s v="Introductory"/>
        <s v="Social Problems"/>
        <s v="Research/Stats"/>
        <s v="Criminal Justice"/>
        <s v="Family"/>
        <s v="Race/Class/Gender"/>
        <s v="Social Psychology"/>
        <s v="Miscellaneous"/>
        <s v="Aging/Death"/>
      </sharedItems>
    </cacheField>
    <cacheField name="Area" numFmtId="0">
      <sharedItems count="16">
        <s v="Conflict Approach"/>
        <s v="Data Analysis"/>
        <s v="Deviance"/>
        <s v="Family Interaction"/>
        <s v="Gender Issues"/>
        <s v="General"/>
        <s v="Macrosociology Approach"/>
        <s v="Marriage and Family"/>
        <s v="Race/Ethnicity"/>
        <s v="Research Methods"/>
        <s v="Social Change"/>
        <s v="Social Sciences"/>
        <s v="Social Statistics"/>
        <s v="Social Theory"/>
        <s v="Sociology of Aging"/>
        <s v="Symbolic Interactionism"/>
      </sharedItems>
    </cacheField>
    <cacheField name="Book Title" numFmtId="0">
      <sharedItems/>
    </cacheField>
    <cacheField name="Edition" numFmtId="0">
      <sharedItems containsSemiMixedTypes="0" containsString="0" containsNumber="1" containsInteger="1" minValue="1" maxValue="10"/>
    </cacheField>
    <cacheField name="Copyright" numFmtId="0">
      <sharedItems containsSemiMixedTypes="0" containsString="0" containsNumber="1" containsInteger="1" minValue="2009" maxValue="2012" count="4">
        <n v="2012"/>
        <n v="2009"/>
        <n v="2011"/>
        <n v="2010"/>
      </sharedItems>
    </cacheField>
    <cacheField name="Units Sold Wholesale" numFmtId="165">
      <sharedItems containsSemiMixedTypes="0" containsString="0" containsNumber="1" containsInteger="1" minValue="750" maxValue="37400"/>
    </cacheField>
    <cacheField name="Unit Price Wholesale" numFmtId="164">
      <sharedItems containsSemiMixedTypes="0" containsString="0" containsNumber="1" containsInteger="1" minValue="45" maxValue="135"/>
    </cacheField>
    <cacheField name="Sales ($): Wholesale" numFmtId="164">
      <sharedItems containsSemiMixedTypes="0" containsString="0" containsNumber="1" containsInteger="1" minValue="63750" maxValue="3740000"/>
    </cacheField>
    <cacheField name="Units Sold Retail" numFmtId="165">
      <sharedItems containsSemiMixedTypes="0" containsString="0" containsNumber="1" containsInteger="1" minValue="10" maxValue="2375"/>
    </cacheField>
    <cacheField name="Unit Price Retail" numFmtId="164">
      <sharedItems containsSemiMixedTypes="0" containsString="0" containsNumber="1" containsInteger="1" minValue="59" maxValue="176"/>
    </cacheField>
    <cacheField name="Sales ($): _x000d_Retail" numFmtId="164">
      <sharedItems containsSemiMixedTypes="0" containsString="0" containsNumber="1" containsInteger="1" minValue="1110" maxValue="294500"/>
    </cacheField>
    <cacheField name="Total Sales ($)" numFmtId="164">
      <sharedItems containsSemiMixedTypes="0" containsString="0" containsNumber="1" containsInteger="1" minValue="64860" maxValue="3870000" count="70">
        <n v="157226"/>
        <n v="264852"/>
        <n v="1095875"/>
        <n v="825425"/>
        <n v="648954"/>
        <n v="1352403"/>
        <n v="686700"/>
        <n v="2028000"/>
        <n v="346047"/>
        <n v="2793349"/>
        <n v="818648"/>
        <n v="1403250"/>
        <n v="2388642"/>
        <n v="2314992"/>
        <n v="1814325"/>
        <n v="2083950"/>
        <n v="1264925"/>
        <n v="3142750"/>
        <n v="1265700"/>
        <n v="3115995"/>
        <n v="2352200"/>
        <n v="3346185"/>
        <n v="512490"/>
        <n v="3870000"/>
        <n v="1911115"/>
        <n v="1037628"/>
        <n v="1317380"/>
        <n v="1445390"/>
        <n v="665761"/>
        <n v="1169804"/>
        <n v="778482"/>
        <n v="2711298"/>
        <n v="2804112"/>
        <n v="223711"/>
        <n v="301398"/>
        <n v="1320624"/>
        <n v="565567"/>
        <n v="1572792"/>
        <n v="421614"/>
        <n v="2164250"/>
        <n v="3419892"/>
        <n v="508338"/>
        <n v="547575"/>
        <n v="649433"/>
        <n v="3243263"/>
        <n v="2057500"/>
        <n v="2351660"/>
        <n v="327090"/>
        <n v="265572"/>
        <n v="946541"/>
        <n v="559712"/>
        <n v="2316896"/>
        <n v="2022885"/>
        <n v="881450"/>
        <n v="3149810"/>
        <n v="465690"/>
        <n v="1125350"/>
        <n v="2679475"/>
        <n v="1427013"/>
        <n v="64860"/>
        <n v="1823000"/>
        <n v="428988"/>
        <n v="1048790"/>
        <n v="963326"/>
        <n v="461669"/>
        <n v="611976"/>
        <n v="1190400"/>
        <n v="453506"/>
        <n v="2638352"/>
        <n v="1515692"/>
      </sharedItems>
      <fieldGroup base="11">
        <rangePr autoStart="0" autoEnd="0" startNum="0" endNum="4000000" groupInterval="1000000"/>
        <groupItems count="6">
          <s v="&lt;0"/>
          <s v="0-999999"/>
          <s v="1000000-1999999"/>
          <s v="2000000-2999999"/>
          <s v="3000000-4000000"/>
          <s v="&gt;4000000"/>
        </groupItems>
      </fieldGroup>
    </cacheField>
    <cacheField name="Total units sold" numFmtId="0" formula="'Units Sold Wholesale'+'Units Sold Retail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x v="0"/>
    <x v="0"/>
    <s v="Conflicts in Society: Brief Edition"/>
    <n v="4"/>
    <x v="0"/>
    <n v="2750"/>
    <n v="55"/>
    <n v="151250"/>
    <n v="83"/>
    <n v="72"/>
    <n v="5976"/>
    <x v="0"/>
  </r>
  <r>
    <x v="1"/>
    <x v="0"/>
    <s v="A Conflict Approach to Social Problems"/>
    <n v="3"/>
    <x v="1"/>
    <n v="3500"/>
    <n v="75"/>
    <n v="262500"/>
    <n v="24"/>
    <n v="98"/>
    <n v="2352"/>
    <x v="1"/>
  </r>
  <r>
    <x v="0"/>
    <x v="0"/>
    <s v="Conflicts in Society"/>
    <n v="5"/>
    <x v="2"/>
    <n v="9245"/>
    <n v="115"/>
    <n v="1063175"/>
    <n v="218"/>
    <n v="150"/>
    <n v="32700"/>
    <x v="2"/>
  </r>
  <r>
    <x v="2"/>
    <x v="1"/>
    <s v="Using SPSS for Research in Sociology"/>
    <n v="7"/>
    <x v="0"/>
    <n v="10875"/>
    <n v="75"/>
    <n v="815625"/>
    <n v="100"/>
    <n v="98"/>
    <n v="9800"/>
    <x v="3"/>
  </r>
  <r>
    <x v="2"/>
    <x v="1"/>
    <s v="Analyzing Sociology Research with SPSS"/>
    <n v="5"/>
    <x v="2"/>
    <n v="8590"/>
    <n v="75"/>
    <n v="644250"/>
    <n v="48"/>
    <n v="98"/>
    <n v="4704"/>
    <x v="4"/>
  </r>
  <r>
    <x v="2"/>
    <x v="1"/>
    <s v="SPSS: Analyzing Data"/>
    <n v="10"/>
    <x v="0"/>
    <n v="15750"/>
    <n v="85"/>
    <n v="1338750"/>
    <n v="123"/>
    <n v="111"/>
    <n v="13653"/>
    <x v="5"/>
  </r>
  <r>
    <x v="2"/>
    <x v="1"/>
    <s v="Data Analysis using SPSS"/>
    <n v="3"/>
    <x v="3"/>
    <n v="7500"/>
    <n v="90"/>
    <n v="675000"/>
    <n v="100"/>
    <n v="117"/>
    <n v="11700"/>
    <x v="6"/>
  </r>
  <r>
    <x v="3"/>
    <x v="2"/>
    <s v="Deviant Behavior"/>
    <n v="1"/>
    <x v="2"/>
    <n v="14300"/>
    <n v="130"/>
    <n v="1859000"/>
    <n v="1000"/>
    <n v="169"/>
    <n v="169000"/>
    <x v="7"/>
  </r>
  <r>
    <x v="3"/>
    <x v="2"/>
    <s v="A Collection of Readings in Deviant Behavior"/>
    <n v="3"/>
    <x v="1"/>
    <n v="7568"/>
    <n v="45"/>
    <n v="340560"/>
    <n v="93"/>
    <n v="59"/>
    <n v="5487"/>
    <x v="8"/>
  </r>
  <r>
    <x v="3"/>
    <x v="2"/>
    <s v="Deviant Behavior"/>
    <n v="9"/>
    <x v="0"/>
    <n v="20100"/>
    <n v="125"/>
    <n v="2512500"/>
    <n v="1723"/>
    <n v="163"/>
    <n v="280849"/>
    <x v="9"/>
  </r>
  <r>
    <x v="4"/>
    <x v="3"/>
    <s v="Family Dynamics: A Modern Perspective"/>
    <n v="4"/>
    <x v="2"/>
    <n v="9575"/>
    <n v="85"/>
    <n v="813875"/>
    <n v="43"/>
    <n v="111"/>
    <n v="4773"/>
    <x v="10"/>
  </r>
  <r>
    <x v="4"/>
    <x v="3"/>
    <s v="Family Interactions: A Developmental Approach"/>
    <n v="3"/>
    <x v="3"/>
    <n v="12000"/>
    <n v="115"/>
    <n v="1380000"/>
    <n v="155"/>
    <n v="150"/>
    <n v="23250"/>
    <x v="11"/>
  </r>
  <r>
    <x v="4"/>
    <x v="3"/>
    <s v="Trends in Family Interactions"/>
    <n v="10"/>
    <x v="0"/>
    <n v="17500"/>
    <n v="125"/>
    <n v="2187500"/>
    <n v="1234"/>
    <n v="163"/>
    <n v="201142"/>
    <x v="12"/>
  </r>
  <r>
    <x v="5"/>
    <x v="4"/>
    <s v="Social Constructs for Men and Women"/>
    <n v="8"/>
    <x v="2"/>
    <n v="18730"/>
    <n v="120"/>
    <n v="2247600"/>
    <n v="432"/>
    <n v="156"/>
    <n v="67392"/>
    <x v="13"/>
  </r>
  <r>
    <x v="5"/>
    <x v="4"/>
    <s v="Introduction to Gender Issues"/>
    <n v="1"/>
    <x v="0"/>
    <n v="11875"/>
    <n v="135"/>
    <n v="1603125"/>
    <n v="1200"/>
    <n v="176"/>
    <n v="211200"/>
    <x v="14"/>
  </r>
  <r>
    <x v="5"/>
    <x v="4"/>
    <s v="Sociological Perspectives on Gender"/>
    <n v="5"/>
    <x v="0"/>
    <n v="18000"/>
    <n v="115"/>
    <n v="2070000"/>
    <n v="93"/>
    <n v="150"/>
    <n v="13950"/>
    <x v="15"/>
  </r>
  <r>
    <x v="5"/>
    <x v="4"/>
    <s v="Women's Studies"/>
    <n v="2"/>
    <x v="2"/>
    <n v="16735"/>
    <n v="75"/>
    <n v="1255125"/>
    <n v="100"/>
    <n v="98"/>
    <n v="9800"/>
    <x v="16"/>
  </r>
  <r>
    <x v="5"/>
    <x v="4"/>
    <s v="Gender Roles in Society"/>
    <n v="5"/>
    <x v="0"/>
    <n v="22875"/>
    <n v="130"/>
    <n v="2973750"/>
    <n v="1000"/>
    <n v="169"/>
    <n v="169000"/>
    <x v="17"/>
  </r>
  <r>
    <x v="5"/>
    <x v="4"/>
    <s v="Gender Psychology"/>
    <n v="4"/>
    <x v="3"/>
    <n v="12345"/>
    <n v="100"/>
    <n v="1234500"/>
    <n v="240"/>
    <n v="130"/>
    <n v="31200"/>
    <x v="18"/>
  </r>
  <r>
    <x v="6"/>
    <x v="5"/>
    <s v="Modern Perspectives on Social Psychology"/>
    <n v="1"/>
    <x v="0"/>
    <n v="25983"/>
    <n v="115"/>
    <n v="2988045"/>
    <n v="853"/>
    <n v="150"/>
    <n v="127950"/>
    <x v="19"/>
  </r>
  <r>
    <x v="1"/>
    <x v="5"/>
    <s v="Current Social Problems"/>
    <n v="10"/>
    <x v="0"/>
    <n v="20300"/>
    <n v="115"/>
    <n v="2334500"/>
    <n v="118"/>
    <n v="150"/>
    <n v="17700"/>
    <x v="20"/>
  </r>
  <r>
    <x v="0"/>
    <x v="5"/>
    <s v="Sociology: An Introduction"/>
    <n v="8"/>
    <x v="2"/>
    <n v="32123"/>
    <n v="95"/>
    <n v="3051685"/>
    <n v="2375"/>
    <n v="124"/>
    <n v="294500"/>
    <x v="21"/>
  </r>
  <r>
    <x v="0"/>
    <x v="5"/>
    <s v="Welcome to Sociology"/>
    <n v="1"/>
    <x v="0"/>
    <n v="4783"/>
    <n v="105"/>
    <n v="502215"/>
    <n v="75"/>
    <n v="137"/>
    <n v="10275"/>
    <x v="22"/>
  </r>
  <r>
    <x v="0"/>
    <x v="5"/>
    <s v="Contemporary Sociology"/>
    <n v="1"/>
    <x v="0"/>
    <n v="37400"/>
    <n v="100"/>
    <n v="3740000"/>
    <n v="1000"/>
    <n v="130"/>
    <n v="130000"/>
    <x v="23"/>
  </r>
  <r>
    <x v="6"/>
    <x v="5"/>
    <s v="Social Psychology"/>
    <n v="3"/>
    <x v="1"/>
    <n v="17353"/>
    <n v="105"/>
    <n v="1822065"/>
    <n v="650"/>
    <n v="137"/>
    <n v="89050"/>
    <x v="24"/>
  </r>
  <r>
    <x v="1"/>
    <x v="5"/>
    <s v="Social Inequalities Around the Globe"/>
    <n v="5"/>
    <x v="2"/>
    <n v="11329"/>
    <n v="90"/>
    <n v="1019610"/>
    <n v="154"/>
    <n v="117"/>
    <n v="18018"/>
    <x v="25"/>
  </r>
  <r>
    <x v="1"/>
    <x v="5"/>
    <s v="Addressing Social Problems"/>
    <n v="3"/>
    <x v="3"/>
    <n v="11342"/>
    <n v="115"/>
    <n v="1304330"/>
    <n v="87"/>
    <n v="150"/>
    <n v="13050"/>
    <x v="26"/>
  </r>
  <r>
    <x v="1"/>
    <x v="5"/>
    <s v="Social Problems"/>
    <n v="5"/>
    <x v="2"/>
    <n v="14333"/>
    <n v="100"/>
    <n v="1433300"/>
    <n v="93"/>
    <n v="130"/>
    <n v="12090"/>
    <x v="27"/>
  </r>
  <r>
    <x v="0"/>
    <x v="5"/>
    <s v="Contemporary Sociology: Brief Edition"/>
    <n v="1"/>
    <x v="0"/>
    <n v="11983"/>
    <n v="55"/>
    <n v="659065"/>
    <n v="93"/>
    <n v="72"/>
    <n v="6696"/>
    <x v="28"/>
  </r>
  <r>
    <x v="6"/>
    <x v="5"/>
    <s v="Readings in Social Psychology"/>
    <n v="8"/>
    <x v="3"/>
    <n v="15502"/>
    <n v="75"/>
    <n v="1162650"/>
    <n v="73"/>
    <n v="98"/>
    <n v="7154"/>
    <x v="29"/>
  </r>
  <r>
    <x v="6"/>
    <x v="5"/>
    <s v="Social Psychology: An interaction Approach"/>
    <n v="2"/>
    <x v="2"/>
    <n v="8034"/>
    <n v="95"/>
    <n v="763230"/>
    <n v="123"/>
    <n v="124"/>
    <n v="15252"/>
    <x v="30"/>
  </r>
  <r>
    <x v="6"/>
    <x v="5"/>
    <s v="An Introduction to Symbolic Interactionism"/>
    <n v="5"/>
    <x v="0"/>
    <n v="18750"/>
    <n v="135"/>
    <n v="2531250"/>
    <n v="1023"/>
    <n v="176"/>
    <n v="180048"/>
    <x v="31"/>
  </r>
  <r>
    <x v="0"/>
    <x v="5"/>
    <s v="Sociology 101"/>
    <n v="8"/>
    <x v="3"/>
    <n v="27523"/>
    <n v="99"/>
    <n v="2724777"/>
    <n v="615"/>
    <n v="129"/>
    <n v="79335"/>
    <x v="32"/>
  </r>
  <r>
    <x v="0"/>
    <x v="6"/>
    <s v="Macrosociology Basics"/>
    <n v="2"/>
    <x v="2"/>
    <n v="2500"/>
    <n v="85"/>
    <n v="212500"/>
    <n v="101"/>
    <n v="111"/>
    <n v="11211"/>
    <x v="33"/>
  </r>
  <r>
    <x v="0"/>
    <x v="6"/>
    <s v="Dynamics of Macrosociology"/>
    <n v="4"/>
    <x v="3"/>
    <n v="3000"/>
    <n v="85"/>
    <n v="255000"/>
    <n v="418"/>
    <n v="111"/>
    <n v="46398"/>
    <x v="34"/>
  </r>
  <r>
    <x v="4"/>
    <x v="7"/>
    <s v="Diversity and Change in Today's Marriages"/>
    <n v="7"/>
    <x v="2"/>
    <n v="14398"/>
    <n v="90"/>
    <n v="1295820"/>
    <n v="212"/>
    <n v="117"/>
    <n v="24804"/>
    <x v="35"/>
  </r>
  <r>
    <x v="4"/>
    <x v="7"/>
    <s v="A Global Perspective on Marriage"/>
    <n v="3"/>
    <x v="1"/>
    <n v="7503"/>
    <n v="75"/>
    <n v="562725"/>
    <n v="29"/>
    <n v="98"/>
    <n v="2842"/>
    <x v="36"/>
  </r>
  <r>
    <x v="4"/>
    <x v="7"/>
    <s v="Marriages and Family Matters"/>
    <n v="5"/>
    <x v="0"/>
    <n v="11234"/>
    <n v="125"/>
    <n v="1404250"/>
    <n v="1034"/>
    <n v="163"/>
    <n v="168542"/>
    <x v="37"/>
  </r>
  <r>
    <x v="4"/>
    <x v="7"/>
    <s v="Relationships in Marriages"/>
    <n v="2"/>
    <x v="3"/>
    <n v="4500"/>
    <n v="90"/>
    <n v="405000"/>
    <n v="142"/>
    <n v="117"/>
    <n v="16614"/>
    <x v="38"/>
  </r>
  <r>
    <x v="5"/>
    <x v="8"/>
    <s v="America: Diversity in Race and Ethnicity"/>
    <n v="10"/>
    <x v="2"/>
    <n v="18500"/>
    <n v="115"/>
    <n v="2127500"/>
    <n v="245"/>
    <n v="150"/>
    <n v="36750"/>
    <x v="39"/>
  </r>
  <r>
    <x v="5"/>
    <x v="8"/>
    <s v="Bridging the Gap in Racial Groups"/>
    <n v="10"/>
    <x v="0"/>
    <n v="25750"/>
    <n v="125"/>
    <n v="3218750"/>
    <n v="1234"/>
    <n v="163"/>
    <n v="201142"/>
    <x v="40"/>
  </r>
  <r>
    <x v="5"/>
    <x v="8"/>
    <s v="Changes and Challenges in the U.S."/>
    <n v="5"/>
    <x v="3"/>
    <n v="5500"/>
    <n v="90"/>
    <n v="495000"/>
    <n v="114"/>
    <n v="117"/>
    <n v="13338"/>
    <x v="41"/>
  </r>
  <r>
    <x v="2"/>
    <x v="9"/>
    <s v="Understanding Research Methods"/>
    <n v="2"/>
    <x v="1"/>
    <n v="4575"/>
    <n v="115"/>
    <n v="526125"/>
    <n v="143"/>
    <n v="150"/>
    <n v="21450"/>
    <x v="42"/>
  </r>
  <r>
    <x v="2"/>
    <x v="9"/>
    <s v="Fundamentals of Research"/>
    <n v="3"/>
    <x v="1"/>
    <n v="7532"/>
    <n v="85"/>
    <n v="640220"/>
    <n v="83"/>
    <n v="111"/>
    <n v="9213"/>
    <x v="43"/>
  </r>
  <r>
    <x v="2"/>
    <x v="9"/>
    <s v="Researching in Social Sciences"/>
    <n v="10"/>
    <x v="2"/>
    <n v="22345"/>
    <n v="135"/>
    <n v="3016575"/>
    <n v="1288"/>
    <n v="176"/>
    <n v="226688"/>
    <x v="44"/>
  </r>
  <r>
    <x v="2"/>
    <x v="9"/>
    <s v="Qualitative Research for Social Sciences"/>
    <n v="6"/>
    <x v="0"/>
    <n v="19275"/>
    <n v="100"/>
    <n v="1927500"/>
    <n v="1000"/>
    <n v="130"/>
    <n v="130000"/>
    <x v="45"/>
  </r>
  <r>
    <x v="2"/>
    <x v="9"/>
    <s v="Quantitative and Qualitative Research Methods"/>
    <n v="9"/>
    <x v="2"/>
    <n v="23111"/>
    <n v="100"/>
    <n v="2311100"/>
    <n v="312"/>
    <n v="130"/>
    <n v="40560"/>
    <x v="46"/>
  </r>
  <r>
    <x v="7"/>
    <x v="10"/>
    <s v="Solutions to Our Social Problems"/>
    <n v="4"/>
    <x v="2"/>
    <n v="5432"/>
    <n v="60"/>
    <n v="325920"/>
    <n v="15"/>
    <n v="78"/>
    <n v="1170"/>
    <x v="47"/>
  </r>
  <r>
    <x v="7"/>
    <x v="10"/>
    <s v="Global Concerns of Society"/>
    <n v="2"/>
    <x v="1"/>
    <n v="4500"/>
    <n v="55"/>
    <n v="247500"/>
    <n v="251"/>
    <n v="72"/>
    <n v="18072"/>
    <x v="48"/>
  </r>
  <r>
    <x v="7"/>
    <x v="10"/>
    <s v="Exploring Social Changes"/>
    <n v="8"/>
    <x v="0"/>
    <n v="12435"/>
    <n v="75"/>
    <n v="932625"/>
    <n v="142"/>
    <n v="98"/>
    <n v="13916"/>
    <x v="49"/>
  </r>
  <r>
    <x v="0"/>
    <x v="11"/>
    <s v="Modern Approach to Social Science: Brief"/>
    <n v="8"/>
    <x v="0"/>
    <n v="7340"/>
    <n v="75"/>
    <n v="550500"/>
    <n v="94"/>
    <n v="98"/>
    <n v="9212"/>
    <x v="50"/>
  </r>
  <r>
    <x v="0"/>
    <x v="11"/>
    <s v="Modern Approach to Social Science"/>
    <n v="10"/>
    <x v="2"/>
    <n v="18350"/>
    <n v="125"/>
    <n v="2293750"/>
    <n v="142"/>
    <n v="163"/>
    <n v="23146"/>
    <x v="51"/>
  </r>
  <r>
    <x v="0"/>
    <x v="11"/>
    <s v="Introduction to Social Sciences"/>
    <n v="2"/>
    <x v="3"/>
    <n v="22418"/>
    <n v="90"/>
    <n v="2017620"/>
    <n v="45"/>
    <n v="117"/>
    <n v="5265"/>
    <x v="52"/>
  </r>
  <r>
    <x v="2"/>
    <x v="12"/>
    <s v="Statistics for Social Sciences"/>
    <n v="3"/>
    <x v="1"/>
    <n v="7550"/>
    <n v="115"/>
    <n v="868250"/>
    <n v="88"/>
    <n v="150"/>
    <n v="13200"/>
    <x v="53"/>
  </r>
  <r>
    <x v="2"/>
    <x v="12"/>
    <s v="Introductory Statistics in Social Research"/>
    <n v="8"/>
    <x v="2"/>
    <n v="23575"/>
    <n v="125"/>
    <n v="2946875"/>
    <n v="1245"/>
    <n v="163"/>
    <n v="202935"/>
    <x v="54"/>
  </r>
  <r>
    <x v="2"/>
    <x v="12"/>
    <s v="Fundamentals of Social Statistics"/>
    <n v="3"/>
    <x v="1"/>
    <n v="4575"/>
    <n v="100"/>
    <n v="457500"/>
    <n v="63"/>
    <n v="130"/>
    <n v="8190"/>
    <x v="55"/>
  </r>
  <r>
    <x v="2"/>
    <x v="12"/>
    <s v="Sociology Statistics"/>
    <n v="5"/>
    <x v="0"/>
    <n v="11234"/>
    <n v="100"/>
    <n v="1123400"/>
    <n v="15"/>
    <n v="130"/>
    <n v="1950"/>
    <x v="56"/>
  </r>
  <r>
    <x v="2"/>
    <x v="12"/>
    <s v="Behavioral and Social Sciences Statistics"/>
    <n v="6"/>
    <x v="2"/>
    <n v="22345"/>
    <n v="115"/>
    <n v="2569675"/>
    <n v="732"/>
    <n v="150"/>
    <n v="109800"/>
    <x v="57"/>
  </r>
  <r>
    <x v="2"/>
    <x v="12"/>
    <s v="Statistical Procedures for Sociology"/>
    <n v="7"/>
    <x v="3"/>
    <n v="14875"/>
    <n v="95"/>
    <n v="1413125"/>
    <n v="112"/>
    <n v="124"/>
    <n v="13888"/>
    <x v="58"/>
  </r>
  <r>
    <x v="7"/>
    <x v="13"/>
    <s v="Theories of Sociology"/>
    <n v="1"/>
    <x v="3"/>
    <n v="750"/>
    <n v="85"/>
    <n v="63750"/>
    <n v="10"/>
    <n v="111"/>
    <n v="1110"/>
    <x v="59"/>
  </r>
  <r>
    <x v="7"/>
    <x v="13"/>
    <s v="Modern Sociological Theories"/>
    <n v="8"/>
    <x v="0"/>
    <n v="14000"/>
    <n v="115"/>
    <n v="1610000"/>
    <n v="1420"/>
    <n v="150"/>
    <n v="213000"/>
    <x v="60"/>
  </r>
  <r>
    <x v="8"/>
    <x v="14"/>
    <s v="Human Ages"/>
    <n v="3"/>
    <x v="3"/>
    <n v="4500"/>
    <n v="95"/>
    <n v="427500"/>
    <n v="12"/>
    <n v="124"/>
    <n v="1488"/>
    <x v="61"/>
  </r>
  <r>
    <x v="8"/>
    <x v="14"/>
    <s v="The Aging Process"/>
    <n v="4"/>
    <x v="1"/>
    <n v="10432"/>
    <n v="100"/>
    <n v="1043200"/>
    <n v="43"/>
    <n v="130"/>
    <n v="5590"/>
    <x v="62"/>
  </r>
  <r>
    <x v="8"/>
    <x v="14"/>
    <s v="Sociology of Aging"/>
    <n v="3"/>
    <x v="3"/>
    <n v="11234"/>
    <n v="85"/>
    <n v="954890"/>
    <n v="76"/>
    <n v="111"/>
    <n v="8436"/>
    <x v="63"/>
  </r>
  <r>
    <x v="8"/>
    <x v="14"/>
    <s v="Concerns and Issues in Aging"/>
    <n v="1"/>
    <x v="0"/>
    <n v="5387"/>
    <n v="85"/>
    <n v="457895"/>
    <n v="34"/>
    <n v="111"/>
    <n v="3774"/>
    <x v="64"/>
  </r>
  <r>
    <x v="8"/>
    <x v="14"/>
    <s v="Quality of Life as We Age"/>
    <n v="2"/>
    <x v="2"/>
    <n v="7560"/>
    <n v="80"/>
    <n v="604800"/>
    <n v="69"/>
    <n v="104"/>
    <n v="7176"/>
    <x v="65"/>
  </r>
  <r>
    <x v="8"/>
    <x v="14"/>
    <s v="Gerontology: A Modern Perspective"/>
    <n v="6"/>
    <x v="2"/>
    <n v="12400"/>
    <n v="95"/>
    <n v="1178000"/>
    <n v="100"/>
    <n v="124"/>
    <n v="12400"/>
    <x v="66"/>
  </r>
  <r>
    <x v="6"/>
    <x v="15"/>
    <s v="Looking at Self and Society"/>
    <n v="3"/>
    <x v="1"/>
    <n v="5321"/>
    <n v="85"/>
    <n v="452285"/>
    <n v="11"/>
    <n v="111"/>
    <n v="1221"/>
    <x v="67"/>
  </r>
  <r>
    <x v="6"/>
    <x v="15"/>
    <s v="Symbolic Interactionism: An Introduction"/>
    <n v="7"/>
    <x v="2"/>
    <n v="18950"/>
    <n v="125"/>
    <n v="2368750"/>
    <n v="1654"/>
    <n v="163"/>
    <n v="269602"/>
    <x v="68"/>
  </r>
  <r>
    <x v="6"/>
    <x v="15"/>
    <s v="Symbolic Interactionism: Brief Edition"/>
    <n v="5"/>
    <x v="0"/>
    <n v="15768"/>
    <n v="95"/>
    <n v="1497960"/>
    <n v="143"/>
    <n v="124"/>
    <n v="17732"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5" indent="0" outline="1" outlineData="1" multipleFieldFilters="0" chartFormat="1" rowHeaderCaption="Copyright">
  <location ref="A1:B7" firstHeaderRow="2" firstDataRow="2" firstDataCol="1"/>
  <pivotFields count="13"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numFmtId="165" showAll="0"/>
    <pivotField numFmtId="164" showAll="0"/>
    <pivotField numFmtId="164" showAll="0"/>
    <pivotField numFmtId="165" showAll="0"/>
    <pivotField numFmtId="164" showAll="0"/>
    <pivotField numFmtId="164" showAll="0" defaultSubtotal="0"/>
    <pivotField dataField="1" numFmtId="164" showAll="0"/>
    <pivotField dragToRow="0" dragToCol="0" dragToPage="0" showAll="0" defaultSubtota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 ($)" fld="11" baseField="0" baseItem="0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5" indent="0" outline="1" outlineData="1" multipleFieldFilters="0" rowHeaderCaption="Discipline" colHeaderCaption="Copyright">
  <location ref="A3:F14" firstHeaderRow="1" firstDataRow="2" firstDataCol="1"/>
  <pivotFields count="13">
    <pivotField axis="axisRow" showAll="0" sortType="ascending">
      <items count="10">
        <item x="8"/>
        <item x="3"/>
        <item x="4"/>
        <item x="0"/>
        <item x="7"/>
        <item x="5"/>
        <item x="2"/>
        <item x="1"/>
        <item x="6"/>
        <item t="default"/>
      </items>
    </pivotField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numFmtId="165" showAll="0"/>
    <pivotField numFmtId="164" showAll="0"/>
    <pivotField numFmtId="164" showAll="0"/>
    <pivotField numFmtId="165" showAll="0"/>
    <pivotField numFmtId="164" showAll="0"/>
    <pivotField numFmtId="164" showAll="0" defaultSubtotal="0"/>
    <pivotField dataField="1" numFmtId="164" showAll="0"/>
    <pivotField dragToRow="0" dragToCol="0" dragToPag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 ($)" fld="11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outline="1" outlineData="1" compactData="0" multipleFieldFilters="0">
  <location ref="A3:F58" firstHeaderRow="0" firstDataRow="1" firstDataCol="2" rowPageCount="1" colPageCount="1"/>
  <pivotFields count="13">
    <pivotField axis="axisPage" compact="0" multipleItemSelectionAllowed="1" showAll="0">
      <items count="10">
        <item x="8"/>
        <item x="3"/>
        <item x="4"/>
        <item x="0"/>
        <item x="7"/>
        <item x="5"/>
        <item x="2"/>
        <item x="1"/>
        <item x="6"/>
        <item t="default"/>
      </items>
    </pivotField>
    <pivotField axis="axisRow"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compact="0" showAll="0"/>
    <pivotField compact="0" showAll="0"/>
    <pivotField axis="axisRow" compact="0" showAll="0">
      <items count="5">
        <item x="1"/>
        <item x="3"/>
        <item x="2"/>
        <item x="0"/>
        <item t="default"/>
      </items>
    </pivotField>
    <pivotField compact="0" numFmtId="165" showAll="0"/>
    <pivotField compact="0" numFmtId="164" showAll="0"/>
    <pivotField compact="0" numFmtId="164" showAll="0"/>
    <pivotField compact="0" numFmtId="165" showAll="0"/>
    <pivotField compact="0" numFmtId="164" showAll="0"/>
    <pivotField compact="0" numFmtId="164" showAll="0" defaultSubtotal="0"/>
    <pivotField dataField="1" compact="0" numFmtId="164" showAll="0"/>
    <pivotField dataField="1" compact="0" dragToRow="0" dragToCol="0" dragToPage="0" showAll="0" defaultSubtotal="0"/>
  </pivotFields>
  <rowFields count="2">
    <field x="4"/>
    <field x="1"/>
  </rowFields>
  <rowItems count="55">
    <i>
      <x/>
    </i>
    <i r="1">
      <x/>
    </i>
    <i r="1">
      <x v="2"/>
    </i>
    <i r="1">
      <x v="5"/>
    </i>
    <i r="1">
      <x v="7"/>
    </i>
    <i r="1">
      <x v="9"/>
    </i>
    <i r="1">
      <x v="10"/>
    </i>
    <i r="1">
      <x v="12"/>
    </i>
    <i r="1">
      <x v="14"/>
    </i>
    <i r="1">
      <x v="15"/>
    </i>
    <i>
      <x v="1"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Count of Book Title" fld="2" subtotal="count" baseField="0" baseItem="0"/>
    <dataField name="Sum of Total Sales ($)" fld="11" baseField="0" baseItem="0" numFmtId="44"/>
    <dataField name="Average of Total Sales ($)2" fld="11" subtotal="average" baseField="1" baseItem="9" numFmtId="44"/>
    <dataField name="Sum of Total units sold" fld="12" baseField="0" baseItem="0" numFmtId="165"/>
  </dataFields>
  <formats count="1">
    <format dxfId="1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5" indent="0" outline="1" outlineData="1" multipleFieldFilters="0">
  <location ref="A3:B29" firstHeaderRow="2" firstDataRow="2" firstDataCol="1"/>
  <pivotFields count="13">
    <pivotField axis="axisRow" showAll="0" sortType="descending">
      <items count="10">
        <item sd="0" x="8"/>
        <item sd="0" x="3"/>
        <item sd="0" x="4"/>
        <item x="0"/>
        <item x="7"/>
        <item x="5"/>
        <item x="2"/>
        <item x="1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5" showAll="0"/>
    <pivotField numFmtId="164" showAll="0"/>
    <pivotField numFmtId="164" showAll="0"/>
    <pivotField numFmtId="165" showAll="0"/>
    <pivotField numFmtId="164" showAll="0"/>
    <pivotField numFmtId="164" showAll="0" defaultSubtotal="0"/>
    <pivotField dataField="1" numFmtId="164" showAll="0"/>
    <pivotField dragToRow="0" dragToCol="0" dragToPage="0" showAll="0" defaultSubtotal="0"/>
  </pivotFields>
  <rowFields count="2">
    <field x="0"/>
    <field x="1"/>
  </rowFields>
  <rowItems count="25">
    <i>
      <x v="6"/>
    </i>
    <i r="1">
      <x v="12"/>
    </i>
    <i r="1">
      <x v="9"/>
    </i>
    <i r="1">
      <x v="1"/>
    </i>
    <i>
      <x v="5"/>
    </i>
    <i r="1">
      <x v="4"/>
    </i>
    <i r="1">
      <x v="8"/>
    </i>
    <i>
      <x v="3"/>
    </i>
    <i r="1">
      <x v="5"/>
    </i>
    <i r="1">
      <x v="11"/>
    </i>
    <i r="1">
      <x/>
    </i>
    <i r="1">
      <x v="6"/>
    </i>
    <i>
      <x v="8"/>
    </i>
    <i r="1">
      <x v="5"/>
    </i>
    <i r="1">
      <x v="15"/>
    </i>
    <i>
      <x v="2"/>
    </i>
    <i>
      <x v="7"/>
    </i>
    <i r="1">
      <x v="5"/>
    </i>
    <i r="1">
      <x/>
    </i>
    <i>
      <x v="1"/>
    </i>
    <i>
      <x/>
    </i>
    <i>
      <x v="4"/>
    </i>
    <i r="1">
      <x v="13"/>
    </i>
    <i r="1">
      <x v="10"/>
    </i>
    <i t="grand">
      <x/>
    </i>
  </rowItems>
  <colItems count="1">
    <i/>
  </colItems>
  <dataFields count="1">
    <dataField name="Sum of Total Sales ($)" fld="11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5" indent="0" outline="1" outlineData="1" multipleFieldFilters="0" chartFormat="1">
  <location ref="A3:B9" firstHeaderRow="2" firstDataRow="2" firstDataCol="1"/>
  <pivotFields count="13">
    <pivotField showAll="0"/>
    <pivotField showAll="0"/>
    <pivotField dataField="1" showAll="0"/>
    <pivotField showAll="0"/>
    <pivotField showAll="0"/>
    <pivotField numFmtId="165" showAll="0"/>
    <pivotField numFmtId="164" showAll="0"/>
    <pivotField numFmtId="164" showAll="0"/>
    <pivotField numFmtId="165" showAll="0"/>
    <pivotField numFmtId="164" showAll="0"/>
    <pivotField numFmtId="164" showAll="0" defaultSubtotal="0"/>
    <pivotField axis="axisRow" numFmtId="164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 Titl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A1:C11" firstHeaderRow="0" firstDataRow="1" firstDataCol="1"/>
  <pivotFields count="13">
    <pivotField axis="axisRow" showAll="0">
      <items count="10">
        <item x="8"/>
        <item x="3"/>
        <item x="4"/>
        <item x="0"/>
        <item x="7"/>
        <item x="5"/>
        <item x="2"/>
        <item x="1"/>
        <item x="6"/>
        <item t="default"/>
      </items>
    </pivotField>
    <pivotField showAll="0"/>
    <pivotField showAll="0"/>
    <pivotField showAll="0"/>
    <pivotField showAll="0"/>
    <pivotField dataField="1" numFmtId="165" showAll="0"/>
    <pivotField numFmtId="164" showAll="0"/>
    <pivotField numFmtId="164" showAll="0"/>
    <pivotField dataField="1" numFmtId="165" showAll="0"/>
    <pivotField numFmtId="164" showAll="0"/>
    <pivotField numFmtId="164" showAll="0" defaultSubtotal="0"/>
    <pivotField numFmtId="164" showAll="0"/>
    <pivotField dragToRow="0" dragToCol="0" dragToPag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 Wholesale" fld="5" baseField="0" baseItem="0"/>
    <dataField name="Sum of Units Sold Retail" fld="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1:B11" firstHeaderRow="1" firstDataRow="1" firstDataCol="1"/>
  <pivotFields count="13">
    <pivotField axis="axisRow" showAll="0">
      <items count="10">
        <item x="8"/>
        <item x="3"/>
        <item x="4"/>
        <item x="0"/>
        <item x="7"/>
        <item x="5"/>
        <item x="2"/>
        <item x="1"/>
        <item x="6"/>
        <item t="default"/>
      </items>
    </pivotField>
    <pivotField showAll="0"/>
    <pivotField showAll="0"/>
    <pivotField showAll="0"/>
    <pivotField showAll="0"/>
    <pivotField numFmtId="165" showAll="0"/>
    <pivotField numFmtId="164" showAll="0"/>
    <pivotField numFmtId="164" showAll="0"/>
    <pivotField numFmtId="165" showAll="0"/>
    <pivotField numFmtId="164" showAll="0"/>
    <pivotField numFmtId="164" showAll="0"/>
    <pivotField dataField="1" numFmtId="164" showAll="0"/>
    <pivotField dragToRow="0" dragToCol="0" dragToPag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ales ($)" fld="11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zoomScale="90" zoomScaleNormal="90" zoomScalePageLayoutView="90" workbookViewId="0">
      <pane ySplit="4" topLeftCell="A40" activePane="bottomLeft" state="frozen"/>
      <selection pane="bottomLeft" activeCell="C24" sqref="C24"/>
    </sheetView>
  </sheetViews>
  <sheetFormatPr defaultColWidth="8.85546875" defaultRowHeight="15" x14ac:dyDescent="0.25"/>
  <cols>
    <col min="1" max="1" width="18.140625" bestFit="1" customWidth="1"/>
    <col min="2" max="2" width="24" bestFit="1" customWidth="1"/>
    <col min="3" max="3" width="44.28515625" bestFit="1" customWidth="1"/>
    <col min="4" max="4" width="9.42578125" style="1" customWidth="1"/>
    <col min="5" max="5" width="11.42578125" style="1" customWidth="1"/>
    <col min="6" max="6" width="12.42578125" customWidth="1"/>
    <col min="7" max="7" width="14.85546875" customWidth="1"/>
    <col min="8" max="8" width="15.42578125" customWidth="1"/>
    <col min="9" max="9" width="12.140625" customWidth="1"/>
    <col min="10" max="10" width="12" customWidth="1"/>
    <col min="11" max="11" width="12.140625" customWidth="1"/>
    <col min="12" max="12" width="15.42578125" customWidth="1"/>
  </cols>
  <sheetData>
    <row r="1" spans="1:12" x14ac:dyDescent="0.25">
      <c r="A1" s="50" t="s">
        <v>120</v>
      </c>
      <c r="B1" s="50"/>
      <c r="C1" s="50"/>
      <c r="G1" t="s">
        <v>101</v>
      </c>
      <c r="J1" s="2">
        <v>1.3</v>
      </c>
    </row>
    <row r="2" spans="1:12" x14ac:dyDescent="0.25">
      <c r="A2" s="50"/>
      <c r="B2" s="50"/>
      <c r="C2" s="50"/>
      <c r="G2" t="s">
        <v>100</v>
      </c>
      <c r="J2" s="2">
        <v>0.1</v>
      </c>
    </row>
    <row r="3" spans="1:12" x14ac:dyDescent="0.25">
      <c r="J3" s="2"/>
    </row>
    <row r="4" spans="1:12" ht="30" x14ac:dyDescent="0.25">
      <c r="A4" s="10" t="s">
        <v>0</v>
      </c>
      <c r="B4" s="11" t="s">
        <v>1</v>
      </c>
      <c r="C4" s="11" t="s">
        <v>2</v>
      </c>
      <c r="D4" s="6" t="s">
        <v>3</v>
      </c>
      <c r="E4" s="6" t="s">
        <v>4</v>
      </c>
      <c r="F4" s="7" t="s">
        <v>5</v>
      </c>
      <c r="G4" s="7" t="s">
        <v>6</v>
      </c>
      <c r="H4" s="7" t="s">
        <v>103</v>
      </c>
      <c r="I4" s="8" t="s">
        <v>7</v>
      </c>
      <c r="J4" s="8" t="s">
        <v>8</v>
      </c>
      <c r="K4" s="8" t="s">
        <v>104</v>
      </c>
      <c r="L4" s="9" t="s">
        <v>102</v>
      </c>
    </row>
    <row r="5" spans="1:12" x14ac:dyDescent="0.25">
      <c r="A5" s="3" t="s">
        <v>9</v>
      </c>
      <c r="B5" s="4" t="s">
        <v>12</v>
      </c>
      <c r="C5" s="4" t="s">
        <v>22</v>
      </c>
      <c r="D5" s="5">
        <v>4</v>
      </c>
      <c r="E5" s="5">
        <v>2012</v>
      </c>
      <c r="F5" s="13">
        <v>2750</v>
      </c>
      <c r="G5" s="14">
        <v>55</v>
      </c>
      <c r="H5" s="15">
        <f t="shared" ref="H5:H36" si="0">F5*G5</f>
        <v>151250</v>
      </c>
      <c r="I5" s="16">
        <v>83</v>
      </c>
      <c r="J5" s="17">
        <f>ROUND(G5*$J$1,0)</f>
        <v>72</v>
      </c>
      <c r="K5" s="18">
        <f t="shared" ref="K5:K36" si="1">I5*J5</f>
        <v>5976</v>
      </c>
      <c r="L5" s="12">
        <f t="shared" ref="L5:L36" si="2">H5+K5</f>
        <v>157226</v>
      </c>
    </row>
    <row r="6" spans="1:12" x14ac:dyDescent="0.25">
      <c r="A6" s="19" t="s">
        <v>26</v>
      </c>
      <c r="B6" s="20" t="s">
        <v>12</v>
      </c>
      <c r="C6" s="20" t="s">
        <v>30</v>
      </c>
      <c r="D6" s="21">
        <v>3</v>
      </c>
      <c r="E6" s="21">
        <v>2009</v>
      </c>
      <c r="F6" s="22">
        <v>3500</v>
      </c>
      <c r="G6" s="23">
        <v>75</v>
      </c>
      <c r="H6" s="24">
        <f t="shared" si="0"/>
        <v>262500</v>
      </c>
      <c r="I6" s="25">
        <v>24</v>
      </c>
      <c r="J6" s="26">
        <f t="shared" ref="J6:J69" si="3">ROUND(G6*$J$1,0)</f>
        <v>98</v>
      </c>
      <c r="K6" s="27">
        <f t="shared" si="1"/>
        <v>2352</v>
      </c>
      <c r="L6" s="28">
        <f t="shared" si="2"/>
        <v>264852</v>
      </c>
    </row>
    <row r="7" spans="1:12" x14ac:dyDescent="0.25">
      <c r="A7" s="19" t="s">
        <v>9</v>
      </c>
      <c r="B7" s="20" t="s">
        <v>12</v>
      </c>
      <c r="C7" s="20" t="s">
        <v>21</v>
      </c>
      <c r="D7" s="21">
        <v>5</v>
      </c>
      <c r="E7" s="21">
        <v>2011</v>
      </c>
      <c r="F7" s="22">
        <v>9245</v>
      </c>
      <c r="G7" s="23">
        <v>115</v>
      </c>
      <c r="H7" s="24">
        <f t="shared" si="0"/>
        <v>1063175</v>
      </c>
      <c r="I7" s="25">
        <v>218</v>
      </c>
      <c r="J7" s="26">
        <f t="shared" si="3"/>
        <v>150</v>
      </c>
      <c r="K7" s="27">
        <f t="shared" si="1"/>
        <v>32700</v>
      </c>
      <c r="L7" s="28">
        <f t="shared" si="2"/>
        <v>1095875</v>
      </c>
    </row>
    <row r="8" spans="1:12" x14ac:dyDescent="0.25">
      <c r="A8" s="19" t="s">
        <v>42</v>
      </c>
      <c r="B8" s="20" t="s">
        <v>54</v>
      </c>
      <c r="C8" s="20" t="s">
        <v>45</v>
      </c>
      <c r="D8" s="21">
        <v>7</v>
      </c>
      <c r="E8" s="21">
        <v>2012</v>
      </c>
      <c r="F8" s="22">
        <v>10875</v>
      </c>
      <c r="G8" s="23">
        <v>75</v>
      </c>
      <c r="H8" s="24">
        <f t="shared" si="0"/>
        <v>815625</v>
      </c>
      <c r="I8" s="25">
        <v>100</v>
      </c>
      <c r="J8" s="26">
        <f t="shared" si="3"/>
        <v>98</v>
      </c>
      <c r="K8" s="27">
        <f t="shared" si="1"/>
        <v>9800</v>
      </c>
      <c r="L8" s="28">
        <f t="shared" si="2"/>
        <v>825425</v>
      </c>
    </row>
    <row r="9" spans="1:12" x14ac:dyDescent="0.25">
      <c r="A9" s="19" t="s">
        <v>42</v>
      </c>
      <c r="B9" s="20" t="s">
        <v>54</v>
      </c>
      <c r="C9" s="20" t="s">
        <v>46</v>
      </c>
      <c r="D9" s="21">
        <v>5</v>
      </c>
      <c r="E9" s="21">
        <v>2011</v>
      </c>
      <c r="F9" s="22">
        <v>8590</v>
      </c>
      <c r="G9" s="23">
        <v>75</v>
      </c>
      <c r="H9" s="24">
        <f t="shared" si="0"/>
        <v>644250</v>
      </c>
      <c r="I9" s="25">
        <v>48</v>
      </c>
      <c r="J9" s="26">
        <f t="shared" si="3"/>
        <v>98</v>
      </c>
      <c r="K9" s="27">
        <f t="shared" si="1"/>
        <v>4704</v>
      </c>
      <c r="L9" s="28">
        <f t="shared" si="2"/>
        <v>648954</v>
      </c>
    </row>
    <row r="10" spans="1:12" x14ac:dyDescent="0.25">
      <c r="A10" s="19" t="s">
        <v>42</v>
      </c>
      <c r="B10" s="20" t="s">
        <v>54</v>
      </c>
      <c r="C10" s="20" t="s">
        <v>57</v>
      </c>
      <c r="D10" s="21">
        <v>10</v>
      </c>
      <c r="E10" s="21">
        <v>2012</v>
      </c>
      <c r="F10" s="22">
        <v>15750</v>
      </c>
      <c r="G10" s="23">
        <v>85</v>
      </c>
      <c r="H10" s="24">
        <f t="shared" si="0"/>
        <v>1338750</v>
      </c>
      <c r="I10" s="25">
        <v>123</v>
      </c>
      <c r="J10" s="26">
        <f>ROUND(G10*$J$1,0)</f>
        <v>111</v>
      </c>
      <c r="K10" s="27">
        <f t="shared" si="1"/>
        <v>13653</v>
      </c>
      <c r="L10" s="28">
        <f t="shared" si="2"/>
        <v>1352403</v>
      </c>
    </row>
    <row r="11" spans="1:12" x14ac:dyDescent="0.25">
      <c r="A11" s="19" t="s">
        <v>42</v>
      </c>
      <c r="B11" s="20" t="s">
        <v>54</v>
      </c>
      <c r="C11" s="20" t="s">
        <v>58</v>
      </c>
      <c r="D11" s="21">
        <v>3</v>
      </c>
      <c r="E11" s="21">
        <v>2010</v>
      </c>
      <c r="F11" s="22">
        <v>7500</v>
      </c>
      <c r="G11" s="23">
        <v>90</v>
      </c>
      <c r="H11" s="24">
        <f t="shared" si="0"/>
        <v>675000</v>
      </c>
      <c r="I11" s="25">
        <v>100</v>
      </c>
      <c r="J11" s="26">
        <f t="shared" si="3"/>
        <v>117</v>
      </c>
      <c r="K11" s="27">
        <f t="shared" si="1"/>
        <v>11700</v>
      </c>
      <c r="L11" s="28">
        <f t="shared" si="2"/>
        <v>686700</v>
      </c>
    </row>
    <row r="12" spans="1:12" x14ac:dyDescent="0.25">
      <c r="A12" s="19" t="s">
        <v>90</v>
      </c>
      <c r="B12" s="20" t="s">
        <v>91</v>
      </c>
      <c r="C12" s="20" t="s">
        <v>92</v>
      </c>
      <c r="D12" s="21">
        <v>1</v>
      </c>
      <c r="E12" s="21">
        <v>2011</v>
      </c>
      <c r="F12" s="22">
        <v>14300</v>
      </c>
      <c r="G12" s="23">
        <v>130</v>
      </c>
      <c r="H12" s="24">
        <f t="shared" si="0"/>
        <v>1859000</v>
      </c>
      <c r="I12" s="25">
        <v>1000</v>
      </c>
      <c r="J12" s="26">
        <f t="shared" si="3"/>
        <v>169</v>
      </c>
      <c r="K12" s="27">
        <f t="shared" si="1"/>
        <v>169000</v>
      </c>
      <c r="L12" s="28">
        <f t="shared" si="2"/>
        <v>2028000</v>
      </c>
    </row>
    <row r="13" spans="1:12" x14ac:dyDescent="0.25">
      <c r="A13" s="19" t="s">
        <v>90</v>
      </c>
      <c r="B13" s="20" t="s">
        <v>91</v>
      </c>
      <c r="C13" s="20" t="s">
        <v>93</v>
      </c>
      <c r="D13" s="21">
        <v>3</v>
      </c>
      <c r="E13" s="21">
        <v>2009</v>
      </c>
      <c r="F13" s="22">
        <v>7568</v>
      </c>
      <c r="G13" s="23">
        <v>45</v>
      </c>
      <c r="H13" s="24">
        <f t="shared" si="0"/>
        <v>340560</v>
      </c>
      <c r="I13" s="25">
        <v>93</v>
      </c>
      <c r="J13" s="26">
        <f t="shared" si="3"/>
        <v>59</v>
      </c>
      <c r="K13" s="27">
        <f t="shared" si="1"/>
        <v>5487</v>
      </c>
      <c r="L13" s="28">
        <f t="shared" si="2"/>
        <v>346047</v>
      </c>
    </row>
    <row r="14" spans="1:12" x14ac:dyDescent="0.25">
      <c r="A14" s="19" t="s">
        <v>90</v>
      </c>
      <c r="B14" s="20" t="s">
        <v>91</v>
      </c>
      <c r="C14" s="20" t="s">
        <v>92</v>
      </c>
      <c r="D14" s="21">
        <v>9</v>
      </c>
      <c r="E14" s="21">
        <v>2012</v>
      </c>
      <c r="F14" s="22">
        <v>20100</v>
      </c>
      <c r="G14" s="23">
        <v>125</v>
      </c>
      <c r="H14" s="24">
        <f t="shared" si="0"/>
        <v>2512500</v>
      </c>
      <c r="I14" s="25">
        <v>1723</v>
      </c>
      <c r="J14" s="26">
        <f t="shared" si="3"/>
        <v>163</v>
      </c>
      <c r="K14" s="27">
        <f t="shared" si="1"/>
        <v>280849</v>
      </c>
      <c r="L14" s="28">
        <f t="shared" si="2"/>
        <v>2793349</v>
      </c>
    </row>
    <row r="15" spans="1:12" x14ac:dyDescent="0.25">
      <c r="A15" s="19" t="s">
        <v>59</v>
      </c>
      <c r="B15" s="20" t="s">
        <v>60</v>
      </c>
      <c r="C15" s="20" t="s">
        <v>62</v>
      </c>
      <c r="D15" s="21">
        <v>4</v>
      </c>
      <c r="E15" s="21">
        <v>2011</v>
      </c>
      <c r="F15" s="22">
        <v>9575</v>
      </c>
      <c r="G15" s="23">
        <v>85</v>
      </c>
      <c r="H15" s="24">
        <f t="shared" si="0"/>
        <v>813875</v>
      </c>
      <c r="I15" s="25">
        <v>43</v>
      </c>
      <c r="J15" s="26">
        <f t="shared" si="3"/>
        <v>111</v>
      </c>
      <c r="K15" s="27">
        <f t="shared" si="1"/>
        <v>4773</v>
      </c>
      <c r="L15" s="28">
        <f t="shared" si="2"/>
        <v>818648</v>
      </c>
    </row>
    <row r="16" spans="1:12" x14ac:dyDescent="0.25">
      <c r="A16" s="19" t="s">
        <v>59</v>
      </c>
      <c r="B16" s="20" t="s">
        <v>60</v>
      </c>
      <c r="C16" s="20" t="s">
        <v>99</v>
      </c>
      <c r="D16" s="21">
        <v>3</v>
      </c>
      <c r="E16" s="21">
        <v>2010</v>
      </c>
      <c r="F16" s="22">
        <v>12000</v>
      </c>
      <c r="G16" s="23">
        <v>115</v>
      </c>
      <c r="H16" s="24">
        <f t="shared" si="0"/>
        <v>1380000</v>
      </c>
      <c r="I16" s="25">
        <v>155</v>
      </c>
      <c r="J16" s="26">
        <f t="shared" si="3"/>
        <v>150</v>
      </c>
      <c r="K16" s="27">
        <f t="shared" si="1"/>
        <v>23250</v>
      </c>
      <c r="L16" s="28">
        <f t="shared" si="2"/>
        <v>1403250</v>
      </c>
    </row>
    <row r="17" spans="1:12" x14ac:dyDescent="0.25">
      <c r="A17" s="19" t="s">
        <v>59</v>
      </c>
      <c r="B17" s="20" t="s">
        <v>60</v>
      </c>
      <c r="C17" s="20" t="s">
        <v>61</v>
      </c>
      <c r="D17" s="21">
        <v>10</v>
      </c>
      <c r="E17" s="21">
        <v>2012</v>
      </c>
      <c r="F17" s="22">
        <v>17500</v>
      </c>
      <c r="G17" s="23">
        <v>125</v>
      </c>
      <c r="H17" s="24">
        <f t="shared" si="0"/>
        <v>2187500</v>
      </c>
      <c r="I17" s="25">
        <v>1234</v>
      </c>
      <c r="J17" s="26">
        <f t="shared" si="3"/>
        <v>163</v>
      </c>
      <c r="K17" s="27">
        <f t="shared" si="1"/>
        <v>201142</v>
      </c>
      <c r="L17" s="28">
        <f t="shared" si="2"/>
        <v>2388642</v>
      </c>
    </row>
    <row r="18" spans="1:12" x14ac:dyDescent="0.25">
      <c r="A18" s="19" t="s">
        <v>31</v>
      </c>
      <c r="B18" s="20" t="s">
        <v>32</v>
      </c>
      <c r="C18" s="20" t="s">
        <v>94</v>
      </c>
      <c r="D18" s="21">
        <v>8</v>
      </c>
      <c r="E18" s="21">
        <v>2011</v>
      </c>
      <c r="F18" s="22">
        <v>18730</v>
      </c>
      <c r="G18" s="23">
        <v>120</v>
      </c>
      <c r="H18" s="24">
        <f t="shared" si="0"/>
        <v>2247600</v>
      </c>
      <c r="I18" s="25">
        <v>432</v>
      </c>
      <c r="J18" s="26">
        <f t="shared" si="3"/>
        <v>156</v>
      </c>
      <c r="K18" s="27">
        <f t="shared" si="1"/>
        <v>67392</v>
      </c>
      <c r="L18" s="28">
        <f t="shared" si="2"/>
        <v>2314992</v>
      </c>
    </row>
    <row r="19" spans="1:12" x14ac:dyDescent="0.25">
      <c r="A19" s="19" t="s">
        <v>31</v>
      </c>
      <c r="B19" s="20" t="s">
        <v>32</v>
      </c>
      <c r="C19" s="20" t="s">
        <v>35</v>
      </c>
      <c r="D19" s="21">
        <v>1</v>
      </c>
      <c r="E19" s="21">
        <v>2012</v>
      </c>
      <c r="F19" s="22">
        <v>11875</v>
      </c>
      <c r="G19" s="23">
        <v>135</v>
      </c>
      <c r="H19" s="24">
        <f t="shared" si="0"/>
        <v>1603125</v>
      </c>
      <c r="I19" s="25">
        <v>1200</v>
      </c>
      <c r="J19" s="26">
        <f t="shared" si="3"/>
        <v>176</v>
      </c>
      <c r="K19" s="27">
        <f t="shared" si="1"/>
        <v>211200</v>
      </c>
      <c r="L19" s="28">
        <f t="shared" si="2"/>
        <v>1814325</v>
      </c>
    </row>
    <row r="20" spans="1:12" x14ac:dyDescent="0.25">
      <c r="A20" s="19" t="s">
        <v>31</v>
      </c>
      <c r="B20" s="20" t="s">
        <v>32</v>
      </c>
      <c r="C20" s="20" t="s">
        <v>37</v>
      </c>
      <c r="D20" s="21">
        <v>5</v>
      </c>
      <c r="E20" s="21">
        <v>2012</v>
      </c>
      <c r="F20" s="22">
        <v>18000</v>
      </c>
      <c r="G20" s="23">
        <v>115</v>
      </c>
      <c r="H20" s="24">
        <f t="shared" si="0"/>
        <v>2070000</v>
      </c>
      <c r="I20" s="25">
        <v>93</v>
      </c>
      <c r="J20" s="26">
        <f t="shared" si="3"/>
        <v>150</v>
      </c>
      <c r="K20" s="27">
        <f t="shared" si="1"/>
        <v>13950</v>
      </c>
      <c r="L20" s="28">
        <f t="shared" si="2"/>
        <v>2083950</v>
      </c>
    </row>
    <row r="21" spans="1:12" x14ac:dyDescent="0.25">
      <c r="A21" s="19" t="s">
        <v>31</v>
      </c>
      <c r="B21" s="20" t="s">
        <v>32</v>
      </c>
      <c r="C21" s="20" t="s">
        <v>36</v>
      </c>
      <c r="D21" s="21">
        <v>2</v>
      </c>
      <c r="E21" s="21">
        <v>2011</v>
      </c>
      <c r="F21" s="22">
        <v>16735</v>
      </c>
      <c r="G21" s="23">
        <v>75</v>
      </c>
      <c r="H21" s="24">
        <f t="shared" si="0"/>
        <v>1255125</v>
      </c>
      <c r="I21" s="25">
        <v>100</v>
      </c>
      <c r="J21" s="26">
        <f t="shared" si="3"/>
        <v>98</v>
      </c>
      <c r="K21" s="27">
        <f t="shared" si="1"/>
        <v>9800</v>
      </c>
      <c r="L21" s="28">
        <f t="shared" si="2"/>
        <v>1264925</v>
      </c>
    </row>
    <row r="22" spans="1:12" x14ac:dyDescent="0.25">
      <c r="A22" s="19" t="s">
        <v>31</v>
      </c>
      <c r="B22" s="20" t="s">
        <v>32</v>
      </c>
      <c r="C22" s="20" t="s">
        <v>34</v>
      </c>
      <c r="D22" s="21">
        <v>5</v>
      </c>
      <c r="E22" s="21">
        <v>2012</v>
      </c>
      <c r="F22" s="22">
        <v>22875</v>
      </c>
      <c r="G22" s="23">
        <v>130</v>
      </c>
      <c r="H22" s="24">
        <f t="shared" si="0"/>
        <v>2973750</v>
      </c>
      <c r="I22" s="25">
        <v>1000</v>
      </c>
      <c r="J22" s="26">
        <f t="shared" si="3"/>
        <v>169</v>
      </c>
      <c r="K22" s="27">
        <f t="shared" si="1"/>
        <v>169000</v>
      </c>
      <c r="L22" s="28">
        <f t="shared" si="2"/>
        <v>3142750</v>
      </c>
    </row>
    <row r="23" spans="1:12" x14ac:dyDescent="0.25">
      <c r="A23" s="19" t="s">
        <v>31</v>
      </c>
      <c r="B23" s="20" t="s">
        <v>32</v>
      </c>
      <c r="C23" s="20" t="s">
        <v>33</v>
      </c>
      <c r="D23" s="21">
        <v>4</v>
      </c>
      <c r="E23" s="21">
        <v>2010</v>
      </c>
      <c r="F23" s="22">
        <v>12345</v>
      </c>
      <c r="G23" s="23">
        <v>100</v>
      </c>
      <c r="H23" s="24">
        <f t="shared" si="0"/>
        <v>1234500</v>
      </c>
      <c r="I23" s="25">
        <v>240</v>
      </c>
      <c r="J23" s="26">
        <f t="shared" si="3"/>
        <v>130</v>
      </c>
      <c r="K23" s="27">
        <f t="shared" si="1"/>
        <v>31200</v>
      </c>
      <c r="L23" s="28">
        <f t="shared" si="2"/>
        <v>1265700</v>
      </c>
    </row>
    <row r="24" spans="1:12" x14ac:dyDescent="0.25">
      <c r="A24" s="19" t="s">
        <v>77</v>
      </c>
      <c r="B24" s="20" t="s">
        <v>10</v>
      </c>
      <c r="C24" s="20" t="s">
        <v>78</v>
      </c>
      <c r="D24" s="21">
        <v>1</v>
      </c>
      <c r="E24" s="21">
        <v>2012</v>
      </c>
      <c r="F24" s="22">
        <v>25983</v>
      </c>
      <c r="G24" s="23">
        <v>115</v>
      </c>
      <c r="H24" s="24">
        <f t="shared" si="0"/>
        <v>2988045</v>
      </c>
      <c r="I24" s="25">
        <v>853</v>
      </c>
      <c r="J24" s="26">
        <f t="shared" si="3"/>
        <v>150</v>
      </c>
      <c r="K24" s="27">
        <f t="shared" si="1"/>
        <v>127950</v>
      </c>
      <c r="L24" s="28">
        <f t="shared" si="2"/>
        <v>3115995</v>
      </c>
    </row>
    <row r="25" spans="1:12" x14ac:dyDescent="0.25">
      <c r="A25" s="19" t="s">
        <v>26</v>
      </c>
      <c r="B25" s="20" t="s">
        <v>10</v>
      </c>
      <c r="C25" s="20" t="s">
        <v>28</v>
      </c>
      <c r="D25" s="21">
        <v>10</v>
      </c>
      <c r="E25" s="21">
        <v>2012</v>
      </c>
      <c r="F25" s="22">
        <v>20300</v>
      </c>
      <c r="G25" s="23">
        <v>115</v>
      </c>
      <c r="H25" s="24">
        <f t="shared" si="0"/>
        <v>2334500</v>
      </c>
      <c r="I25" s="25">
        <v>118</v>
      </c>
      <c r="J25" s="26">
        <f t="shared" si="3"/>
        <v>150</v>
      </c>
      <c r="K25" s="27">
        <f t="shared" si="1"/>
        <v>17700</v>
      </c>
      <c r="L25" s="28">
        <f t="shared" si="2"/>
        <v>2352200</v>
      </c>
    </row>
    <row r="26" spans="1:12" x14ac:dyDescent="0.25">
      <c r="A26" s="19" t="s">
        <v>9</v>
      </c>
      <c r="B26" s="20" t="s">
        <v>10</v>
      </c>
      <c r="C26" s="20" t="s">
        <v>15</v>
      </c>
      <c r="D26" s="21">
        <v>8</v>
      </c>
      <c r="E26" s="21">
        <v>2011</v>
      </c>
      <c r="F26" s="22">
        <v>32123</v>
      </c>
      <c r="G26" s="23">
        <v>95</v>
      </c>
      <c r="H26" s="24">
        <f t="shared" si="0"/>
        <v>3051685</v>
      </c>
      <c r="I26" s="25">
        <v>2375</v>
      </c>
      <c r="J26" s="26">
        <f t="shared" si="3"/>
        <v>124</v>
      </c>
      <c r="K26" s="27">
        <f t="shared" si="1"/>
        <v>294500</v>
      </c>
      <c r="L26" s="28">
        <f t="shared" si="2"/>
        <v>3346185</v>
      </c>
    </row>
    <row r="27" spans="1:12" x14ac:dyDescent="0.25">
      <c r="A27" s="19" t="s">
        <v>9</v>
      </c>
      <c r="B27" s="20" t="s">
        <v>10</v>
      </c>
      <c r="C27" s="20" t="s">
        <v>17</v>
      </c>
      <c r="D27" s="21">
        <v>1</v>
      </c>
      <c r="E27" s="21">
        <v>2012</v>
      </c>
      <c r="F27" s="22">
        <v>4783</v>
      </c>
      <c r="G27" s="23">
        <v>105</v>
      </c>
      <c r="H27" s="24">
        <f t="shared" si="0"/>
        <v>502215</v>
      </c>
      <c r="I27" s="25">
        <v>75</v>
      </c>
      <c r="J27" s="26">
        <f t="shared" si="3"/>
        <v>137</v>
      </c>
      <c r="K27" s="27">
        <f t="shared" si="1"/>
        <v>10275</v>
      </c>
      <c r="L27" s="28">
        <f t="shared" si="2"/>
        <v>512490</v>
      </c>
    </row>
    <row r="28" spans="1:12" x14ac:dyDescent="0.25">
      <c r="A28" s="19" t="s">
        <v>9</v>
      </c>
      <c r="B28" s="20" t="s">
        <v>10</v>
      </c>
      <c r="C28" s="20" t="s">
        <v>14</v>
      </c>
      <c r="D28" s="21">
        <v>1</v>
      </c>
      <c r="E28" s="21">
        <v>2012</v>
      </c>
      <c r="F28" s="22">
        <v>37400</v>
      </c>
      <c r="G28" s="23">
        <v>100</v>
      </c>
      <c r="H28" s="24">
        <f t="shared" si="0"/>
        <v>3740000</v>
      </c>
      <c r="I28" s="25">
        <v>1000</v>
      </c>
      <c r="J28" s="26">
        <f t="shared" si="3"/>
        <v>130</v>
      </c>
      <c r="K28" s="27">
        <f t="shared" si="1"/>
        <v>130000</v>
      </c>
      <c r="L28" s="28">
        <f t="shared" si="2"/>
        <v>3870000</v>
      </c>
    </row>
    <row r="29" spans="1:12" x14ac:dyDescent="0.25">
      <c r="A29" s="19" t="s">
        <v>77</v>
      </c>
      <c r="B29" s="20" t="s">
        <v>10</v>
      </c>
      <c r="C29" s="20" t="s">
        <v>77</v>
      </c>
      <c r="D29" s="21">
        <v>3</v>
      </c>
      <c r="E29" s="21">
        <v>2009</v>
      </c>
      <c r="F29" s="22">
        <v>17353</v>
      </c>
      <c r="G29" s="23">
        <v>105</v>
      </c>
      <c r="H29" s="24">
        <f t="shared" si="0"/>
        <v>1822065</v>
      </c>
      <c r="I29" s="25">
        <v>650</v>
      </c>
      <c r="J29" s="26">
        <f t="shared" si="3"/>
        <v>137</v>
      </c>
      <c r="K29" s="27">
        <f t="shared" si="1"/>
        <v>89050</v>
      </c>
      <c r="L29" s="28">
        <f t="shared" si="2"/>
        <v>1911115</v>
      </c>
    </row>
    <row r="30" spans="1:12" x14ac:dyDescent="0.25">
      <c r="A30" s="19" t="s">
        <v>26</v>
      </c>
      <c r="B30" s="20" t="s">
        <v>10</v>
      </c>
      <c r="C30" s="20" t="s">
        <v>27</v>
      </c>
      <c r="D30" s="21">
        <v>5</v>
      </c>
      <c r="E30" s="21">
        <v>2011</v>
      </c>
      <c r="F30" s="22">
        <v>11329</v>
      </c>
      <c r="G30" s="23">
        <v>90</v>
      </c>
      <c r="H30" s="24">
        <f t="shared" si="0"/>
        <v>1019610</v>
      </c>
      <c r="I30" s="25">
        <v>154</v>
      </c>
      <c r="J30" s="26">
        <f t="shared" si="3"/>
        <v>117</v>
      </c>
      <c r="K30" s="27">
        <f t="shared" si="1"/>
        <v>18018</v>
      </c>
      <c r="L30" s="28">
        <f t="shared" si="2"/>
        <v>1037628</v>
      </c>
    </row>
    <row r="31" spans="1:12" x14ac:dyDescent="0.25">
      <c r="A31" s="19" t="s">
        <v>26</v>
      </c>
      <c r="B31" s="20" t="s">
        <v>10</v>
      </c>
      <c r="C31" s="20" t="s">
        <v>29</v>
      </c>
      <c r="D31" s="21">
        <v>3</v>
      </c>
      <c r="E31" s="21">
        <v>2010</v>
      </c>
      <c r="F31" s="22">
        <v>11342</v>
      </c>
      <c r="G31" s="23">
        <v>115</v>
      </c>
      <c r="H31" s="24">
        <f t="shared" si="0"/>
        <v>1304330</v>
      </c>
      <c r="I31" s="25">
        <v>87</v>
      </c>
      <c r="J31" s="26">
        <f t="shared" si="3"/>
        <v>150</v>
      </c>
      <c r="K31" s="27">
        <f t="shared" si="1"/>
        <v>13050</v>
      </c>
      <c r="L31" s="28">
        <f t="shared" si="2"/>
        <v>1317380</v>
      </c>
    </row>
    <row r="32" spans="1:12" x14ac:dyDescent="0.25">
      <c r="A32" s="19" t="s">
        <v>26</v>
      </c>
      <c r="B32" s="20" t="s">
        <v>10</v>
      </c>
      <c r="C32" s="20" t="s">
        <v>26</v>
      </c>
      <c r="D32" s="21">
        <v>5</v>
      </c>
      <c r="E32" s="21">
        <v>2011</v>
      </c>
      <c r="F32" s="22">
        <v>14333</v>
      </c>
      <c r="G32" s="23">
        <v>100</v>
      </c>
      <c r="H32" s="24">
        <f t="shared" si="0"/>
        <v>1433300</v>
      </c>
      <c r="I32" s="25">
        <v>93</v>
      </c>
      <c r="J32" s="26">
        <f t="shared" si="3"/>
        <v>130</v>
      </c>
      <c r="K32" s="27">
        <f t="shared" si="1"/>
        <v>12090</v>
      </c>
      <c r="L32" s="28">
        <f t="shared" si="2"/>
        <v>1445390</v>
      </c>
    </row>
    <row r="33" spans="1:12" x14ac:dyDescent="0.25">
      <c r="A33" s="19" t="s">
        <v>9</v>
      </c>
      <c r="B33" s="20" t="s">
        <v>10</v>
      </c>
      <c r="C33" s="20" t="s">
        <v>18</v>
      </c>
      <c r="D33" s="21">
        <v>1</v>
      </c>
      <c r="E33" s="21">
        <v>2012</v>
      </c>
      <c r="F33" s="22">
        <v>11983</v>
      </c>
      <c r="G33" s="23">
        <v>55</v>
      </c>
      <c r="H33" s="24">
        <f t="shared" si="0"/>
        <v>659065</v>
      </c>
      <c r="I33" s="25">
        <v>93</v>
      </c>
      <c r="J33" s="26">
        <f t="shared" si="3"/>
        <v>72</v>
      </c>
      <c r="K33" s="27">
        <f t="shared" si="1"/>
        <v>6696</v>
      </c>
      <c r="L33" s="28">
        <f t="shared" si="2"/>
        <v>665761</v>
      </c>
    </row>
    <row r="34" spans="1:12" x14ac:dyDescent="0.25">
      <c r="A34" s="19" t="s">
        <v>77</v>
      </c>
      <c r="B34" s="20" t="s">
        <v>10</v>
      </c>
      <c r="C34" s="20" t="s">
        <v>76</v>
      </c>
      <c r="D34" s="21">
        <v>8</v>
      </c>
      <c r="E34" s="21">
        <v>2010</v>
      </c>
      <c r="F34" s="22">
        <v>15502</v>
      </c>
      <c r="G34" s="23">
        <v>75</v>
      </c>
      <c r="H34" s="24">
        <f t="shared" si="0"/>
        <v>1162650</v>
      </c>
      <c r="I34" s="25">
        <v>73</v>
      </c>
      <c r="J34" s="26">
        <f t="shared" si="3"/>
        <v>98</v>
      </c>
      <c r="K34" s="27">
        <f t="shared" si="1"/>
        <v>7154</v>
      </c>
      <c r="L34" s="28">
        <f t="shared" si="2"/>
        <v>1169804</v>
      </c>
    </row>
    <row r="35" spans="1:12" x14ac:dyDescent="0.25">
      <c r="A35" s="19" t="s">
        <v>77</v>
      </c>
      <c r="B35" s="20" t="s">
        <v>10</v>
      </c>
      <c r="C35" s="20" t="s">
        <v>98</v>
      </c>
      <c r="D35" s="21">
        <v>2</v>
      </c>
      <c r="E35" s="21">
        <v>2011</v>
      </c>
      <c r="F35" s="22">
        <v>8034</v>
      </c>
      <c r="G35" s="23">
        <v>95</v>
      </c>
      <c r="H35" s="24">
        <f t="shared" si="0"/>
        <v>763230</v>
      </c>
      <c r="I35" s="25">
        <v>123</v>
      </c>
      <c r="J35" s="26">
        <f t="shared" si="3"/>
        <v>124</v>
      </c>
      <c r="K35" s="27">
        <f t="shared" si="1"/>
        <v>15252</v>
      </c>
      <c r="L35" s="28">
        <f t="shared" si="2"/>
        <v>778482</v>
      </c>
    </row>
    <row r="36" spans="1:12" x14ac:dyDescent="0.25">
      <c r="A36" s="19" t="s">
        <v>77</v>
      </c>
      <c r="B36" s="20" t="s">
        <v>10</v>
      </c>
      <c r="C36" s="20" t="s">
        <v>75</v>
      </c>
      <c r="D36" s="21">
        <v>5</v>
      </c>
      <c r="E36" s="21">
        <v>2012</v>
      </c>
      <c r="F36" s="22">
        <v>18750</v>
      </c>
      <c r="G36" s="23">
        <v>135</v>
      </c>
      <c r="H36" s="24">
        <f t="shared" si="0"/>
        <v>2531250</v>
      </c>
      <c r="I36" s="25">
        <v>1023</v>
      </c>
      <c r="J36" s="26">
        <f t="shared" si="3"/>
        <v>176</v>
      </c>
      <c r="K36" s="27">
        <f t="shared" si="1"/>
        <v>180048</v>
      </c>
      <c r="L36" s="28">
        <f t="shared" si="2"/>
        <v>2711298</v>
      </c>
    </row>
    <row r="37" spans="1:12" x14ac:dyDescent="0.25">
      <c r="A37" s="19" t="s">
        <v>9</v>
      </c>
      <c r="B37" s="20" t="s">
        <v>10</v>
      </c>
      <c r="C37" s="20" t="s">
        <v>16</v>
      </c>
      <c r="D37" s="21">
        <v>8</v>
      </c>
      <c r="E37" s="21">
        <v>2010</v>
      </c>
      <c r="F37" s="22">
        <v>27523</v>
      </c>
      <c r="G37" s="23">
        <v>99</v>
      </c>
      <c r="H37" s="24">
        <f t="shared" ref="H37:H68" si="4">F37*G37</f>
        <v>2724777</v>
      </c>
      <c r="I37" s="25">
        <v>615</v>
      </c>
      <c r="J37" s="26">
        <f t="shared" si="3"/>
        <v>129</v>
      </c>
      <c r="K37" s="27">
        <f t="shared" ref="K37:K68" si="5">I37*J37</f>
        <v>79335</v>
      </c>
      <c r="L37" s="28">
        <f t="shared" ref="L37:L68" si="6">H37+K37</f>
        <v>2804112</v>
      </c>
    </row>
    <row r="38" spans="1:12" x14ac:dyDescent="0.25">
      <c r="A38" s="19" t="s">
        <v>9</v>
      </c>
      <c r="B38" s="20" t="s">
        <v>11</v>
      </c>
      <c r="C38" s="20" t="s">
        <v>19</v>
      </c>
      <c r="D38" s="21">
        <v>2</v>
      </c>
      <c r="E38" s="21">
        <v>2011</v>
      </c>
      <c r="F38" s="22">
        <v>2500</v>
      </c>
      <c r="G38" s="23">
        <v>85</v>
      </c>
      <c r="H38" s="24">
        <f t="shared" si="4"/>
        <v>212500</v>
      </c>
      <c r="I38" s="25">
        <v>101</v>
      </c>
      <c r="J38" s="26">
        <f t="shared" si="3"/>
        <v>111</v>
      </c>
      <c r="K38" s="27">
        <f t="shared" si="5"/>
        <v>11211</v>
      </c>
      <c r="L38" s="28">
        <f t="shared" si="6"/>
        <v>223711</v>
      </c>
    </row>
    <row r="39" spans="1:12" x14ac:dyDescent="0.25">
      <c r="A39" s="19" t="s">
        <v>9</v>
      </c>
      <c r="B39" s="20" t="s">
        <v>11</v>
      </c>
      <c r="C39" s="20" t="s">
        <v>20</v>
      </c>
      <c r="D39" s="21">
        <v>4</v>
      </c>
      <c r="E39" s="21">
        <v>2010</v>
      </c>
      <c r="F39" s="22">
        <v>3000</v>
      </c>
      <c r="G39" s="23">
        <v>85</v>
      </c>
      <c r="H39" s="24">
        <f t="shared" si="4"/>
        <v>255000</v>
      </c>
      <c r="I39" s="25">
        <v>418</v>
      </c>
      <c r="J39" s="26">
        <f t="shared" si="3"/>
        <v>111</v>
      </c>
      <c r="K39" s="27">
        <f t="shared" si="5"/>
        <v>46398</v>
      </c>
      <c r="L39" s="28">
        <f t="shared" si="6"/>
        <v>301398</v>
      </c>
    </row>
    <row r="40" spans="1:12" x14ac:dyDescent="0.25">
      <c r="A40" s="19" t="s">
        <v>59</v>
      </c>
      <c r="B40" s="20" t="s">
        <v>63</v>
      </c>
      <c r="C40" s="20" t="s">
        <v>67</v>
      </c>
      <c r="D40" s="21">
        <v>7</v>
      </c>
      <c r="E40" s="21">
        <v>2011</v>
      </c>
      <c r="F40" s="22">
        <v>14398</v>
      </c>
      <c r="G40" s="23">
        <v>90</v>
      </c>
      <c r="H40" s="24">
        <f t="shared" si="4"/>
        <v>1295820</v>
      </c>
      <c r="I40" s="25">
        <v>212</v>
      </c>
      <c r="J40" s="26">
        <f t="shared" si="3"/>
        <v>117</v>
      </c>
      <c r="K40" s="27">
        <f t="shared" si="5"/>
        <v>24804</v>
      </c>
      <c r="L40" s="28">
        <f t="shared" si="6"/>
        <v>1320624</v>
      </c>
    </row>
    <row r="41" spans="1:12" x14ac:dyDescent="0.25">
      <c r="A41" s="19" t="s">
        <v>59</v>
      </c>
      <c r="B41" s="20" t="s">
        <v>63</v>
      </c>
      <c r="C41" s="20" t="s">
        <v>66</v>
      </c>
      <c r="D41" s="21">
        <v>3</v>
      </c>
      <c r="E41" s="21">
        <v>2009</v>
      </c>
      <c r="F41" s="22">
        <v>7503</v>
      </c>
      <c r="G41" s="23">
        <v>75</v>
      </c>
      <c r="H41" s="24">
        <f t="shared" si="4"/>
        <v>562725</v>
      </c>
      <c r="I41" s="25">
        <v>29</v>
      </c>
      <c r="J41" s="26">
        <f t="shared" si="3"/>
        <v>98</v>
      </c>
      <c r="K41" s="27">
        <f t="shared" si="5"/>
        <v>2842</v>
      </c>
      <c r="L41" s="28">
        <f t="shared" si="6"/>
        <v>565567</v>
      </c>
    </row>
    <row r="42" spans="1:12" x14ac:dyDescent="0.25">
      <c r="A42" s="19" t="s">
        <v>59</v>
      </c>
      <c r="B42" s="20" t="s">
        <v>63</v>
      </c>
      <c r="C42" s="20" t="s">
        <v>65</v>
      </c>
      <c r="D42" s="21">
        <v>5</v>
      </c>
      <c r="E42" s="21">
        <v>2012</v>
      </c>
      <c r="F42" s="22">
        <v>11234</v>
      </c>
      <c r="G42" s="23">
        <v>125</v>
      </c>
      <c r="H42" s="24">
        <f t="shared" si="4"/>
        <v>1404250</v>
      </c>
      <c r="I42" s="25">
        <v>1034</v>
      </c>
      <c r="J42" s="26">
        <f t="shared" si="3"/>
        <v>163</v>
      </c>
      <c r="K42" s="27">
        <f t="shared" si="5"/>
        <v>168542</v>
      </c>
      <c r="L42" s="28">
        <f t="shared" si="6"/>
        <v>1572792</v>
      </c>
    </row>
    <row r="43" spans="1:12" x14ac:dyDescent="0.25">
      <c r="A43" s="19" t="s">
        <v>59</v>
      </c>
      <c r="B43" s="20" t="s">
        <v>63</v>
      </c>
      <c r="C43" s="20" t="s">
        <v>64</v>
      </c>
      <c r="D43" s="21">
        <v>2</v>
      </c>
      <c r="E43" s="21">
        <v>2010</v>
      </c>
      <c r="F43" s="22">
        <v>4500</v>
      </c>
      <c r="G43" s="23">
        <v>90</v>
      </c>
      <c r="H43" s="24">
        <f t="shared" si="4"/>
        <v>405000</v>
      </c>
      <c r="I43" s="25">
        <v>142</v>
      </c>
      <c r="J43" s="26">
        <f t="shared" si="3"/>
        <v>117</v>
      </c>
      <c r="K43" s="27">
        <f t="shared" si="5"/>
        <v>16614</v>
      </c>
      <c r="L43" s="28">
        <f t="shared" si="6"/>
        <v>421614</v>
      </c>
    </row>
    <row r="44" spans="1:12" x14ac:dyDescent="0.25">
      <c r="A44" s="19" t="s">
        <v>31</v>
      </c>
      <c r="B44" s="20" t="s">
        <v>38</v>
      </c>
      <c r="C44" s="20" t="s">
        <v>41</v>
      </c>
      <c r="D44" s="21">
        <v>10</v>
      </c>
      <c r="E44" s="21">
        <v>2011</v>
      </c>
      <c r="F44" s="22">
        <v>18500</v>
      </c>
      <c r="G44" s="23">
        <v>115</v>
      </c>
      <c r="H44" s="24">
        <f t="shared" si="4"/>
        <v>2127500</v>
      </c>
      <c r="I44" s="25">
        <v>245</v>
      </c>
      <c r="J44" s="26">
        <f t="shared" si="3"/>
        <v>150</v>
      </c>
      <c r="K44" s="27">
        <f t="shared" si="5"/>
        <v>36750</v>
      </c>
      <c r="L44" s="28">
        <f t="shared" si="6"/>
        <v>2164250</v>
      </c>
    </row>
    <row r="45" spans="1:12" x14ac:dyDescent="0.25">
      <c r="A45" s="19" t="s">
        <v>31</v>
      </c>
      <c r="B45" s="20" t="s">
        <v>38</v>
      </c>
      <c r="C45" s="20" t="s">
        <v>39</v>
      </c>
      <c r="D45" s="21">
        <v>10</v>
      </c>
      <c r="E45" s="21">
        <v>2012</v>
      </c>
      <c r="F45" s="22">
        <v>25750</v>
      </c>
      <c r="G45" s="23">
        <v>125</v>
      </c>
      <c r="H45" s="24">
        <f t="shared" si="4"/>
        <v>3218750</v>
      </c>
      <c r="I45" s="25">
        <v>1234</v>
      </c>
      <c r="J45" s="26">
        <f t="shared" si="3"/>
        <v>163</v>
      </c>
      <c r="K45" s="27">
        <f t="shared" si="5"/>
        <v>201142</v>
      </c>
      <c r="L45" s="28">
        <f t="shared" si="6"/>
        <v>3419892</v>
      </c>
    </row>
    <row r="46" spans="1:12" x14ac:dyDescent="0.25">
      <c r="A46" s="19" t="s">
        <v>31</v>
      </c>
      <c r="B46" s="20" t="s">
        <v>38</v>
      </c>
      <c r="C46" s="20" t="s">
        <v>40</v>
      </c>
      <c r="D46" s="21">
        <v>5</v>
      </c>
      <c r="E46" s="21">
        <v>2010</v>
      </c>
      <c r="F46" s="22">
        <v>5500</v>
      </c>
      <c r="G46" s="23">
        <v>90</v>
      </c>
      <c r="H46" s="24">
        <f t="shared" si="4"/>
        <v>495000</v>
      </c>
      <c r="I46" s="25">
        <v>114</v>
      </c>
      <c r="J46" s="26">
        <f t="shared" si="3"/>
        <v>117</v>
      </c>
      <c r="K46" s="27">
        <f t="shared" si="5"/>
        <v>13338</v>
      </c>
      <c r="L46" s="28">
        <f t="shared" si="6"/>
        <v>508338</v>
      </c>
    </row>
    <row r="47" spans="1:12" x14ac:dyDescent="0.25">
      <c r="A47" s="19" t="s">
        <v>42</v>
      </c>
      <c r="B47" s="20" t="s">
        <v>50</v>
      </c>
      <c r="C47" s="20" t="s">
        <v>53</v>
      </c>
      <c r="D47" s="21">
        <v>2</v>
      </c>
      <c r="E47" s="21">
        <v>2009</v>
      </c>
      <c r="F47" s="22">
        <v>4575</v>
      </c>
      <c r="G47" s="23">
        <v>115</v>
      </c>
      <c r="H47" s="24">
        <f t="shared" si="4"/>
        <v>526125</v>
      </c>
      <c r="I47" s="25">
        <v>143</v>
      </c>
      <c r="J47" s="26">
        <f t="shared" si="3"/>
        <v>150</v>
      </c>
      <c r="K47" s="27">
        <f t="shared" si="5"/>
        <v>21450</v>
      </c>
      <c r="L47" s="28">
        <f t="shared" si="6"/>
        <v>547575</v>
      </c>
    </row>
    <row r="48" spans="1:12" x14ac:dyDescent="0.25">
      <c r="A48" s="19" t="s">
        <v>42</v>
      </c>
      <c r="B48" s="20" t="s">
        <v>50</v>
      </c>
      <c r="C48" s="20" t="s">
        <v>52</v>
      </c>
      <c r="D48" s="21">
        <v>3</v>
      </c>
      <c r="E48" s="21">
        <v>2009</v>
      </c>
      <c r="F48" s="22">
        <v>7532</v>
      </c>
      <c r="G48" s="23">
        <v>85</v>
      </c>
      <c r="H48" s="24">
        <f t="shared" si="4"/>
        <v>640220</v>
      </c>
      <c r="I48" s="25">
        <v>83</v>
      </c>
      <c r="J48" s="26">
        <f t="shared" si="3"/>
        <v>111</v>
      </c>
      <c r="K48" s="27">
        <f t="shared" si="5"/>
        <v>9213</v>
      </c>
      <c r="L48" s="28">
        <f t="shared" si="6"/>
        <v>649433</v>
      </c>
    </row>
    <row r="49" spans="1:12" x14ac:dyDescent="0.25">
      <c r="A49" s="19" t="s">
        <v>42</v>
      </c>
      <c r="B49" s="20" t="s">
        <v>50</v>
      </c>
      <c r="C49" s="20" t="s">
        <v>96</v>
      </c>
      <c r="D49" s="21">
        <v>10</v>
      </c>
      <c r="E49" s="21">
        <v>2011</v>
      </c>
      <c r="F49" s="22">
        <v>22345</v>
      </c>
      <c r="G49" s="23">
        <v>135</v>
      </c>
      <c r="H49" s="24">
        <f t="shared" si="4"/>
        <v>3016575</v>
      </c>
      <c r="I49" s="25">
        <v>1288</v>
      </c>
      <c r="J49" s="26">
        <f t="shared" si="3"/>
        <v>176</v>
      </c>
      <c r="K49" s="27">
        <f t="shared" si="5"/>
        <v>226688</v>
      </c>
      <c r="L49" s="28">
        <f t="shared" si="6"/>
        <v>3243263</v>
      </c>
    </row>
    <row r="50" spans="1:12" x14ac:dyDescent="0.25">
      <c r="A50" s="19" t="s">
        <v>42</v>
      </c>
      <c r="B50" s="20" t="s">
        <v>50</v>
      </c>
      <c r="C50" s="20" t="s">
        <v>51</v>
      </c>
      <c r="D50" s="21">
        <v>6</v>
      </c>
      <c r="E50" s="21">
        <v>2012</v>
      </c>
      <c r="F50" s="22">
        <v>19275</v>
      </c>
      <c r="G50" s="23">
        <v>100</v>
      </c>
      <c r="H50" s="24">
        <f t="shared" si="4"/>
        <v>1927500</v>
      </c>
      <c r="I50" s="25">
        <v>1000</v>
      </c>
      <c r="J50" s="26">
        <f t="shared" si="3"/>
        <v>130</v>
      </c>
      <c r="K50" s="27">
        <f t="shared" si="5"/>
        <v>130000</v>
      </c>
      <c r="L50" s="28">
        <f t="shared" si="6"/>
        <v>2057500</v>
      </c>
    </row>
    <row r="51" spans="1:12" x14ac:dyDescent="0.25">
      <c r="A51" s="19" t="s">
        <v>42</v>
      </c>
      <c r="B51" s="20" t="s">
        <v>50</v>
      </c>
      <c r="C51" s="20" t="s">
        <v>95</v>
      </c>
      <c r="D51" s="21">
        <v>9</v>
      </c>
      <c r="E51" s="21">
        <v>2011</v>
      </c>
      <c r="F51" s="22">
        <v>23111</v>
      </c>
      <c r="G51" s="23">
        <v>100</v>
      </c>
      <c r="H51" s="24">
        <f t="shared" si="4"/>
        <v>2311100</v>
      </c>
      <c r="I51" s="25">
        <v>312</v>
      </c>
      <c r="J51" s="26">
        <f t="shared" si="3"/>
        <v>130</v>
      </c>
      <c r="K51" s="27">
        <f t="shared" si="5"/>
        <v>40560</v>
      </c>
      <c r="L51" s="28">
        <f t="shared" si="6"/>
        <v>2351660</v>
      </c>
    </row>
    <row r="52" spans="1:12" x14ac:dyDescent="0.25">
      <c r="A52" s="19" t="s">
        <v>83</v>
      </c>
      <c r="B52" s="20" t="s">
        <v>84</v>
      </c>
      <c r="C52" s="20" t="s">
        <v>86</v>
      </c>
      <c r="D52" s="21">
        <v>4</v>
      </c>
      <c r="E52" s="21">
        <v>2011</v>
      </c>
      <c r="F52" s="22">
        <v>5432</v>
      </c>
      <c r="G52" s="23">
        <v>60</v>
      </c>
      <c r="H52" s="24">
        <f t="shared" si="4"/>
        <v>325920</v>
      </c>
      <c r="I52" s="25">
        <v>15</v>
      </c>
      <c r="J52" s="26">
        <f t="shared" si="3"/>
        <v>78</v>
      </c>
      <c r="K52" s="27">
        <f t="shared" si="5"/>
        <v>1170</v>
      </c>
      <c r="L52" s="28">
        <f t="shared" si="6"/>
        <v>327090</v>
      </c>
    </row>
    <row r="53" spans="1:12" x14ac:dyDescent="0.25">
      <c r="A53" s="19" t="s">
        <v>83</v>
      </c>
      <c r="B53" s="20" t="s">
        <v>84</v>
      </c>
      <c r="C53" s="20" t="s">
        <v>85</v>
      </c>
      <c r="D53" s="21">
        <v>2</v>
      </c>
      <c r="E53" s="21">
        <v>2009</v>
      </c>
      <c r="F53" s="22">
        <v>4500</v>
      </c>
      <c r="G53" s="23">
        <v>55</v>
      </c>
      <c r="H53" s="24">
        <f t="shared" si="4"/>
        <v>247500</v>
      </c>
      <c r="I53" s="25">
        <v>251</v>
      </c>
      <c r="J53" s="26">
        <f t="shared" si="3"/>
        <v>72</v>
      </c>
      <c r="K53" s="27">
        <f t="shared" si="5"/>
        <v>18072</v>
      </c>
      <c r="L53" s="28">
        <f t="shared" si="6"/>
        <v>265572</v>
      </c>
    </row>
    <row r="54" spans="1:12" x14ac:dyDescent="0.25">
      <c r="A54" s="19" t="s">
        <v>83</v>
      </c>
      <c r="B54" s="20" t="s">
        <v>84</v>
      </c>
      <c r="C54" s="20" t="s">
        <v>87</v>
      </c>
      <c r="D54" s="21">
        <v>8</v>
      </c>
      <c r="E54" s="21">
        <v>2012</v>
      </c>
      <c r="F54" s="22">
        <v>12435</v>
      </c>
      <c r="G54" s="23">
        <v>75</v>
      </c>
      <c r="H54" s="24">
        <f t="shared" si="4"/>
        <v>932625</v>
      </c>
      <c r="I54" s="25">
        <v>142</v>
      </c>
      <c r="J54" s="26">
        <f t="shared" si="3"/>
        <v>98</v>
      </c>
      <c r="K54" s="27">
        <f t="shared" si="5"/>
        <v>13916</v>
      </c>
      <c r="L54" s="28">
        <f t="shared" si="6"/>
        <v>946541</v>
      </c>
    </row>
    <row r="55" spans="1:12" x14ac:dyDescent="0.25">
      <c r="A55" s="19" t="s">
        <v>9</v>
      </c>
      <c r="B55" s="20" t="s">
        <v>13</v>
      </c>
      <c r="C55" s="20" t="s">
        <v>24</v>
      </c>
      <c r="D55" s="21">
        <v>8</v>
      </c>
      <c r="E55" s="21">
        <v>2012</v>
      </c>
      <c r="F55" s="22">
        <v>7340</v>
      </c>
      <c r="G55" s="23">
        <v>75</v>
      </c>
      <c r="H55" s="24">
        <f t="shared" si="4"/>
        <v>550500</v>
      </c>
      <c r="I55" s="25">
        <v>94</v>
      </c>
      <c r="J55" s="26">
        <f t="shared" si="3"/>
        <v>98</v>
      </c>
      <c r="K55" s="27">
        <f t="shared" si="5"/>
        <v>9212</v>
      </c>
      <c r="L55" s="28">
        <f t="shared" si="6"/>
        <v>559712</v>
      </c>
    </row>
    <row r="56" spans="1:12" x14ac:dyDescent="0.25">
      <c r="A56" s="19" t="s">
        <v>9</v>
      </c>
      <c r="B56" s="20" t="s">
        <v>13</v>
      </c>
      <c r="C56" s="20" t="s">
        <v>23</v>
      </c>
      <c r="D56" s="21">
        <v>10</v>
      </c>
      <c r="E56" s="21">
        <v>2011</v>
      </c>
      <c r="F56" s="22">
        <v>18350</v>
      </c>
      <c r="G56" s="23">
        <v>125</v>
      </c>
      <c r="H56" s="24">
        <f t="shared" si="4"/>
        <v>2293750</v>
      </c>
      <c r="I56" s="25">
        <v>142</v>
      </c>
      <c r="J56" s="26">
        <f t="shared" si="3"/>
        <v>163</v>
      </c>
      <c r="K56" s="27">
        <f t="shared" si="5"/>
        <v>23146</v>
      </c>
      <c r="L56" s="28">
        <f t="shared" si="6"/>
        <v>2316896</v>
      </c>
    </row>
    <row r="57" spans="1:12" x14ac:dyDescent="0.25">
      <c r="A57" s="19" t="s">
        <v>9</v>
      </c>
      <c r="B57" s="20" t="s">
        <v>13</v>
      </c>
      <c r="C57" s="20" t="s">
        <v>25</v>
      </c>
      <c r="D57" s="21">
        <v>2</v>
      </c>
      <c r="E57" s="21">
        <v>2010</v>
      </c>
      <c r="F57" s="22">
        <v>22418</v>
      </c>
      <c r="G57" s="23">
        <v>90</v>
      </c>
      <c r="H57" s="24">
        <f t="shared" si="4"/>
        <v>2017620</v>
      </c>
      <c r="I57" s="25">
        <v>45</v>
      </c>
      <c r="J57" s="26">
        <f t="shared" si="3"/>
        <v>117</v>
      </c>
      <c r="K57" s="27">
        <f t="shared" si="5"/>
        <v>5265</v>
      </c>
      <c r="L57" s="28">
        <f t="shared" si="6"/>
        <v>2022885</v>
      </c>
    </row>
    <row r="58" spans="1:12" x14ac:dyDescent="0.25">
      <c r="A58" s="19" t="s">
        <v>42</v>
      </c>
      <c r="B58" s="20" t="s">
        <v>43</v>
      </c>
      <c r="C58" s="20" t="s">
        <v>55</v>
      </c>
      <c r="D58" s="21">
        <v>3</v>
      </c>
      <c r="E58" s="21">
        <v>2009</v>
      </c>
      <c r="F58" s="22">
        <v>7550</v>
      </c>
      <c r="G58" s="23">
        <v>115</v>
      </c>
      <c r="H58" s="24">
        <f t="shared" si="4"/>
        <v>868250</v>
      </c>
      <c r="I58" s="25">
        <v>88</v>
      </c>
      <c r="J58" s="26">
        <f t="shared" si="3"/>
        <v>150</v>
      </c>
      <c r="K58" s="27">
        <f t="shared" si="5"/>
        <v>13200</v>
      </c>
      <c r="L58" s="28">
        <f t="shared" si="6"/>
        <v>881450</v>
      </c>
    </row>
    <row r="59" spans="1:12" x14ac:dyDescent="0.25">
      <c r="A59" s="19" t="s">
        <v>42</v>
      </c>
      <c r="B59" s="20" t="s">
        <v>43</v>
      </c>
      <c r="C59" s="20" t="s">
        <v>44</v>
      </c>
      <c r="D59" s="21">
        <v>8</v>
      </c>
      <c r="E59" s="21">
        <v>2011</v>
      </c>
      <c r="F59" s="22">
        <v>23575</v>
      </c>
      <c r="G59" s="23">
        <v>125</v>
      </c>
      <c r="H59" s="24">
        <f t="shared" si="4"/>
        <v>2946875</v>
      </c>
      <c r="I59" s="25">
        <v>1245</v>
      </c>
      <c r="J59" s="26">
        <f t="shared" si="3"/>
        <v>163</v>
      </c>
      <c r="K59" s="27">
        <f t="shared" si="5"/>
        <v>202935</v>
      </c>
      <c r="L59" s="28">
        <f t="shared" si="6"/>
        <v>3149810</v>
      </c>
    </row>
    <row r="60" spans="1:12" x14ac:dyDescent="0.25">
      <c r="A60" s="19" t="s">
        <v>42</v>
      </c>
      <c r="B60" s="20" t="s">
        <v>43</v>
      </c>
      <c r="C60" s="20" t="s">
        <v>48</v>
      </c>
      <c r="D60" s="21">
        <v>3</v>
      </c>
      <c r="E60" s="21">
        <v>2009</v>
      </c>
      <c r="F60" s="22">
        <v>4575</v>
      </c>
      <c r="G60" s="23">
        <v>100</v>
      </c>
      <c r="H60" s="24">
        <f t="shared" si="4"/>
        <v>457500</v>
      </c>
      <c r="I60" s="25">
        <v>63</v>
      </c>
      <c r="J60" s="26">
        <f t="shared" si="3"/>
        <v>130</v>
      </c>
      <c r="K60" s="27">
        <f t="shared" si="5"/>
        <v>8190</v>
      </c>
      <c r="L60" s="28">
        <f t="shared" si="6"/>
        <v>465690</v>
      </c>
    </row>
    <row r="61" spans="1:12" x14ac:dyDescent="0.25">
      <c r="A61" s="19" t="s">
        <v>42</v>
      </c>
      <c r="B61" s="20" t="s">
        <v>43</v>
      </c>
      <c r="C61" s="20" t="s">
        <v>56</v>
      </c>
      <c r="D61" s="21">
        <v>5</v>
      </c>
      <c r="E61" s="21">
        <v>2012</v>
      </c>
      <c r="F61" s="22">
        <v>11234</v>
      </c>
      <c r="G61" s="23">
        <v>100</v>
      </c>
      <c r="H61" s="24">
        <f t="shared" si="4"/>
        <v>1123400</v>
      </c>
      <c r="I61" s="25">
        <v>15</v>
      </c>
      <c r="J61" s="26">
        <f t="shared" si="3"/>
        <v>130</v>
      </c>
      <c r="K61" s="27">
        <f t="shared" si="5"/>
        <v>1950</v>
      </c>
      <c r="L61" s="28">
        <f t="shared" si="6"/>
        <v>1125350</v>
      </c>
    </row>
    <row r="62" spans="1:12" x14ac:dyDescent="0.25">
      <c r="A62" s="19" t="s">
        <v>42</v>
      </c>
      <c r="B62" s="20" t="s">
        <v>43</v>
      </c>
      <c r="C62" s="20" t="s">
        <v>47</v>
      </c>
      <c r="D62" s="21">
        <v>6</v>
      </c>
      <c r="E62" s="21">
        <v>2011</v>
      </c>
      <c r="F62" s="22">
        <v>22345</v>
      </c>
      <c r="G62" s="23">
        <v>115</v>
      </c>
      <c r="H62" s="24">
        <f t="shared" si="4"/>
        <v>2569675</v>
      </c>
      <c r="I62" s="25">
        <v>732</v>
      </c>
      <c r="J62" s="26">
        <f t="shared" si="3"/>
        <v>150</v>
      </c>
      <c r="K62" s="27">
        <f t="shared" si="5"/>
        <v>109800</v>
      </c>
      <c r="L62" s="28">
        <f t="shared" si="6"/>
        <v>2679475</v>
      </c>
    </row>
    <row r="63" spans="1:12" x14ac:dyDescent="0.25">
      <c r="A63" s="19" t="s">
        <v>42</v>
      </c>
      <c r="B63" s="20" t="s">
        <v>43</v>
      </c>
      <c r="C63" s="20" t="s">
        <v>49</v>
      </c>
      <c r="D63" s="21">
        <v>7</v>
      </c>
      <c r="E63" s="21">
        <v>2010</v>
      </c>
      <c r="F63" s="22">
        <v>14875</v>
      </c>
      <c r="G63" s="23">
        <v>95</v>
      </c>
      <c r="H63" s="24">
        <f t="shared" si="4"/>
        <v>1413125</v>
      </c>
      <c r="I63" s="25">
        <v>112</v>
      </c>
      <c r="J63" s="26">
        <f t="shared" si="3"/>
        <v>124</v>
      </c>
      <c r="K63" s="27">
        <f t="shared" si="5"/>
        <v>13888</v>
      </c>
      <c r="L63" s="28">
        <f t="shared" si="6"/>
        <v>1427013</v>
      </c>
    </row>
    <row r="64" spans="1:12" x14ac:dyDescent="0.25">
      <c r="A64" s="19" t="s">
        <v>83</v>
      </c>
      <c r="B64" s="20" t="s">
        <v>88</v>
      </c>
      <c r="C64" s="20" t="s">
        <v>89</v>
      </c>
      <c r="D64" s="21">
        <v>1</v>
      </c>
      <c r="E64" s="21">
        <v>2010</v>
      </c>
      <c r="F64" s="22">
        <v>750</v>
      </c>
      <c r="G64" s="23">
        <v>85</v>
      </c>
      <c r="H64" s="24">
        <f t="shared" si="4"/>
        <v>63750</v>
      </c>
      <c r="I64" s="25">
        <v>10</v>
      </c>
      <c r="J64" s="26">
        <f t="shared" si="3"/>
        <v>111</v>
      </c>
      <c r="K64" s="27">
        <f t="shared" si="5"/>
        <v>1110</v>
      </c>
      <c r="L64" s="28">
        <f t="shared" si="6"/>
        <v>64860</v>
      </c>
    </row>
    <row r="65" spans="1:12" x14ac:dyDescent="0.25">
      <c r="A65" s="19" t="s">
        <v>83</v>
      </c>
      <c r="B65" s="20" t="s">
        <v>88</v>
      </c>
      <c r="C65" s="20" t="s">
        <v>97</v>
      </c>
      <c r="D65" s="21">
        <v>8</v>
      </c>
      <c r="E65" s="21">
        <v>2012</v>
      </c>
      <c r="F65" s="22">
        <v>14000</v>
      </c>
      <c r="G65" s="23">
        <v>115</v>
      </c>
      <c r="H65" s="24">
        <f t="shared" si="4"/>
        <v>1610000</v>
      </c>
      <c r="I65" s="25">
        <v>1420</v>
      </c>
      <c r="J65" s="26">
        <f t="shared" si="3"/>
        <v>150</v>
      </c>
      <c r="K65" s="27">
        <f t="shared" si="5"/>
        <v>213000</v>
      </c>
      <c r="L65" s="28">
        <f t="shared" si="6"/>
        <v>1823000</v>
      </c>
    </row>
    <row r="66" spans="1:12" x14ac:dyDescent="0.25">
      <c r="A66" s="19" t="s">
        <v>68</v>
      </c>
      <c r="B66" s="20" t="s">
        <v>69</v>
      </c>
      <c r="C66" s="20" t="s">
        <v>73</v>
      </c>
      <c r="D66" s="21">
        <v>3</v>
      </c>
      <c r="E66" s="21">
        <v>2010</v>
      </c>
      <c r="F66" s="22">
        <v>4500</v>
      </c>
      <c r="G66" s="23">
        <v>95</v>
      </c>
      <c r="H66" s="24">
        <f t="shared" si="4"/>
        <v>427500</v>
      </c>
      <c r="I66" s="25">
        <v>12</v>
      </c>
      <c r="J66" s="26">
        <f t="shared" si="3"/>
        <v>124</v>
      </c>
      <c r="K66" s="27">
        <f t="shared" si="5"/>
        <v>1488</v>
      </c>
      <c r="L66" s="28">
        <f t="shared" si="6"/>
        <v>428988</v>
      </c>
    </row>
    <row r="67" spans="1:12" x14ac:dyDescent="0.25">
      <c r="A67" s="19" t="s">
        <v>68</v>
      </c>
      <c r="B67" s="20" t="s">
        <v>69</v>
      </c>
      <c r="C67" s="20" t="s">
        <v>74</v>
      </c>
      <c r="D67" s="21">
        <v>4</v>
      </c>
      <c r="E67" s="21">
        <v>2009</v>
      </c>
      <c r="F67" s="22">
        <v>10432</v>
      </c>
      <c r="G67" s="23">
        <v>100</v>
      </c>
      <c r="H67" s="24">
        <f t="shared" si="4"/>
        <v>1043200</v>
      </c>
      <c r="I67" s="25">
        <v>43</v>
      </c>
      <c r="J67" s="26">
        <f t="shared" si="3"/>
        <v>130</v>
      </c>
      <c r="K67" s="27">
        <f t="shared" si="5"/>
        <v>5590</v>
      </c>
      <c r="L67" s="28">
        <f t="shared" si="6"/>
        <v>1048790</v>
      </c>
    </row>
    <row r="68" spans="1:12" x14ac:dyDescent="0.25">
      <c r="A68" s="19" t="s">
        <v>68</v>
      </c>
      <c r="B68" s="20" t="s">
        <v>69</v>
      </c>
      <c r="C68" s="20" t="s">
        <v>69</v>
      </c>
      <c r="D68" s="21">
        <v>3</v>
      </c>
      <c r="E68" s="21">
        <v>2010</v>
      </c>
      <c r="F68" s="22">
        <v>11234</v>
      </c>
      <c r="G68" s="23">
        <v>85</v>
      </c>
      <c r="H68" s="24">
        <f t="shared" si="4"/>
        <v>954890</v>
      </c>
      <c r="I68" s="25">
        <v>76</v>
      </c>
      <c r="J68" s="26">
        <f t="shared" si="3"/>
        <v>111</v>
      </c>
      <c r="K68" s="27">
        <f t="shared" si="5"/>
        <v>8436</v>
      </c>
      <c r="L68" s="28">
        <f t="shared" si="6"/>
        <v>963326</v>
      </c>
    </row>
    <row r="69" spans="1:12" x14ac:dyDescent="0.25">
      <c r="A69" s="19" t="s">
        <v>68</v>
      </c>
      <c r="B69" s="20" t="s">
        <v>69</v>
      </c>
      <c r="C69" s="20" t="s">
        <v>70</v>
      </c>
      <c r="D69" s="21">
        <v>1</v>
      </c>
      <c r="E69" s="21">
        <v>2012</v>
      </c>
      <c r="F69" s="22">
        <v>5387</v>
      </c>
      <c r="G69" s="23">
        <v>85</v>
      </c>
      <c r="H69" s="24">
        <f t="shared" ref="H69:H74" si="7">F69*G69</f>
        <v>457895</v>
      </c>
      <c r="I69" s="25">
        <v>34</v>
      </c>
      <c r="J69" s="26">
        <f t="shared" si="3"/>
        <v>111</v>
      </c>
      <c r="K69" s="27">
        <f t="shared" ref="K69:K74" si="8">I69*J69</f>
        <v>3774</v>
      </c>
      <c r="L69" s="28">
        <f t="shared" ref="L69:L74" si="9">H69+K69</f>
        <v>461669</v>
      </c>
    </row>
    <row r="70" spans="1:12" x14ac:dyDescent="0.25">
      <c r="A70" s="19" t="s">
        <v>68</v>
      </c>
      <c r="B70" s="20" t="s">
        <v>69</v>
      </c>
      <c r="C70" s="20" t="s">
        <v>72</v>
      </c>
      <c r="D70" s="21">
        <v>2</v>
      </c>
      <c r="E70" s="21">
        <v>2011</v>
      </c>
      <c r="F70" s="22">
        <v>7560</v>
      </c>
      <c r="G70" s="23">
        <v>80</v>
      </c>
      <c r="H70" s="24">
        <f t="shared" si="7"/>
        <v>604800</v>
      </c>
      <c r="I70" s="25">
        <v>69</v>
      </c>
      <c r="J70" s="26">
        <f t="shared" ref="J70:J74" si="10">ROUND(G70*$J$1,0)</f>
        <v>104</v>
      </c>
      <c r="K70" s="27">
        <f t="shared" si="8"/>
        <v>7176</v>
      </c>
      <c r="L70" s="28">
        <f t="shared" si="9"/>
        <v>611976</v>
      </c>
    </row>
    <row r="71" spans="1:12" x14ac:dyDescent="0.25">
      <c r="A71" s="19" t="s">
        <v>68</v>
      </c>
      <c r="B71" s="20" t="s">
        <v>69</v>
      </c>
      <c r="C71" s="20" t="s">
        <v>71</v>
      </c>
      <c r="D71" s="21">
        <v>6</v>
      </c>
      <c r="E71" s="21">
        <v>2011</v>
      </c>
      <c r="F71" s="22">
        <v>12400</v>
      </c>
      <c r="G71" s="23">
        <v>95</v>
      </c>
      <c r="H71" s="24">
        <f t="shared" si="7"/>
        <v>1178000</v>
      </c>
      <c r="I71" s="25">
        <v>100</v>
      </c>
      <c r="J71" s="26">
        <f t="shared" si="10"/>
        <v>124</v>
      </c>
      <c r="K71" s="27">
        <f t="shared" si="8"/>
        <v>12400</v>
      </c>
      <c r="L71" s="28">
        <f t="shared" si="9"/>
        <v>1190400</v>
      </c>
    </row>
    <row r="72" spans="1:12" x14ac:dyDescent="0.25">
      <c r="A72" s="19" t="s">
        <v>77</v>
      </c>
      <c r="B72" s="20" t="s">
        <v>79</v>
      </c>
      <c r="C72" s="20" t="s">
        <v>82</v>
      </c>
      <c r="D72" s="21">
        <v>3</v>
      </c>
      <c r="E72" s="21">
        <v>2009</v>
      </c>
      <c r="F72" s="22">
        <v>5321</v>
      </c>
      <c r="G72" s="23">
        <v>85</v>
      </c>
      <c r="H72" s="24">
        <f t="shared" si="7"/>
        <v>452285</v>
      </c>
      <c r="I72" s="25">
        <v>11</v>
      </c>
      <c r="J72" s="26">
        <f t="shared" si="10"/>
        <v>111</v>
      </c>
      <c r="K72" s="27">
        <f t="shared" si="8"/>
        <v>1221</v>
      </c>
      <c r="L72" s="28">
        <f t="shared" si="9"/>
        <v>453506</v>
      </c>
    </row>
    <row r="73" spans="1:12" x14ac:dyDescent="0.25">
      <c r="A73" s="19" t="s">
        <v>77</v>
      </c>
      <c r="B73" s="20" t="s">
        <v>79</v>
      </c>
      <c r="C73" s="20" t="s">
        <v>80</v>
      </c>
      <c r="D73" s="21">
        <v>7</v>
      </c>
      <c r="E73" s="21">
        <v>2011</v>
      </c>
      <c r="F73" s="22">
        <v>18950</v>
      </c>
      <c r="G73" s="23">
        <v>125</v>
      </c>
      <c r="H73" s="24">
        <f t="shared" si="7"/>
        <v>2368750</v>
      </c>
      <c r="I73" s="25">
        <v>1654</v>
      </c>
      <c r="J73" s="26">
        <f t="shared" si="10"/>
        <v>163</v>
      </c>
      <c r="K73" s="27">
        <f t="shared" si="8"/>
        <v>269602</v>
      </c>
      <c r="L73" s="28">
        <f t="shared" si="9"/>
        <v>2638352</v>
      </c>
    </row>
    <row r="74" spans="1:12" x14ac:dyDescent="0.25">
      <c r="A74" s="29" t="s">
        <v>77</v>
      </c>
      <c r="B74" s="30" t="s">
        <v>79</v>
      </c>
      <c r="C74" s="30" t="s">
        <v>81</v>
      </c>
      <c r="D74" s="31">
        <v>5</v>
      </c>
      <c r="E74" s="31">
        <v>2012</v>
      </c>
      <c r="F74" s="32">
        <v>15768</v>
      </c>
      <c r="G74" s="33">
        <v>95</v>
      </c>
      <c r="H74" s="34">
        <f t="shared" si="7"/>
        <v>1497960</v>
      </c>
      <c r="I74" s="35">
        <v>143</v>
      </c>
      <c r="J74" s="36">
        <f t="shared" si="10"/>
        <v>124</v>
      </c>
      <c r="K74" s="37">
        <f t="shared" si="8"/>
        <v>17732</v>
      </c>
      <c r="L74" s="38">
        <f t="shared" si="9"/>
        <v>1515692</v>
      </c>
    </row>
  </sheetData>
  <mergeCells count="1">
    <mergeCell ref="A1:C2"/>
  </mergeCells>
  <pageMargins left="0.7" right="0.7" top="0.75" bottom="0.75" header="0.3" footer="0.3"/>
  <pageSetup orientation="portrait" horizontalDpi="4294967293" verticalDpi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zoomScale="140" zoomScaleNormal="140" zoomScalePageLayoutView="140" workbookViewId="0">
      <selection activeCell="B15" sqref="B15"/>
    </sheetView>
  </sheetViews>
  <sheetFormatPr defaultColWidth="8.85546875" defaultRowHeight="15" x14ac:dyDescent="0.25"/>
  <cols>
    <col min="1" max="1" width="20.28515625" bestFit="1" customWidth="1"/>
    <col min="2" max="2" width="17.5703125" bestFit="1" customWidth="1"/>
    <col min="3" max="3" width="8" customWidth="1"/>
    <col min="4" max="4" width="8.42578125" customWidth="1"/>
    <col min="5" max="5" width="29.42578125" customWidth="1"/>
    <col min="6" max="6" width="9.28515625" bestFit="1" customWidth="1"/>
    <col min="7" max="7" width="11.42578125" bestFit="1" customWidth="1"/>
  </cols>
  <sheetData>
    <row r="1" spans="1:5" x14ac:dyDescent="0.25">
      <c r="A1" s="39" t="s">
        <v>106</v>
      </c>
    </row>
    <row r="2" spans="1:5" x14ac:dyDescent="0.25">
      <c r="A2" s="39" t="s">
        <v>4</v>
      </c>
      <c r="B2" t="s">
        <v>118</v>
      </c>
      <c r="E2" s="47" t="s">
        <v>119</v>
      </c>
    </row>
    <row r="3" spans="1:5" x14ac:dyDescent="0.25">
      <c r="A3" s="40">
        <v>2009</v>
      </c>
      <c r="B3" s="41">
        <v>7399597</v>
      </c>
      <c r="D3" s="41"/>
      <c r="E3" s="49">
        <f>GETPIVOTDATA("Sum of Total Sales ($)",$A$1,"Copyright",A3)</f>
        <v>7399597</v>
      </c>
    </row>
    <row r="4" spans="1:5" x14ac:dyDescent="0.25">
      <c r="A4" s="40">
        <v>2010</v>
      </c>
      <c r="B4" s="41">
        <v>14785368</v>
      </c>
      <c r="D4" s="41"/>
      <c r="E4" s="49">
        <f t="shared" ref="E4:E6" si="0">GETPIVOTDATA("Sum of Total Sales ($)",$A$1,"Copyright",A4)</f>
        <v>14785368</v>
      </c>
    </row>
    <row r="5" spans="1:5" x14ac:dyDescent="0.25">
      <c r="A5" s="40">
        <v>2011</v>
      </c>
      <c r="B5" s="41">
        <v>36996586</v>
      </c>
      <c r="D5" s="41"/>
      <c r="E5" s="49">
        <f t="shared" si="0"/>
        <v>36996586</v>
      </c>
    </row>
    <row r="6" spans="1:5" x14ac:dyDescent="0.25">
      <c r="A6" s="40">
        <v>2012</v>
      </c>
      <c r="B6" s="41">
        <v>41267962</v>
      </c>
      <c r="D6" s="41"/>
      <c r="E6" s="49">
        <f t="shared" si="0"/>
        <v>41267962</v>
      </c>
    </row>
    <row r="7" spans="1:5" x14ac:dyDescent="0.25">
      <c r="A7" s="40" t="s">
        <v>105</v>
      </c>
      <c r="B7" s="41">
        <v>100449513</v>
      </c>
      <c r="D7" s="41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4"/>
  <sheetViews>
    <sheetView workbookViewId="0">
      <selection activeCell="D20" sqref="D20"/>
    </sheetView>
  </sheetViews>
  <sheetFormatPr defaultColWidth="8.85546875" defaultRowHeight="15" x14ac:dyDescent="0.25"/>
  <cols>
    <col min="1" max="1" width="17.7109375" bestFit="1" customWidth="1"/>
    <col min="2" max="2" width="11.28515625" bestFit="1" customWidth="1"/>
    <col min="3" max="5" width="11.7109375" bestFit="1" customWidth="1"/>
    <col min="6" max="6" width="12.7109375" bestFit="1" customWidth="1"/>
  </cols>
  <sheetData>
    <row r="3" spans="1:6" x14ac:dyDescent="0.25">
      <c r="A3" s="39" t="s">
        <v>106</v>
      </c>
      <c r="B3" s="39" t="s">
        <v>4</v>
      </c>
    </row>
    <row r="4" spans="1:6" x14ac:dyDescent="0.25">
      <c r="A4" s="39" t="s">
        <v>0</v>
      </c>
      <c r="B4">
        <v>2009</v>
      </c>
      <c r="C4">
        <v>2010</v>
      </c>
      <c r="D4">
        <v>2011</v>
      </c>
      <c r="E4">
        <v>2012</v>
      </c>
      <c r="F4" t="s">
        <v>105</v>
      </c>
    </row>
    <row r="5" spans="1:6" x14ac:dyDescent="0.25">
      <c r="A5" s="40" t="s">
        <v>68</v>
      </c>
      <c r="B5" s="44">
        <v>1048790</v>
      </c>
      <c r="C5" s="44">
        <v>1392314</v>
      </c>
      <c r="D5" s="44">
        <v>1802376</v>
      </c>
      <c r="E5" s="44">
        <v>461669</v>
      </c>
      <c r="F5" s="44">
        <v>4705149</v>
      </c>
    </row>
    <row r="6" spans="1:6" x14ac:dyDescent="0.25">
      <c r="A6" s="40" t="s">
        <v>90</v>
      </c>
      <c r="B6" s="44">
        <v>346047</v>
      </c>
      <c r="C6" s="44"/>
      <c r="D6" s="44">
        <v>2028000</v>
      </c>
      <c r="E6" s="44">
        <v>2793349</v>
      </c>
      <c r="F6" s="44">
        <v>5167396</v>
      </c>
    </row>
    <row r="7" spans="1:6" x14ac:dyDescent="0.25">
      <c r="A7" s="40" t="s">
        <v>59</v>
      </c>
      <c r="B7" s="44">
        <v>565567</v>
      </c>
      <c r="C7" s="44">
        <v>1824864</v>
      </c>
      <c r="D7" s="44">
        <v>2139272</v>
      </c>
      <c r="E7" s="44">
        <v>3961434</v>
      </c>
      <c r="F7" s="44">
        <v>8491137</v>
      </c>
    </row>
    <row r="8" spans="1:6" x14ac:dyDescent="0.25">
      <c r="A8" s="40" t="s">
        <v>9</v>
      </c>
      <c r="B8" s="44"/>
      <c r="C8" s="44">
        <v>5128395</v>
      </c>
      <c r="D8" s="44">
        <v>6982667</v>
      </c>
      <c r="E8" s="44">
        <v>5765189</v>
      </c>
      <c r="F8" s="44">
        <v>17876251</v>
      </c>
    </row>
    <row r="9" spans="1:6" x14ac:dyDescent="0.25">
      <c r="A9" s="40" t="s">
        <v>83</v>
      </c>
      <c r="B9" s="44">
        <v>265572</v>
      </c>
      <c r="C9" s="44">
        <v>64860</v>
      </c>
      <c r="D9" s="44">
        <v>327090</v>
      </c>
      <c r="E9" s="44">
        <v>2769541</v>
      </c>
      <c r="F9" s="44">
        <v>3427063</v>
      </c>
    </row>
    <row r="10" spans="1:6" x14ac:dyDescent="0.25">
      <c r="A10" s="40" t="s">
        <v>31</v>
      </c>
      <c r="B10" s="44"/>
      <c r="C10" s="44">
        <v>1774038</v>
      </c>
      <c r="D10" s="44">
        <v>5744167</v>
      </c>
      <c r="E10" s="44">
        <v>10460917</v>
      </c>
      <c r="F10" s="44">
        <v>17979122</v>
      </c>
    </row>
    <row r="11" spans="1:6" x14ac:dyDescent="0.25">
      <c r="A11" s="40" t="s">
        <v>42</v>
      </c>
      <c r="B11" s="44">
        <v>2544148</v>
      </c>
      <c r="C11" s="44">
        <v>2113713</v>
      </c>
      <c r="D11" s="44">
        <v>12073162</v>
      </c>
      <c r="E11" s="44">
        <v>5360678</v>
      </c>
      <c r="F11" s="44">
        <v>22091701</v>
      </c>
    </row>
    <row r="12" spans="1:6" x14ac:dyDescent="0.25">
      <c r="A12" s="40" t="s">
        <v>26</v>
      </c>
      <c r="B12" s="44">
        <v>264852</v>
      </c>
      <c r="C12" s="44">
        <v>1317380</v>
      </c>
      <c r="D12" s="44">
        <v>2483018</v>
      </c>
      <c r="E12" s="44">
        <v>2352200</v>
      </c>
      <c r="F12" s="44">
        <v>6417450</v>
      </c>
    </row>
    <row r="13" spans="1:6" x14ac:dyDescent="0.25">
      <c r="A13" s="40" t="s">
        <v>77</v>
      </c>
      <c r="B13" s="44">
        <v>2364621</v>
      </c>
      <c r="C13" s="44">
        <v>1169804</v>
      </c>
      <c r="D13" s="44">
        <v>3416834</v>
      </c>
      <c r="E13" s="44">
        <v>7342985</v>
      </c>
      <c r="F13" s="44">
        <v>14294244</v>
      </c>
    </row>
    <row r="14" spans="1:6" x14ac:dyDescent="0.25">
      <c r="A14" s="40" t="s">
        <v>105</v>
      </c>
      <c r="B14" s="44">
        <v>7399597</v>
      </c>
      <c r="C14" s="44">
        <v>14785368</v>
      </c>
      <c r="D14" s="44">
        <v>36996586</v>
      </c>
      <c r="E14" s="44">
        <v>41267962</v>
      </c>
      <c r="F14" s="44">
        <v>100449513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E30" sqref="E30"/>
    </sheetView>
  </sheetViews>
  <sheetFormatPr defaultColWidth="8.85546875" defaultRowHeight="15" x14ac:dyDescent="0.25"/>
  <cols>
    <col min="1" max="1" width="11.85546875" bestFit="1" customWidth="1"/>
    <col min="2" max="2" width="24" bestFit="1" customWidth="1"/>
    <col min="3" max="3" width="18.140625" bestFit="1" customWidth="1"/>
    <col min="4" max="4" width="20.140625" bestFit="1" customWidth="1"/>
    <col min="5" max="5" width="24.7109375" bestFit="1" customWidth="1"/>
    <col min="6" max="6" width="21.42578125" bestFit="1" customWidth="1"/>
  </cols>
  <sheetData>
    <row r="1" spans="1:6" x14ac:dyDescent="0.25">
      <c r="A1" s="39" t="s">
        <v>0</v>
      </c>
      <c r="B1" t="s">
        <v>121</v>
      </c>
    </row>
    <row r="3" spans="1:6" x14ac:dyDescent="0.25">
      <c r="A3" s="39" t="s">
        <v>4</v>
      </c>
      <c r="B3" s="39" t="s">
        <v>1</v>
      </c>
      <c r="C3" t="s">
        <v>108</v>
      </c>
      <c r="D3" t="s">
        <v>106</v>
      </c>
      <c r="E3" t="s">
        <v>109</v>
      </c>
      <c r="F3" t="s">
        <v>110</v>
      </c>
    </row>
    <row r="4" spans="1:6" x14ac:dyDescent="0.25">
      <c r="A4">
        <v>2009</v>
      </c>
      <c r="C4" s="42">
        <v>11</v>
      </c>
      <c r="D4" s="41">
        <v>7399597</v>
      </c>
      <c r="E4" s="41">
        <v>672690.63636363635</v>
      </c>
      <c r="F4" s="48">
        <v>81887</v>
      </c>
    </row>
    <row r="5" spans="1:6" x14ac:dyDescent="0.25">
      <c r="B5" t="s">
        <v>12</v>
      </c>
      <c r="C5" s="42">
        <v>1</v>
      </c>
      <c r="D5" s="41">
        <v>264852</v>
      </c>
      <c r="E5" s="41">
        <v>264852</v>
      </c>
      <c r="F5" s="48">
        <v>3524</v>
      </c>
    </row>
    <row r="6" spans="1:6" x14ac:dyDescent="0.25">
      <c r="B6" t="s">
        <v>91</v>
      </c>
      <c r="C6" s="42">
        <v>1</v>
      </c>
      <c r="D6" s="41">
        <v>346047</v>
      </c>
      <c r="E6" s="41">
        <v>346047</v>
      </c>
      <c r="F6" s="48">
        <v>7661</v>
      </c>
    </row>
    <row r="7" spans="1:6" x14ac:dyDescent="0.25">
      <c r="B7" t="s">
        <v>10</v>
      </c>
      <c r="C7" s="42">
        <v>1</v>
      </c>
      <c r="D7" s="41">
        <v>1911115</v>
      </c>
      <c r="E7" s="41">
        <v>1911115</v>
      </c>
      <c r="F7" s="48">
        <v>18003</v>
      </c>
    </row>
    <row r="8" spans="1:6" x14ac:dyDescent="0.25">
      <c r="B8" t="s">
        <v>63</v>
      </c>
      <c r="C8" s="42">
        <v>1</v>
      </c>
      <c r="D8" s="41">
        <v>565567</v>
      </c>
      <c r="E8" s="41">
        <v>565567</v>
      </c>
      <c r="F8" s="48">
        <v>7532</v>
      </c>
    </row>
    <row r="9" spans="1:6" x14ac:dyDescent="0.25">
      <c r="B9" t="s">
        <v>50</v>
      </c>
      <c r="C9" s="42">
        <v>2</v>
      </c>
      <c r="D9" s="41">
        <v>1197008</v>
      </c>
      <c r="E9" s="41">
        <v>598504</v>
      </c>
      <c r="F9" s="48">
        <v>12333</v>
      </c>
    </row>
    <row r="10" spans="1:6" x14ac:dyDescent="0.25">
      <c r="B10" t="s">
        <v>84</v>
      </c>
      <c r="C10" s="42">
        <v>1</v>
      </c>
      <c r="D10" s="41">
        <v>265572</v>
      </c>
      <c r="E10" s="41">
        <v>265572</v>
      </c>
      <c r="F10" s="48">
        <v>4751</v>
      </c>
    </row>
    <row r="11" spans="1:6" x14ac:dyDescent="0.25">
      <c r="B11" t="s">
        <v>43</v>
      </c>
      <c r="C11" s="42">
        <v>2</v>
      </c>
      <c r="D11" s="41">
        <v>1347140</v>
      </c>
      <c r="E11" s="41">
        <v>673570</v>
      </c>
      <c r="F11" s="48">
        <v>12276</v>
      </c>
    </row>
    <row r="12" spans="1:6" x14ac:dyDescent="0.25">
      <c r="B12" t="s">
        <v>69</v>
      </c>
      <c r="C12" s="42">
        <v>1</v>
      </c>
      <c r="D12" s="41">
        <v>1048790</v>
      </c>
      <c r="E12" s="41">
        <v>1048790</v>
      </c>
      <c r="F12" s="48">
        <v>10475</v>
      </c>
    </row>
    <row r="13" spans="1:6" x14ac:dyDescent="0.25">
      <c r="B13" t="s">
        <v>79</v>
      </c>
      <c r="C13" s="42">
        <v>1</v>
      </c>
      <c r="D13" s="41">
        <v>453506</v>
      </c>
      <c r="E13" s="41">
        <v>453506</v>
      </c>
      <c r="F13" s="48">
        <v>5332</v>
      </c>
    </row>
    <row r="14" spans="1:6" x14ac:dyDescent="0.25">
      <c r="A14">
        <v>2010</v>
      </c>
      <c r="C14" s="42">
        <v>14</v>
      </c>
      <c r="D14" s="41">
        <v>14785368</v>
      </c>
      <c r="E14" s="41">
        <v>1056097.7142857143</v>
      </c>
      <c r="F14" s="48">
        <v>155188</v>
      </c>
    </row>
    <row r="15" spans="1:6" x14ac:dyDescent="0.25">
      <c r="B15" t="s">
        <v>54</v>
      </c>
      <c r="C15" s="42">
        <v>1</v>
      </c>
      <c r="D15" s="41">
        <v>686700</v>
      </c>
      <c r="E15" s="41">
        <v>686700</v>
      </c>
      <c r="F15" s="48">
        <v>7600</v>
      </c>
    </row>
    <row r="16" spans="1:6" x14ac:dyDescent="0.25">
      <c r="B16" t="s">
        <v>60</v>
      </c>
      <c r="C16" s="42">
        <v>1</v>
      </c>
      <c r="D16" s="41">
        <v>1403250</v>
      </c>
      <c r="E16" s="41">
        <v>1403250</v>
      </c>
      <c r="F16" s="48">
        <v>12155</v>
      </c>
    </row>
    <row r="17" spans="1:6" x14ac:dyDescent="0.25">
      <c r="B17" t="s">
        <v>32</v>
      </c>
      <c r="C17" s="42">
        <v>1</v>
      </c>
      <c r="D17" s="41">
        <v>1265700</v>
      </c>
      <c r="E17" s="41">
        <v>1265700</v>
      </c>
      <c r="F17" s="48">
        <v>12585</v>
      </c>
    </row>
    <row r="18" spans="1:6" x14ac:dyDescent="0.25">
      <c r="B18" t="s">
        <v>10</v>
      </c>
      <c r="C18" s="42">
        <v>3</v>
      </c>
      <c r="D18" s="41">
        <v>5291296</v>
      </c>
      <c r="E18" s="41">
        <v>1763765.3333333333</v>
      </c>
      <c r="F18" s="48">
        <v>55142</v>
      </c>
    </row>
    <row r="19" spans="1:6" x14ac:dyDescent="0.25">
      <c r="B19" t="s">
        <v>11</v>
      </c>
      <c r="C19" s="42">
        <v>1</v>
      </c>
      <c r="D19" s="41">
        <v>301398</v>
      </c>
      <c r="E19" s="41">
        <v>301398</v>
      </c>
      <c r="F19" s="48">
        <v>3418</v>
      </c>
    </row>
    <row r="20" spans="1:6" x14ac:dyDescent="0.25">
      <c r="B20" t="s">
        <v>63</v>
      </c>
      <c r="C20" s="42">
        <v>1</v>
      </c>
      <c r="D20" s="41">
        <v>421614</v>
      </c>
      <c r="E20" s="41">
        <v>421614</v>
      </c>
      <c r="F20" s="48">
        <v>4642</v>
      </c>
    </row>
    <row r="21" spans="1:6" x14ac:dyDescent="0.25">
      <c r="B21" t="s">
        <v>38</v>
      </c>
      <c r="C21" s="42">
        <v>1</v>
      </c>
      <c r="D21" s="41">
        <v>508338</v>
      </c>
      <c r="E21" s="41">
        <v>508338</v>
      </c>
      <c r="F21" s="48">
        <v>5614</v>
      </c>
    </row>
    <row r="22" spans="1:6" x14ac:dyDescent="0.25">
      <c r="B22" t="s">
        <v>13</v>
      </c>
      <c r="C22" s="42">
        <v>1</v>
      </c>
      <c r="D22" s="41">
        <v>2022885</v>
      </c>
      <c r="E22" s="41">
        <v>2022885</v>
      </c>
      <c r="F22" s="48">
        <v>22463</v>
      </c>
    </row>
    <row r="23" spans="1:6" x14ac:dyDescent="0.25">
      <c r="B23" t="s">
        <v>43</v>
      </c>
      <c r="C23" s="42">
        <v>1</v>
      </c>
      <c r="D23" s="41">
        <v>1427013</v>
      </c>
      <c r="E23" s="41">
        <v>1427013</v>
      </c>
      <c r="F23" s="48">
        <v>14987</v>
      </c>
    </row>
    <row r="24" spans="1:6" x14ac:dyDescent="0.25">
      <c r="B24" t="s">
        <v>88</v>
      </c>
      <c r="C24" s="42">
        <v>1</v>
      </c>
      <c r="D24" s="41">
        <v>64860</v>
      </c>
      <c r="E24" s="41">
        <v>64860</v>
      </c>
      <c r="F24" s="48">
        <v>760</v>
      </c>
    </row>
    <row r="25" spans="1:6" x14ac:dyDescent="0.25">
      <c r="B25" t="s">
        <v>69</v>
      </c>
      <c r="C25" s="42">
        <v>2</v>
      </c>
      <c r="D25" s="41">
        <v>1392314</v>
      </c>
      <c r="E25" s="41">
        <v>696157</v>
      </c>
      <c r="F25" s="48">
        <v>15822</v>
      </c>
    </row>
    <row r="26" spans="1:6" x14ac:dyDescent="0.25">
      <c r="A26">
        <v>2011</v>
      </c>
      <c r="C26" s="42">
        <v>22</v>
      </c>
      <c r="D26" s="41">
        <v>36996586</v>
      </c>
      <c r="E26" s="41">
        <v>1681663</v>
      </c>
      <c r="F26" s="48">
        <v>343161</v>
      </c>
    </row>
    <row r="27" spans="1:6" x14ac:dyDescent="0.25">
      <c r="B27" t="s">
        <v>12</v>
      </c>
      <c r="C27" s="42">
        <v>1</v>
      </c>
      <c r="D27" s="41">
        <v>1095875</v>
      </c>
      <c r="E27" s="41">
        <v>1095875</v>
      </c>
      <c r="F27" s="48">
        <v>9463</v>
      </c>
    </row>
    <row r="28" spans="1:6" x14ac:dyDescent="0.25">
      <c r="B28" t="s">
        <v>54</v>
      </c>
      <c r="C28" s="42">
        <v>1</v>
      </c>
      <c r="D28" s="41">
        <v>648954</v>
      </c>
      <c r="E28" s="41">
        <v>648954</v>
      </c>
      <c r="F28" s="48">
        <v>8638</v>
      </c>
    </row>
    <row r="29" spans="1:6" x14ac:dyDescent="0.25">
      <c r="B29" t="s">
        <v>91</v>
      </c>
      <c r="C29" s="42">
        <v>1</v>
      </c>
      <c r="D29" s="41">
        <v>2028000</v>
      </c>
      <c r="E29" s="41">
        <v>2028000</v>
      </c>
      <c r="F29" s="48">
        <v>15300</v>
      </c>
    </row>
    <row r="30" spans="1:6" x14ac:dyDescent="0.25">
      <c r="B30" t="s">
        <v>60</v>
      </c>
      <c r="C30" s="42">
        <v>1</v>
      </c>
      <c r="D30" s="41">
        <v>818648</v>
      </c>
      <c r="E30" s="41">
        <v>818648</v>
      </c>
      <c r="F30" s="48">
        <v>9618</v>
      </c>
    </row>
    <row r="31" spans="1:6" x14ac:dyDescent="0.25">
      <c r="B31" t="s">
        <v>32</v>
      </c>
      <c r="C31" s="42">
        <v>2</v>
      </c>
      <c r="D31" s="41">
        <v>3579917</v>
      </c>
      <c r="E31" s="41">
        <v>1789958.5</v>
      </c>
      <c r="F31" s="48">
        <v>35997</v>
      </c>
    </row>
    <row r="32" spans="1:6" x14ac:dyDescent="0.25">
      <c r="B32" t="s">
        <v>10</v>
      </c>
      <c r="C32" s="42">
        <v>4</v>
      </c>
      <c r="D32" s="41">
        <v>6607685</v>
      </c>
      <c r="E32" s="41">
        <v>1651921.25</v>
      </c>
      <c r="F32" s="48">
        <v>68564</v>
      </c>
    </row>
    <row r="33" spans="1:6" x14ac:dyDescent="0.25">
      <c r="B33" t="s">
        <v>11</v>
      </c>
      <c r="C33" s="42">
        <v>1</v>
      </c>
      <c r="D33" s="41">
        <v>223711</v>
      </c>
      <c r="E33" s="41">
        <v>223711</v>
      </c>
      <c r="F33" s="48">
        <v>2601</v>
      </c>
    </row>
    <row r="34" spans="1:6" x14ac:dyDescent="0.25">
      <c r="B34" t="s">
        <v>63</v>
      </c>
      <c r="C34" s="42">
        <v>1</v>
      </c>
      <c r="D34" s="41">
        <v>1320624</v>
      </c>
      <c r="E34" s="41">
        <v>1320624</v>
      </c>
      <c r="F34" s="48">
        <v>14610</v>
      </c>
    </row>
    <row r="35" spans="1:6" x14ac:dyDescent="0.25">
      <c r="B35" t="s">
        <v>38</v>
      </c>
      <c r="C35" s="42">
        <v>1</v>
      </c>
      <c r="D35" s="41">
        <v>2164250</v>
      </c>
      <c r="E35" s="41">
        <v>2164250</v>
      </c>
      <c r="F35" s="48">
        <v>18745</v>
      </c>
    </row>
    <row r="36" spans="1:6" x14ac:dyDescent="0.25">
      <c r="B36" t="s">
        <v>50</v>
      </c>
      <c r="C36" s="42">
        <v>2</v>
      </c>
      <c r="D36" s="41">
        <v>5594923</v>
      </c>
      <c r="E36" s="41">
        <v>2797461.5</v>
      </c>
      <c r="F36" s="48">
        <v>47056</v>
      </c>
    </row>
    <row r="37" spans="1:6" x14ac:dyDescent="0.25">
      <c r="B37" t="s">
        <v>84</v>
      </c>
      <c r="C37" s="42">
        <v>1</v>
      </c>
      <c r="D37" s="41">
        <v>327090</v>
      </c>
      <c r="E37" s="41">
        <v>327090</v>
      </c>
      <c r="F37" s="48">
        <v>5447</v>
      </c>
    </row>
    <row r="38" spans="1:6" x14ac:dyDescent="0.25">
      <c r="B38" t="s">
        <v>13</v>
      </c>
      <c r="C38" s="42">
        <v>1</v>
      </c>
      <c r="D38" s="41">
        <v>2316896</v>
      </c>
      <c r="E38" s="41">
        <v>2316896</v>
      </c>
      <c r="F38" s="48">
        <v>18492</v>
      </c>
    </row>
    <row r="39" spans="1:6" x14ac:dyDescent="0.25">
      <c r="B39" t="s">
        <v>43</v>
      </c>
      <c r="C39" s="42">
        <v>2</v>
      </c>
      <c r="D39" s="41">
        <v>5829285</v>
      </c>
      <c r="E39" s="41">
        <v>2914642.5</v>
      </c>
      <c r="F39" s="48">
        <v>47897</v>
      </c>
    </row>
    <row r="40" spans="1:6" x14ac:dyDescent="0.25">
      <c r="B40" t="s">
        <v>69</v>
      </c>
      <c r="C40" s="42">
        <v>2</v>
      </c>
      <c r="D40" s="41">
        <v>1802376</v>
      </c>
      <c r="E40" s="41">
        <v>901188</v>
      </c>
      <c r="F40" s="48">
        <v>20129</v>
      </c>
    </row>
    <row r="41" spans="1:6" x14ac:dyDescent="0.25">
      <c r="B41" t="s">
        <v>79</v>
      </c>
      <c r="C41" s="42">
        <v>1</v>
      </c>
      <c r="D41" s="41">
        <v>2638352</v>
      </c>
      <c r="E41" s="41">
        <v>2638352</v>
      </c>
      <c r="F41" s="48">
        <v>20604</v>
      </c>
    </row>
    <row r="42" spans="1:6" x14ac:dyDescent="0.25">
      <c r="A42">
        <v>2012</v>
      </c>
      <c r="C42" s="42">
        <v>23</v>
      </c>
      <c r="D42" s="41">
        <v>41267962</v>
      </c>
      <c r="E42" s="41">
        <v>1794259.2173913044</v>
      </c>
      <c r="F42" s="48">
        <v>375181</v>
      </c>
    </row>
    <row r="43" spans="1:6" x14ac:dyDescent="0.25">
      <c r="B43" t="s">
        <v>12</v>
      </c>
      <c r="C43" s="42">
        <v>1</v>
      </c>
      <c r="D43" s="41">
        <v>157226</v>
      </c>
      <c r="E43" s="41">
        <v>157226</v>
      </c>
      <c r="F43" s="48">
        <v>2833</v>
      </c>
    </row>
    <row r="44" spans="1:6" x14ac:dyDescent="0.25">
      <c r="B44" t="s">
        <v>54</v>
      </c>
      <c r="C44" s="42">
        <v>2</v>
      </c>
      <c r="D44" s="41">
        <v>2177828</v>
      </c>
      <c r="E44" s="41">
        <v>1088914</v>
      </c>
      <c r="F44" s="48">
        <v>26848</v>
      </c>
    </row>
    <row r="45" spans="1:6" x14ac:dyDescent="0.25">
      <c r="B45" t="s">
        <v>91</v>
      </c>
      <c r="C45" s="42">
        <v>1</v>
      </c>
      <c r="D45" s="41">
        <v>2793349</v>
      </c>
      <c r="E45" s="41">
        <v>2793349</v>
      </c>
      <c r="F45" s="48">
        <v>21823</v>
      </c>
    </row>
    <row r="46" spans="1:6" x14ac:dyDescent="0.25">
      <c r="B46" t="s">
        <v>60</v>
      </c>
      <c r="C46" s="42">
        <v>1</v>
      </c>
      <c r="D46" s="41">
        <v>2388642</v>
      </c>
      <c r="E46" s="41">
        <v>2388642</v>
      </c>
      <c r="F46" s="48">
        <v>18734</v>
      </c>
    </row>
    <row r="47" spans="1:6" x14ac:dyDescent="0.25">
      <c r="B47" t="s">
        <v>32</v>
      </c>
      <c r="C47" s="42">
        <v>3</v>
      </c>
      <c r="D47" s="41">
        <v>7041025</v>
      </c>
      <c r="E47" s="41">
        <v>2347008.3333333335</v>
      </c>
      <c r="F47" s="48">
        <v>55043</v>
      </c>
    </row>
    <row r="48" spans="1:6" x14ac:dyDescent="0.25">
      <c r="B48" t="s">
        <v>10</v>
      </c>
      <c r="C48" s="42">
        <v>6</v>
      </c>
      <c r="D48" s="41">
        <v>13227744</v>
      </c>
      <c r="E48" s="41">
        <v>2204624</v>
      </c>
      <c r="F48" s="48">
        <v>122361</v>
      </c>
    </row>
    <row r="49" spans="1:6" x14ac:dyDescent="0.25">
      <c r="B49" t="s">
        <v>63</v>
      </c>
      <c r="C49" s="42">
        <v>1</v>
      </c>
      <c r="D49" s="41">
        <v>1572792</v>
      </c>
      <c r="E49" s="41">
        <v>1572792</v>
      </c>
      <c r="F49" s="48">
        <v>12268</v>
      </c>
    </row>
    <row r="50" spans="1:6" x14ac:dyDescent="0.25">
      <c r="B50" t="s">
        <v>38</v>
      </c>
      <c r="C50" s="42">
        <v>1</v>
      </c>
      <c r="D50" s="41">
        <v>3419892</v>
      </c>
      <c r="E50" s="41">
        <v>3419892</v>
      </c>
      <c r="F50" s="48">
        <v>26984</v>
      </c>
    </row>
    <row r="51" spans="1:6" x14ac:dyDescent="0.25">
      <c r="B51" t="s">
        <v>50</v>
      </c>
      <c r="C51" s="42">
        <v>1</v>
      </c>
      <c r="D51" s="41">
        <v>2057500</v>
      </c>
      <c r="E51" s="41">
        <v>2057500</v>
      </c>
      <c r="F51" s="48">
        <v>20275</v>
      </c>
    </row>
    <row r="52" spans="1:6" x14ac:dyDescent="0.25">
      <c r="B52" t="s">
        <v>84</v>
      </c>
      <c r="C52" s="42">
        <v>1</v>
      </c>
      <c r="D52" s="41">
        <v>946541</v>
      </c>
      <c r="E52" s="41">
        <v>946541</v>
      </c>
      <c r="F52" s="48">
        <v>12577</v>
      </c>
    </row>
    <row r="53" spans="1:6" x14ac:dyDescent="0.25">
      <c r="B53" t="s">
        <v>13</v>
      </c>
      <c r="C53" s="42">
        <v>1</v>
      </c>
      <c r="D53" s="41">
        <v>559712</v>
      </c>
      <c r="E53" s="41">
        <v>559712</v>
      </c>
      <c r="F53" s="48">
        <v>7434</v>
      </c>
    </row>
    <row r="54" spans="1:6" x14ac:dyDescent="0.25">
      <c r="B54" t="s">
        <v>43</v>
      </c>
      <c r="C54" s="42">
        <v>1</v>
      </c>
      <c r="D54" s="41">
        <v>1125350</v>
      </c>
      <c r="E54" s="41">
        <v>1125350</v>
      </c>
      <c r="F54" s="48">
        <v>11249</v>
      </c>
    </row>
    <row r="55" spans="1:6" x14ac:dyDescent="0.25">
      <c r="B55" t="s">
        <v>88</v>
      </c>
      <c r="C55" s="42">
        <v>1</v>
      </c>
      <c r="D55" s="41">
        <v>1823000</v>
      </c>
      <c r="E55" s="41">
        <v>1823000</v>
      </c>
      <c r="F55" s="48">
        <v>15420</v>
      </c>
    </row>
    <row r="56" spans="1:6" x14ac:dyDescent="0.25">
      <c r="B56" t="s">
        <v>69</v>
      </c>
      <c r="C56" s="42">
        <v>1</v>
      </c>
      <c r="D56" s="41">
        <v>461669</v>
      </c>
      <c r="E56" s="41">
        <v>461669</v>
      </c>
      <c r="F56" s="48">
        <v>5421</v>
      </c>
    </row>
    <row r="57" spans="1:6" x14ac:dyDescent="0.25">
      <c r="B57" t="s">
        <v>79</v>
      </c>
      <c r="C57" s="42">
        <v>1</v>
      </c>
      <c r="D57" s="41">
        <v>1515692</v>
      </c>
      <c r="E57" s="41">
        <v>1515692</v>
      </c>
      <c r="F57" s="48">
        <v>15911</v>
      </c>
    </row>
    <row r="58" spans="1:6" x14ac:dyDescent="0.25">
      <c r="A58" t="s">
        <v>105</v>
      </c>
      <c r="C58" s="42">
        <v>70</v>
      </c>
      <c r="D58" s="41">
        <v>100449513</v>
      </c>
      <c r="E58" s="41">
        <v>1434993.0428571429</v>
      </c>
      <c r="F58" s="48">
        <v>955417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9"/>
  <sheetViews>
    <sheetView workbookViewId="0">
      <selection activeCell="D14" sqref="D14"/>
    </sheetView>
  </sheetViews>
  <sheetFormatPr defaultColWidth="8.85546875" defaultRowHeight="15" x14ac:dyDescent="0.25"/>
  <cols>
    <col min="1" max="1" width="25.42578125" bestFit="1" customWidth="1"/>
    <col min="2" max="2" width="7.85546875" bestFit="1" customWidth="1"/>
    <col min="3" max="3" width="13.7109375" bestFit="1" customWidth="1"/>
    <col min="4" max="4" width="14.42578125" bestFit="1" customWidth="1"/>
    <col min="5" max="5" width="17.7109375" bestFit="1" customWidth="1"/>
    <col min="6" max="6" width="13.85546875" bestFit="1" customWidth="1"/>
    <col min="7" max="7" width="9.140625" customWidth="1"/>
    <col min="8" max="8" width="14.28515625" customWidth="1"/>
    <col min="9" max="9" width="17.42578125" customWidth="1"/>
    <col min="10" max="10" width="17.28515625" bestFit="1" customWidth="1"/>
    <col min="11" max="11" width="22.7109375" bestFit="1" customWidth="1"/>
    <col min="12" max="12" width="19.28515625" bestFit="1" customWidth="1"/>
    <col min="13" max="14" width="12.7109375" customWidth="1"/>
    <col min="15" max="15" width="13.28515625" bestFit="1" customWidth="1"/>
    <col min="16" max="16" width="16.85546875" customWidth="1"/>
    <col min="17" max="17" width="24.140625" bestFit="1" customWidth="1"/>
    <col min="18" max="18" width="11.28515625" bestFit="1" customWidth="1"/>
  </cols>
  <sheetData>
    <row r="3" spans="1:2" x14ac:dyDescent="0.25">
      <c r="A3" s="39" t="s">
        <v>106</v>
      </c>
    </row>
    <row r="4" spans="1:2" x14ac:dyDescent="0.25">
      <c r="A4" s="39" t="s">
        <v>107</v>
      </c>
      <c r="B4" t="s">
        <v>118</v>
      </c>
    </row>
    <row r="5" spans="1:2" x14ac:dyDescent="0.25">
      <c r="A5" s="40" t="s">
        <v>42</v>
      </c>
      <c r="B5" s="45">
        <v>0.21992840323675836</v>
      </c>
    </row>
    <row r="6" spans="1:2" x14ac:dyDescent="0.25">
      <c r="A6" s="43" t="s">
        <v>43</v>
      </c>
      <c r="B6" s="45">
        <v>9.6852515352662788E-2</v>
      </c>
    </row>
    <row r="7" spans="1:2" x14ac:dyDescent="0.25">
      <c r="A7" s="43" t="s">
        <v>50</v>
      </c>
      <c r="B7" s="45">
        <v>8.8098296703539025E-2</v>
      </c>
    </row>
    <row r="8" spans="1:2" x14ac:dyDescent="0.25">
      <c r="A8" s="43" t="s">
        <v>54</v>
      </c>
      <c r="B8" s="45">
        <v>3.4977591180556544E-2</v>
      </c>
    </row>
    <row r="9" spans="1:2" x14ac:dyDescent="0.25">
      <c r="A9" s="40" t="s">
        <v>31</v>
      </c>
      <c r="B9" s="45">
        <v>0.17898665173219905</v>
      </c>
    </row>
    <row r="10" spans="1:2" x14ac:dyDescent="0.25">
      <c r="A10" s="43" t="s">
        <v>32</v>
      </c>
      <c r="B10" s="45">
        <v>0.11833449107911553</v>
      </c>
    </row>
    <row r="11" spans="1:2" x14ac:dyDescent="0.25">
      <c r="A11" s="43" t="s">
        <v>38</v>
      </c>
      <c r="B11" s="45">
        <v>6.0652160653083508E-2</v>
      </c>
    </row>
    <row r="12" spans="1:2" x14ac:dyDescent="0.25">
      <c r="A12" s="40" t="s">
        <v>9</v>
      </c>
      <c r="B12" s="45">
        <v>0.17796254522408686</v>
      </c>
    </row>
    <row r="13" spans="1:2" x14ac:dyDescent="0.25">
      <c r="A13" s="43" t="s">
        <v>10</v>
      </c>
      <c r="B13" s="45">
        <v>0.1114843433835264</v>
      </c>
    </row>
    <row r="14" spans="1:2" x14ac:dyDescent="0.25">
      <c r="A14" s="43" t="s">
        <v>13</v>
      </c>
      <c r="B14" s="45">
        <v>4.8775676991087057E-2</v>
      </c>
    </row>
    <row r="15" spans="1:2" x14ac:dyDescent="0.25">
      <c r="A15" s="43" t="s">
        <v>12</v>
      </c>
      <c r="B15" s="45">
        <v>1.2474933551942655E-2</v>
      </c>
    </row>
    <row r="16" spans="1:2" x14ac:dyDescent="0.25">
      <c r="A16" s="43" t="s">
        <v>11</v>
      </c>
      <c r="B16" s="45">
        <v>5.2275912975307303E-3</v>
      </c>
    </row>
    <row r="17" spans="1:2" x14ac:dyDescent="0.25">
      <c r="A17" s="40" t="s">
        <v>77</v>
      </c>
      <c r="B17" s="45">
        <v>0.14230277054703092</v>
      </c>
    </row>
    <row r="18" spans="1:2" x14ac:dyDescent="0.25">
      <c r="A18" s="43" t="s">
        <v>10</v>
      </c>
      <c r="B18" s="45">
        <v>9.6433459065152466E-2</v>
      </c>
    </row>
    <row r="19" spans="1:2" x14ac:dyDescent="0.25">
      <c r="A19" s="43" t="s">
        <v>79</v>
      </c>
      <c r="B19" s="45">
        <v>4.5869311481878464E-2</v>
      </c>
    </row>
    <row r="20" spans="1:2" x14ac:dyDescent="0.25">
      <c r="A20" s="40" t="s">
        <v>59</v>
      </c>
      <c r="B20" s="45">
        <v>8.4531390411021701E-2</v>
      </c>
    </row>
    <row r="21" spans="1:2" x14ac:dyDescent="0.25">
      <c r="A21" s="40" t="s">
        <v>26</v>
      </c>
      <c r="B21" s="45">
        <v>6.3887318199342583E-2</v>
      </c>
    </row>
    <row r="22" spans="1:2" x14ac:dyDescent="0.25">
      <c r="A22" s="43" t="s">
        <v>10</v>
      </c>
      <c r="B22" s="45">
        <v>6.1250650364029144E-2</v>
      </c>
    </row>
    <row r="23" spans="1:2" x14ac:dyDescent="0.25">
      <c r="A23" s="43" t="s">
        <v>12</v>
      </c>
      <c r="B23" s="45">
        <v>2.6366678353134474E-3</v>
      </c>
    </row>
    <row r="24" spans="1:2" x14ac:dyDescent="0.25">
      <c r="A24" s="40" t="s">
        <v>90</v>
      </c>
      <c r="B24" s="45">
        <v>5.1442718293716369E-2</v>
      </c>
    </row>
    <row r="25" spans="1:2" x14ac:dyDescent="0.25">
      <c r="A25" s="40" t="s">
        <v>68</v>
      </c>
      <c r="B25" s="45">
        <v>4.6840933912740822E-2</v>
      </c>
    </row>
    <row r="26" spans="1:2" x14ac:dyDescent="0.25">
      <c r="A26" s="40" t="s">
        <v>83</v>
      </c>
      <c r="B26" s="45">
        <v>3.4117268443103352E-2</v>
      </c>
    </row>
    <row r="27" spans="1:2" x14ac:dyDescent="0.25">
      <c r="A27" s="43" t="s">
        <v>88</v>
      </c>
      <c r="B27" s="45">
        <v>1.8794117996370974E-2</v>
      </c>
    </row>
    <row r="28" spans="1:2" x14ac:dyDescent="0.25">
      <c r="A28" s="43" t="s">
        <v>84</v>
      </c>
      <c r="B28" s="45">
        <v>1.5323150446732379E-2</v>
      </c>
    </row>
    <row r="29" spans="1:2" x14ac:dyDescent="0.25">
      <c r="A29" s="40" t="s">
        <v>105</v>
      </c>
      <c r="B29" s="45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J41" sqref="J41"/>
    </sheetView>
  </sheetViews>
  <sheetFormatPr defaultColWidth="8.85546875" defaultRowHeight="15" x14ac:dyDescent="0.25"/>
  <cols>
    <col min="1" max="1" width="16" bestFit="1" customWidth="1"/>
    <col min="2" max="2" width="5.140625" bestFit="1" customWidth="1"/>
  </cols>
  <sheetData>
    <row r="3" spans="1:2" x14ac:dyDescent="0.25">
      <c r="A3" s="39" t="s">
        <v>108</v>
      </c>
    </row>
    <row r="4" spans="1:2" x14ac:dyDescent="0.25">
      <c r="A4" s="39" t="s">
        <v>107</v>
      </c>
      <c r="B4" t="s">
        <v>118</v>
      </c>
    </row>
    <row r="5" spans="1:2" x14ac:dyDescent="0.25">
      <c r="A5" s="46" t="s">
        <v>113</v>
      </c>
      <c r="B5" s="42">
        <v>29</v>
      </c>
    </row>
    <row r="6" spans="1:2" x14ac:dyDescent="0.25">
      <c r="A6" s="46" t="s">
        <v>114</v>
      </c>
      <c r="B6" s="42">
        <v>19</v>
      </c>
    </row>
    <row r="7" spans="1:2" x14ac:dyDescent="0.25">
      <c r="A7" s="46" t="s">
        <v>115</v>
      </c>
      <c r="B7" s="42">
        <v>15</v>
      </c>
    </row>
    <row r="8" spans="1:2" x14ac:dyDescent="0.25">
      <c r="A8" s="46" t="s">
        <v>116</v>
      </c>
      <c r="B8" s="42">
        <v>7</v>
      </c>
    </row>
    <row r="9" spans="1:2" x14ac:dyDescent="0.25">
      <c r="A9" s="46" t="s">
        <v>105</v>
      </c>
      <c r="B9" s="42">
        <v>70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C24" sqref="C24"/>
    </sheetView>
  </sheetViews>
  <sheetFormatPr defaultColWidth="8.85546875" defaultRowHeight="15" x14ac:dyDescent="0.25"/>
  <cols>
    <col min="1" max="1" width="18.140625" customWidth="1"/>
    <col min="2" max="2" width="27.140625" customWidth="1"/>
    <col min="3" max="3" width="22.5703125" customWidth="1"/>
    <col min="4" max="4" width="18.7109375" bestFit="1" customWidth="1"/>
  </cols>
  <sheetData>
    <row r="1" spans="1:3" x14ac:dyDescent="0.25">
      <c r="A1" s="39" t="s">
        <v>107</v>
      </c>
      <c r="B1" t="s">
        <v>112</v>
      </c>
      <c r="C1" t="s">
        <v>111</v>
      </c>
    </row>
    <row r="2" spans="1:3" x14ac:dyDescent="0.25">
      <c r="A2" s="40" t="s">
        <v>68</v>
      </c>
      <c r="B2" s="42">
        <v>51513</v>
      </c>
      <c r="C2" s="42">
        <v>334</v>
      </c>
    </row>
    <row r="3" spans="1:3" x14ac:dyDescent="0.25">
      <c r="A3" s="40" t="s">
        <v>90</v>
      </c>
      <c r="B3" s="42">
        <v>41968</v>
      </c>
      <c r="C3" s="42">
        <v>2816</v>
      </c>
    </row>
    <row r="4" spans="1:3" x14ac:dyDescent="0.25">
      <c r="A4" s="40" t="s">
        <v>59</v>
      </c>
      <c r="B4" s="42">
        <v>76710</v>
      </c>
      <c r="C4" s="42">
        <v>2849</v>
      </c>
    </row>
    <row r="5" spans="1:3" x14ac:dyDescent="0.25">
      <c r="A5" s="40" t="s">
        <v>9</v>
      </c>
      <c r="B5" s="42">
        <v>179415</v>
      </c>
      <c r="C5" s="42">
        <v>5259</v>
      </c>
    </row>
    <row r="6" spans="1:3" x14ac:dyDescent="0.25">
      <c r="A6" s="40" t="s">
        <v>83</v>
      </c>
      <c r="B6" s="42">
        <v>37117</v>
      </c>
      <c r="C6" s="42">
        <v>1838</v>
      </c>
    </row>
    <row r="7" spans="1:3" x14ac:dyDescent="0.25">
      <c r="A7" s="40" t="s">
        <v>31</v>
      </c>
      <c r="B7" s="42">
        <v>150310</v>
      </c>
      <c r="C7" s="42">
        <v>4658</v>
      </c>
    </row>
    <row r="8" spans="1:3" x14ac:dyDescent="0.25">
      <c r="A8" s="40" t="s">
        <v>42</v>
      </c>
      <c r="B8" s="42">
        <v>203707</v>
      </c>
      <c r="C8" s="42">
        <v>5452</v>
      </c>
    </row>
    <row r="9" spans="1:3" x14ac:dyDescent="0.25">
      <c r="A9" s="40" t="s">
        <v>26</v>
      </c>
      <c r="B9" s="42">
        <v>60804</v>
      </c>
      <c r="C9" s="42">
        <v>476</v>
      </c>
    </row>
    <row r="10" spans="1:3" x14ac:dyDescent="0.25">
      <c r="A10" s="40" t="s">
        <v>77</v>
      </c>
      <c r="B10" s="42">
        <v>125661</v>
      </c>
      <c r="C10" s="42">
        <v>4530</v>
      </c>
    </row>
    <row r="11" spans="1:3" x14ac:dyDescent="0.25">
      <c r="A11" s="40" t="s">
        <v>105</v>
      </c>
      <c r="B11" s="42">
        <v>927205</v>
      </c>
      <c r="C11" s="42">
        <v>28212</v>
      </c>
    </row>
    <row r="18" spans="9:9" x14ac:dyDescent="0.25">
      <c r="I18" t="s">
        <v>117</v>
      </c>
    </row>
  </sheetData>
  <pageMargins left="0.7" right="0.7" top="0.75" bottom="0.75" header="0.3" footer="0.3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H24" sqref="H24"/>
    </sheetView>
  </sheetViews>
  <sheetFormatPr defaultRowHeight="15" x14ac:dyDescent="0.25"/>
  <cols>
    <col min="1" max="1" width="18.140625" bestFit="1" customWidth="1"/>
    <col min="2" max="2" width="20.140625" customWidth="1"/>
  </cols>
  <sheetData>
    <row r="1" spans="1:2" x14ac:dyDescent="0.25">
      <c r="A1" s="39" t="s">
        <v>107</v>
      </c>
      <c r="B1" t="s">
        <v>106</v>
      </c>
    </row>
    <row r="2" spans="1:2" x14ac:dyDescent="0.25">
      <c r="A2" s="40" t="s">
        <v>68</v>
      </c>
      <c r="B2" s="45">
        <v>4.6840933912740822E-2</v>
      </c>
    </row>
    <row r="3" spans="1:2" x14ac:dyDescent="0.25">
      <c r="A3" s="40" t="s">
        <v>90</v>
      </c>
      <c r="B3" s="45">
        <v>5.1442718293716369E-2</v>
      </c>
    </row>
    <row r="4" spans="1:2" x14ac:dyDescent="0.25">
      <c r="A4" s="40" t="s">
        <v>59</v>
      </c>
      <c r="B4" s="45">
        <v>8.4531390411021701E-2</v>
      </c>
    </row>
    <row r="5" spans="1:2" x14ac:dyDescent="0.25">
      <c r="A5" s="40" t="s">
        <v>9</v>
      </c>
      <c r="B5" s="45">
        <v>0.17796254522408686</v>
      </c>
    </row>
    <row r="6" spans="1:2" x14ac:dyDescent="0.25">
      <c r="A6" s="40" t="s">
        <v>83</v>
      </c>
      <c r="B6" s="45">
        <v>3.4117268443103352E-2</v>
      </c>
    </row>
    <row r="7" spans="1:2" x14ac:dyDescent="0.25">
      <c r="A7" s="40" t="s">
        <v>31</v>
      </c>
      <c r="B7" s="45">
        <v>0.17898665173219905</v>
      </c>
    </row>
    <row r="8" spans="1:2" x14ac:dyDescent="0.25">
      <c r="A8" s="40" t="s">
        <v>42</v>
      </c>
      <c r="B8" s="45">
        <v>0.21992840323675836</v>
      </c>
    </row>
    <row r="9" spans="1:2" x14ac:dyDescent="0.25">
      <c r="A9" s="40" t="s">
        <v>26</v>
      </c>
      <c r="B9" s="45">
        <v>6.3887318199342583E-2</v>
      </c>
    </row>
    <row r="10" spans="1:2" x14ac:dyDescent="0.25">
      <c r="A10" s="40" t="s">
        <v>77</v>
      </c>
      <c r="B10" s="45">
        <v>0.14230277054703092</v>
      </c>
    </row>
    <row r="11" spans="1:2" x14ac:dyDescent="0.25">
      <c r="A11" s="40" t="s">
        <v>105</v>
      </c>
      <c r="B11" s="45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2009-06-23T05:14:59Z</outs:dateTime>
      <outs:isPinned>true</outs:isPinned>
    </outs:relatedDate>
    <outs:relatedDate>
      <outs:type>2</outs:type>
      <outs:displayName>Created</outs:displayName>
      <outs:dateTime>2009-06-19T20:04:57Z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Exploring Series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Keith Mulbery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2D18F4E5-4C9C-4EF7-A35F-C195587152F5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Books</vt:lpstr>
      <vt:lpstr>PivotTable 1</vt:lpstr>
      <vt:lpstr>Pivot Table 2</vt:lpstr>
      <vt:lpstr>Pivot Table 3</vt:lpstr>
      <vt:lpstr>Pivot Table 4</vt:lpstr>
      <vt:lpstr>Pivot Table 5</vt:lpstr>
      <vt:lpstr>Pivot Chart 1</vt:lpstr>
      <vt:lpstr>Pivot Chart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Marta Cavaleiro</cp:lastModifiedBy>
  <dcterms:created xsi:type="dcterms:W3CDTF">2009-06-19T20:04:57Z</dcterms:created>
  <dcterms:modified xsi:type="dcterms:W3CDTF">2020-01-28T18:23:18Z</dcterms:modified>
</cp:coreProperties>
</file>